
<file path=[Content_Types].xml><?xml version="1.0" encoding="utf-8"?>
<Types xmlns="http://schemas.openxmlformats.org/package/2006/content-types">
  <Default Extension="xml" ContentType="application/xml"/>
  <Default Extension="gif" ContentType="image/gi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00" tabRatio="789"/>
  </bookViews>
  <sheets>
    <sheet name="スタート" sheetId="9" r:id="rId1"/>
    <sheet name="MQ（現状）" sheetId="10" r:id="rId2"/>
    <sheet name="①利益" sheetId="4" r:id="rId3"/>
    <sheet name="②⑧MQ（未来）" sheetId="3" r:id="rId4"/>
    <sheet name="③給料" sheetId="5" r:id="rId5"/>
    <sheet name="④経費" sheetId="6" r:id="rId6"/>
    <sheet name="⑤製造原価 (人）" sheetId="13" r:id="rId7"/>
    <sheet name="⑥製造（経費)" sheetId="14" r:id="rId8"/>
    <sheet name="⑦原価詳細" sheetId="15" r:id="rId9"/>
    <sheet name="損益分岐点" sheetId="17" r:id="rId10"/>
    <sheet name="進捗実績値入力シート" sheetId="1" r:id="rId11"/>
    <sheet name="部門別販売計画" sheetId="16" r:id="rId12"/>
    <sheet name="利益計画表" sheetId="18" r:id="rId13"/>
  </sheets>
  <externalReferences>
    <externalReference r:id="rId16"/>
  </externalReferences>
  <definedNames>
    <definedName name="_xlnm._FilterDatabase" localSheetId="8" hidden="1">⑦原価詳細!$B$17:$B$24</definedName>
    <definedName name="_xlnm.Print_Area" localSheetId="2">①利益!$A$1:$O$9</definedName>
    <definedName name="_xlnm.Print_Area" localSheetId="3">'②⑧MQ（未来）'!$A$1:$U$39</definedName>
    <definedName name="_xlnm.Print_Area" localSheetId="4">③給料!$A$1:$P$28</definedName>
    <definedName name="_xlnm.Print_Area" localSheetId="5">④経費!$A$1:$L$44</definedName>
    <definedName name="_xlnm.Print_Area" localSheetId="6">'⑤製造原価 (人）'!$A$1:$P$29</definedName>
    <definedName name="_xlnm.Print_Area" localSheetId="7">'⑥製造（経費)'!$A$1:$T$45</definedName>
    <definedName name="_xlnm.Print_Area" localSheetId="8">⑦原価詳細!$A$1:$J$40</definedName>
    <definedName name="_xlnm.Print_Area" localSheetId="1">'MQ（現状）'!$A$1:$T$36</definedName>
    <definedName name="_xlnm.Print_Area" localSheetId="0">スタート!$A$1:$I$107</definedName>
    <definedName name="_xlnm.Print_Area" localSheetId="10">進捗実績値入力シート!$A$1:$R$61</definedName>
    <definedName name="_xlnm.Print_Area" localSheetId="9">損益分岐点!$A$1:$J$28</definedName>
    <definedName name="_xlnm.Print_Area" localSheetId="11">部門別販売計画!$A$1:$AA$46</definedName>
    <definedName name="_xlnm.Print_Area" localSheetId="12">利益計画表!$A$1:$L$25</definedName>
    <definedName name="その他経費">'[1]直近データ (損益)'!$H$57:$H$60</definedName>
    <definedName name="その他経費2">'[1]直近データ (製造原価)'!$H$69:$H$70</definedName>
    <definedName name="単位">[1]直近データ!$J$8:$J$12</definedName>
    <definedName name="福利厚生">'[1]直近データ (損益)'!$I$57:$I$58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<sst xmlns="http://schemas.openxmlformats.org/spreadsheetml/2006/main" count="1030" uniqueCount="384">
  <si>
    <t>会社名</t>
  </si>
  <si>
    <t>第</t>
  </si>
  <si>
    <t>期</t>
  </si>
  <si>
    <t>製作：結城伸太郎</t>
  </si>
  <si>
    <t>自</t>
  </si>
  <si>
    <t>例：2024/11/1</t>
  </si>
  <si>
    <t>至</t>
  </si>
  <si>
    <t>現状</t>
  </si>
  <si>
    <t>（百万円）</t>
  </si>
  <si>
    <t>例：122　→　1億2200万円</t>
  </si>
  <si>
    <t>コードNo</t>
  </si>
  <si>
    <t>勘定科目</t>
  </si>
  <si>
    <t>損益計算書</t>
  </si>
  <si>
    <t>製造原価報告書</t>
  </si>
  <si>
    <t>売上</t>
  </si>
  <si>
    <t>直近売上</t>
  </si>
  <si>
    <t>直近売上(現状)</t>
  </si>
  <si>
    <t>総益</t>
  </si>
  <si>
    <t>売上総利益</t>
  </si>
  <si>
    <t>益率</t>
  </si>
  <si>
    <t>利益率(%)</t>
  </si>
  <si>
    <t>利益率(0.**)</t>
  </si>
  <si>
    <t>変動費</t>
  </si>
  <si>
    <t>粗利益率(0.**)</t>
  </si>
  <si>
    <t>粗利益額</t>
  </si>
  <si>
    <t>人件1</t>
  </si>
  <si>
    <t>社員給料</t>
  </si>
  <si>
    <t>人件2</t>
  </si>
  <si>
    <t>通勤手当</t>
  </si>
  <si>
    <t>人件3</t>
  </si>
  <si>
    <t>賞与</t>
  </si>
  <si>
    <t>人件4</t>
  </si>
  <si>
    <t>退職金</t>
  </si>
  <si>
    <t>人件5</t>
  </si>
  <si>
    <t>雑給料</t>
  </si>
  <si>
    <t>人件6</t>
  </si>
  <si>
    <t>派遣社員費</t>
  </si>
  <si>
    <t>人件7</t>
  </si>
  <si>
    <t>契約社員費</t>
  </si>
  <si>
    <t>人件8</t>
  </si>
  <si>
    <t>諸費用</t>
  </si>
  <si>
    <t>人件9</t>
  </si>
  <si>
    <t>役員報酬</t>
  </si>
  <si>
    <t>人件10</t>
  </si>
  <si>
    <t>募集費</t>
  </si>
  <si>
    <t>人件11</t>
  </si>
  <si>
    <t>教育研修</t>
  </si>
  <si>
    <t>人件12</t>
  </si>
  <si>
    <t>研修費</t>
  </si>
  <si>
    <t>人件13</t>
  </si>
  <si>
    <t>会議費</t>
  </si>
  <si>
    <t>人件14</t>
  </si>
  <si>
    <t>予備</t>
  </si>
  <si>
    <t>図書教育費</t>
  </si>
  <si>
    <t>人件15</t>
  </si>
  <si>
    <t>新聞図書費</t>
  </si>
  <si>
    <t>人件16</t>
  </si>
  <si>
    <t>福利厚生費</t>
  </si>
  <si>
    <t>人件17</t>
  </si>
  <si>
    <t>法定福利費</t>
  </si>
  <si>
    <t>事業費1</t>
  </si>
  <si>
    <t>事業戦略費</t>
  </si>
  <si>
    <t>開拓手数料</t>
  </si>
  <si>
    <t>事業費2</t>
  </si>
  <si>
    <t>社長戦略費Ａ</t>
  </si>
  <si>
    <t>事業費3</t>
  </si>
  <si>
    <t>社長戦略費Ｂ</t>
  </si>
  <si>
    <t>販売促進費</t>
  </si>
  <si>
    <t>事業費4</t>
  </si>
  <si>
    <t>開拓手数料(外交員)</t>
  </si>
  <si>
    <t>企画料</t>
  </si>
  <si>
    <t>事業費5</t>
  </si>
  <si>
    <t>消耗資材費</t>
  </si>
  <si>
    <t>テナント料</t>
  </si>
  <si>
    <t>事業費6</t>
  </si>
  <si>
    <t>ロイヤリティー</t>
  </si>
  <si>
    <t>運賃</t>
  </si>
  <si>
    <t>事業費7</t>
  </si>
  <si>
    <t>外注加工費</t>
  </si>
  <si>
    <t>事業費8</t>
  </si>
  <si>
    <t>運賃荷造費</t>
  </si>
  <si>
    <t>販促費1</t>
  </si>
  <si>
    <t>包装費</t>
  </si>
  <si>
    <t>販促費2</t>
  </si>
  <si>
    <t>試供品ＤＭ費</t>
  </si>
  <si>
    <t>販促費3</t>
  </si>
  <si>
    <t>販売企画費</t>
  </si>
  <si>
    <t>販促費4</t>
  </si>
  <si>
    <t>販促費5</t>
  </si>
  <si>
    <t>販促費6</t>
  </si>
  <si>
    <t>広告宣伝費</t>
  </si>
  <si>
    <t>原価１</t>
  </si>
  <si>
    <t>期首商品棚卸高</t>
  </si>
  <si>
    <t>原価２</t>
  </si>
  <si>
    <t>期首製品棚卸高</t>
  </si>
  <si>
    <t>原価３</t>
  </si>
  <si>
    <t>商品仕入高</t>
  </si>
  <si>
    <t>原価４</t>
  </si>
  <si>
    <t>製品仕入高</t>
  </si>
  <si>
    <t>原価５</t>
  </si>
  <si>
    <t>期末商品棚卸高</t>
  </si>
  <si>
    <t>＊期末の棚卸額は、</t>
  </si>
  <si>
    <t>原価６</t>
  </si>
  <si>
    <t>期末製品棚卸高</t>
  </si>
  <si>
    <t>　 - (マイナス）を付けて</t>
  </si>
  <si>
    <t>原価７</t>
  </si>
  <si>
    <t>期首原材料棚卸高</t>
  </si>
  <si>
    <t>　 入力してください。</t>
  </si>
  <si>
    <t>原価８</t>
  </si>
  <si>
    <t>原材料仕入高１</t>
  </si>
  <si>
    <t>原価９</t>
  </si>
  <si>
    <t>原材料仕入高２</t>
  </si>
  <si>
    <t>原価１０</t>
  </si>
  <si>
    <t>原材料仕入高３</t>
  </si>
  <si>
    <t>原価１１</t>
  </si>
  <si>
    <t>仕掛品</t>
  </si>
  <si>
    <t>＊期末の棚卸・仕掛は、</t>
  </si>
  <si>
    <t>原価１２</t>
  </si>
  <si>
    <t>期末原材料棚卸高</t>
  </si>
  <si>
    <t>原価１３</t>
  </si>
  <si>
    <t>在庫</t>
  </si>
  <si>
    <t>原価人１４</t>
  </si>
  <si>
    <t>外注費</t>
  </si>
  <si>
    <t>原価人１５</t>
  </si>
  <si>
    <t>労務費</t>
  </si>
  <si>
    <t>超過手当</t>
  </si>
  <si>
    <t>原価人１６</t>
  </si>
  <si>
    <t>労務費内訳</t>
  </si>
  <si>
    <t>(労務費内訳）</t>
  </si>
  <si>
    <t>備品費</t>
  </si>
  <si>
    <t>経費１</t>
  </si>
  <si>
    <t>電力費</t>
  </si>
  <si>
    <t>営業外収益名称</t>
  </si>
  <si>
    <t>金額</t>
  </si>
  <si>
    <t>経費２</t>
  </si>
  <si>
    <t>動力費</t>
  </si>
  <si>
    <t>営01</t>
  </si>
  <si>
    <t>土地売却益</t>
  </si>
  <si>
    <t>経費３</t>
  </si>
  <si>
    <t>ガス光熱費</t>
  </si>
  <si>
    <t>営02</t>
  </si>
  <si>
    <t>不動産賃貸</t>
  </si>
  <si>
    <t>経費４</t>
  </si>
  <si>
    <t>燃料費</t>
  </si>
  <si>
    <t>営03</t>
  </si>
  <si>
    <t>経費５</t>
  </si>
  <si>
    <t>上水道費</t>
  </si>
  <si>
    <t>営04</t>
  </si>
  <si>
    <t>経費６</t>
  </si>
  <si>
    <t>下水道費</t>
  </si>
  <si>
    <t>営業外費用名称</t>
  </si>
  <si>
    <t>経費７</t>
  </si>
  <si>
    <t>車輌費</t>
  </si>
  <si>
    <t>有価証券評価損</t>
  </si>
  <si>
    <t>経費８</t>
  </si>
  <si>
    <t>家賃地代</t>
  </si>
  <si>
    <t>経費９</t>
  </si>
  <si>
    <t>賃貸料</t>
  </si>
  <si>
    <t>経費１０</t>
  </si>
  <si>
    <t>研究開発費</t>
  </si>
  <si>
    <t>経費１１</t>
  </si>
  <si>
    <t>調査研究費</t>
  </si>
  <si>
    <t>特別利益・除却益名称</t>
  </si>
  <si>
    <t>経費１２</t>
  </si>
  <si>
    <t>租税公課</t>
  </si>
  <si>
    <t>経費１３</t>
  </si>
  <si>
    <t>接待交際費</t>
  </si>
  <si>
    <t>事業再構築補助</t>
  </si>
  <si>
    <t>経費１４</t>
  </si>
  <si>
    <t>支払手数料</t>
  </si>
  <si>
    <t>経費１５</t>
  </si>
  <si>
    <t>顧問料</t>
  </si>
  <si>
    <t>経費１６</t>
  </si>
  <si>
    <t>リース料</t>
  </si>
  <si>
    <t>特別損失・除却損名称</t>
  </si>
  <si>
    <t>経費１７</t>
  </si>
  <si>
    <t>通信交通費</t>
  </si>
  <si>
    <t>土地売却損</t>
  </si>
  <si>
    <t>経費１８</t>
  </si>
  <si>
    <t>出張費</t>
  </si>
  <si>
    <t>経費１９</t>
  </si>
  <si>
    <t>消耗品費</t>
  </si>
  <si>
    <t>経費２０</t>
  </si>
  <si>
    <t>事務用品費</t>
  </si>
  <si>
    <t>経費２１</t>
  </si>
  <si>
    <t>その他経費</t>
  </si>
  <si>
    <t>経費２２</t>
  </si>
  <si>
    <t>雑費</t>
  </si>
  <si>
    <t>経費２３</t>
  </si>
  <si>
    <t>装飾費</t>
  </si>
  <si>
    <t>経費２４</t>
  </si>
  <si>
    <t>衛生費</t>
  </si>
  <si>
    <t>経費２５</t>
  </si>
  <si>
    <t>経費２６</t>
  </si>
  <si>
    <t>荷造包装費</t>
  </si>
  <si>
    <t>経費２７</t>
  </si>
  <si>
    <t>水道光熱費</t>
  </si>
  <si>
    <t>経費２８</t>
  </si>
  <si>
    <t>旅費交通費</t>
  </si>
  <si>
    <t>経費２９</t>
  </si>
  <si>
    <t>諸会費</t>
  </si>
  <si>
    <t>経費３０</t>
  </si>
  <si>
    <t>管理諸費</t>
  </si>
  <si>
    <t>経費３１</t>
  </si>
  <si>
    <t>保守管理費</t>
  </si>
  <si>
    <t>経費３２</t>
  </si>
  <si>
    <t>図書費</t>
  </si>
  <si>
    <t>経費３３</t>
  </si>
  <si>
    <t>修繕費</t>
  </si>
  <si>
    <t>経費３４</t>
  </si>
  <si>
    <t>修繕維持費</t>
  </si>
  <si>
    <t>経費３５</t>
  </si>
  <si>
    <t>保険料</t>
  </si>
  <si>
    <t>経費３６</t>
  </si>
  <si>
    <t>経費３７</t>
  </si>
  <si>
    <t>寄付金</t>
  </si>
  <si>
    <t>減償</t>
  </si>
  <si>
    <t>減価償却費</t>
  </si>
  <si>
    <t>営00</t>
  </si>
  <si>
    <t>本社費</t>
  </si>
  <si>
    <t>営業外収益</t>
  </si>
  <si>
    <t>ﾁｪｯｸ欄：</t>
  </si>
  <si>
    <t>売上原価　 　合計</t>
  </si>
  <si>
    <t>営業外費用</t>
  </si>
  <si>
    <t>一般管理費</t>
  </si>
  <si>
    <t>経常利益</t>
  </si>
  <si>
    <t>特別利益・除却益</t>
  </si>
  <si>
    <t>営業利益</t>
  </si>
  <si>
    <t>営05</t>
  </si>
  <si>
    <t>特別損失・除却損</t>
  </si>
  <si>
    <t>税引前利益</t>
  </si>
  <si>
    <t>MQ会計(現状）　　　　　　（百万円）</t>
  </si>
  <si>
    <t>×</t>
  </si>
  <si>
    <t>メモ：</t>
  </si>
  <si>
    <t>①利益を決めよう　（百万円）例：2000万円→20</t>
  </si>
  <si>
    <t>百万円</t>
  </si>
  <si>
    <t>特別利益</t>
  </si>
  <si>
    <t>特別損失</t>
  </si>
  <si>
    <t>前年対比</t>
  </si>
  <si>
    <t>②MQ会計(未来）　　　　　　（百万円）</t>
  </si>
  <si>
    <t>１件当たりの客単価</t>
  </si>
  <si>
    <t>数</t>
  </si>
  <si>
    <t>目標値</t>
  </si>
  <si>
    <t>①まず初めにGの目標値を決めましょう。これは社長自身がいくらの利益を残したいのかを決定させる重要な課題です。
すべての決断は社長自身にあります。思い切った利益を追求しましょう！
②～⑤まで順番に現状から推移して115％～200％UPまで好きな数字を目標値に入れてください。
数字が合うように計算しましょう。
１，GはM-Fです。
２，FはM-Gです。
３．MはP-Vです。
４．VはP-Mです。
５．PはM＋Vです。</t>
  </si>
  <si>
    <r>
      <rPr>
        <sz val="36"/>
        <color theme="1"/>
        <rFont val="Calibri"/>
        <charset val="128"/>
        <scheme val="minor"/>
      </rPr>
      <t>③（Ｆ）人件費を入力する</t>
    </r>
    <r>
      <rPr>
        <sz val="14"/>
        <color theme="1"/>
        <rFont val="Calibri"/>
        <charset val="128"/>
        <scheme val="minor"/>
      </rPr>
      <t>（内勤・営業）</t>
    </r>
  </si>
  <si>
    <t>人件費明細</t>
  </si>
  <si>
    <t>年収を記入</t>
  </si>
  <si>
    <t/>
  </si>
  <si>
    <t>派遣社員</t>
  </si>
  <si>
    <t>区分・テーブル</t>
  </si>
  <si>
    <t>単価</t>
  </si>
  <si>
    <t>人数</t>
  </si>
  <si>
    <t>合計</t>
  </si>
  <si>
    <t>社員１</t>
  </si>
  <si>
    <t>パート１</t>
  </si>
  <si>
    <t>派遣社員1</t>
  </si>
  <si>
    <t>社員２</t>
  </si>
  <si>
    <t>パート２</t>
  </si>
  <si>
    <t>派遣社員2</t>
  </si>
  <si>
    <t>社員３</t>
  </si>
  <si>
    <t>パート３</t>
  </si>
  <si>
    <t>派遣社員3</t>
  </si>
  <si>
    <t>社員４</t>
  </si>
  <si>
    <t>パート４</t>
  </si>
  <si>
    <t>派遣社員4</t>
  </si>
  <si>
    <t>社員５</t>
  </si>
  <si>
    <t>パート５</t>
  </si>
  <si>
    <t>派遣社員5</t>
  </si>
  <si>
    <t>社員６</t>
  </si>
  <si>
    <t>アルバイト１</t>
  </si>
  <si>
    <t>派遣社員6</t>
  </si>
  <si>
    <t>社員７</t>
  </si>
  <si>
    <t>アルバイト２</t>
  </si>
  <si>
    <t>契約社員１</t>
  </si>
  <si>
    <t>社員８</t>
  </si>
  <si>
    <t>アルバイト３</t>
  </si>
  <si>
    <t>契約社員２</t>
  </si>
  <si>
    <t>計</t>
  </si>
  <si>
    <t>給料（現状）</t>
  </si>
  <si>
    <t>雑給料（現状）</t>
  </si>
  <si>
    <t>派遣社員費
（現状）</t>
  </si>
  <si>
    <t>平均年収</t>
  </si>
  <si>
    <t>上昇率</t>
  </si>
  <si>
    <t>未来</t>
  </si>
  <si>
    <r>
      <rPr>
        <sz val="36"/>
        <color theme="1"/>
        <rFont val="Calibri"/>
        <charset val="128"/>
        <scheme val="minor"/>
      </rPr>
      <t>④（F）経費を入力する　</t>
    </r>
    <r>
      <rPr>
        <b/>
        <sz val="12"/>
        <color theme="1"/>
        <rFont val="Calibri"/>
        <charset val="128"/>
        <scheme val="minor"/>
      </rPr>
      <t>（百万円）</t>
    </r>
  </si>
  <si>
    <t>経費（固定）</t>
  </si>
  <si>
    <t>人件費</t>
  </si>
  <si>
    <t>事業費</t>
  </si>
  <si>
    <t>科目</t>
  </si>
  <si>
    <t>試供品DM費</t>
  </si>
  <si>
    <t>現状　計</t>
  </si>
  <si>
    <r>
      <rPr>
        <sz val="36"/>
        <color theme="1"/>
        <rFont val="Calibri"/>
        <charset val="128"/>
        <scheme val="minor"/>
      </rPr>
      <t>⑤（V）人件費を入力する</t>
    </r>
    <r>
      <rPr>
        <sz val="14"/>
        <color theme="1"/>
        <rFont val="Calibri"/>
        <charset val="128"/>
        <scheme val="minor"/>
      </rPr>
      <t>（工事職人）</t>
    </r>
  </si>
  <si>
    <r>
      <rPr>
        <sz val="36"/>
        <color theme="1"/>
        <rFont val="Calibri"/>
        <charset val="128"/>
        <scheme val="minor"/>
      </rPr>
      <t>⑥（V）経費を入力する　</t>
    </r>
    <r>
      <rPr>
        <b/>
        <sz val="12"/>
        <color theme="1"/>
        <rFont val="Calibri"/>
        <charset val="128"/>
        <scheme val="minor"/>
      </rPr>
      <t>（百万円）</t>
    </r>
  </si>
  <si>
    <t>販促企画費</t>
  </si>
  <si>
    <t>（マイナスを入れてから入力）</t>
  </si>
  <si>
    <t>その他</t>
  </si>
  <si>
    <t>　現状　計</t>
  </si>
  <si>
    <t>外注</t>
  </si>
  <si>
    <t>⑦（PQ）原価の詳細　</t>
  </si>
  <si>
    <t>　</t>
  </si>
  <si>
    <t>売上計</t>
  </si>
  <si>
    <t>↓②～④に順番に記入</t>
  </si>
  <si>
    <t>①</t>
  </si>
  <si>
    <t>④</t>
  </si>
  <si>
    <t>③</t>
  </si>
  <si>
    <t>②</t>
  </si>
  <si>
    <t>1個あたり粗利益</t>
  </si>
  <si>
    <t>数量</t>
  </si>
  <si>
    <t>粗利益率</t>
  </si>
  <si>
    <t>商品名</t>
  </si>
  <si>
    <t>円</t>
  </si>
  <si>
    <t>１円</t>
  </si>
  <si>
    <t>個</t>
  </si>
  <si>
    <t>○○</t>
  </si>
  <si>
    <t>〇〇</t>
  </si>
  <si>
    <t>M（計）</t>
  </si>
  <si>
    <t>M(個）</t>
  </si>
  <si>
    <t>数量（Q)</t>
  </si>
  <si>
    <t>平均客単価</t>
  </si>
  <si>
    <t>売上　計</t>
  </si>
  <si>
    <t>平均粗利</t>
  </si>
  <si>
    <t>実績</t>
  </si>
  <si>
    <t>０になるまで修正</t>
  </si>
  <si>
    <t>粗利益率(%)</t>
  </si>
  <si>
    <t>客数(月)</t>
  </si>
  <si>
    <t>客単価(円)</t>
  </si>
  <si>
    <t>戦力（人）</t>
  </si>
  <si>
    <t>└→不足額</t>
  </si>
  <si>
    <t>1人あたりの利益</t>
  </si>
  <si>
    <t>１人あたりの生産性</t>
  </si>
  <si>
    <t>計画との差</t>
  </si>
  <si>
    <t>戦力（1人当たりの利益力</t>
  </si>
  <si>
    <t>1人当たり生産性</t>
  </si>
  <si>
    <t>来期</t>
  </si>
  <si>
    <t>売上高</t>
  </si>
  <si>
    <t>総費用</t>
  </si>
  <si>
    <t>利益</t>
  </si>
  <si>
    <t>損失</t>
  </si>
  <si>
    <t>固定費</t>
  </si>
  <si>
    <t>変動率（変動費÷売上高）</t>
  </si>
  <si>
    <t>損益分岐点　固定費÷(1-変動率)</t>
  </si>
  <si>
    <t>期短期計画</t>
  </si>
  <si>
    <t>更新</t>
  </si>
  <si>
    <t>目標売上成長率</t>
  </si>
  <si>
    <t>決算目標</t>
  </si>
  <si>
    <t>経費内訳</t>
  </si>
  <si>
    <t>製造原価内訳</t>
  </si>
  <si>
    <t>目標</t>
  </si>
  <si>
    <t>実績｜累積</t>
  </si>
  <si>
    <t>目標売上</t>
  </si>
  <si>
    <t>製造原価</t>
  </si>
  <si>
    <t>（経費）</t>
  </si>
  <si>
    <t>（販促費）</t>
  </si>
  <si>
    <t>人件費内訳</t>
  </si>
  <si>
    <t>純利益</t>
  </si>
  <si>
    <t>税引き前利益</t>
  </si>
  <si>
    <t>売上目標</t>
  </si>
  <si>
    <t>当月</t>
  </si>
  <si>
    <t>累計</t>
  </si>
  <si>
    <t>利益計画表</t>
  </si>
  <si>
    <t>粗利１％UP</t>
  </si>
  <si>
    <t>粗利２％UP</t>
  </si>
  <si>
    <t>粗利３％UP</t>
  </si>
  <si>
    <t>粗利４％UP</t>
  </si>
  <si>
    <t>粗利５％UP</t>
  </si>
  <si>
    <t>粗利６％UP</t>
  </si>
  <si>
    <t>粗利７％UP</t>
  </si>
  <si>
    <t>粗利８％UP</t>
  </si>
  <si>
    <t>粗利９％UP</t>
  </si>
  <si>
    <t>粗利１０％UP</t>
  </si>
  <si>
    <t>粗利</t>
  </si>
  <si>
    <t>粗利１％DOWN</t>
  </si>
  <si>
    <t>粗利２％DOWN</t>
  </si>
  <si>
    <t>粗利３％DOWN</t>
  </si>
  <si>
    <t>粗利４％DOWN</t>
  </si>
  <si>
    <t>粗利５％DOWN</t>
  </si>
  <si>
    <t>粗利６％DOWN</t>
  </si>
  <si>
    <t>粗利７％DOWN</t>
  </si>
  <si>
    <t>粗利８％DOWN</t>
  </si>
  <si>
    <t>粗利９％DOWN</t>
  </si>
  <si>
    <t>粗利１０％DOWN</t>
  </si>
  <si>
    <t>粗利が増えれば純利益が増えます。</t>
  </si>
  <si>
    <t>メモ</t>
  </si>
  <si>
    <t>しかし１０％落とすと・・・？</t>
  </si>
</sst>
</file>

<file path=xl/styles.xml><?xml version="1.0" encoding="utf-8"?>
<styleSheet xmlns="http://schemas.openxmlformats.org/spreadsheetml/2006/main" xmlns:mc="http://schemas.openxmlformats.org/markup-compatibility/2006" xmlns:xr9="http://schemas.microsoft.com/office/spreadsheetml/2016/revision9" mc:Ignorable="xr9">
  <numFmts count="2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m&quot;月&quot;"/>
    <numFmt numFmtId="180" formatCode="#,##0.0;[Red]\-#,##0.0"/>
    <numFmt numFmtId="181" formatCode="#,##0.000_ "/>
    <numFmt numFmtId="182" formatCode="#,##0.0_ "/>
    <numFmt numFmtId="183" formatCode="[$-F800]dddd\,\ mmmm\ dd\,\ yyyy"/>
    <numFmt numFmtId="184" formatCode="0.0_);[Red]\(0.0\)"/>
    <numFmt numFmtId="185" formatCode="#,##0.0"/>
    <numFmt numFmtId="186" formatCode="0.000_ "/>
    <numFmt numFmtId="187" formatCode="#,##0.000_ ;[Red]\-#,##0.000\ "/>
    <numFmt numFmtId="188" formatCode="&quot; （変動費小計 : &quot;#,##0.0&quot; ）&quot;"/>
    <numFmt numFmtId="189" formatCode="&quot; （固定費小計 : &quot;#,##0.0&quot; ）&quot;"/>
    <numFmt numFmtId="190" formatCode="&quot;¥&quot;#,##0;&quot;¥&quot;\-#,##0"/>
    <numFmt numFmtId="191" formatCode="#,##0.0_);[Red]\(#,##0.0\)"/>
    <numFmt numFmtId="192" formatCode="&quot;¥&quot;#,##0_);[Red]\(&quot;¥&quot;#,##0\)"/>
    <numFmt numFmtId="193" formatCode="##0&quot; 名&quot;"/>
    <numFmt numFmtId="194" formatCode="#,##0_ ;[Red]\-#,##0\ "/>
    <numFmt numFmtId="195" formatCode="#,##0_ "/>
    <numFmt numFmtId="196" formatCode="&quot;¥&quot;#,##0.0_);[Red]\(&quot;¥&quot;#,##0.0\)"/>
    <numFmt numFmtId="197" formatCode="&quot;¥&quot;#,##0;[Red]&quot;¥&quot;\-#,##0"/>
    <numFmt numFmtId="198" formatCode="&quot;¥&quot;#,##0.0;&quot;¥&quot;\-#,##0.0"/>
    <numFmt numFmtId="199" formatCode="&quot;(単位：&quot;@&quot;）&quot;"/>
    <numFmt numFmtId="200" formatCode="#,##0.0_ ;[Red]\-#,##0.0\ "/>
  </numFmts>
  <fonts count="76">
    <font>
      <sz val="11"/>
      <color theme="1"/>
      <name val="Calibri"/>
      <charset val="128"/>
      <scheme val="minor"/>
    </font>
    <font>
      <sz val="22"/>
      <color theme="1"/>
      <name val="Calibri"/>
      <charset val="128"/>
      <scheme val="minor"/>
    </font>
    <font>
      <sz val="9"/>
      <color theme="1"/>
      <name val="Calibri"/>
      <charset val="128"/>
      <scheme val="minor"/>
    </font>
    <font>
      <sz val="11"/>
      <color rgb="FF333333"/>
      <name val="メイリオ"/>
      <charset val="128"/>
    </font>
    <font>
      <sz val="11"/>
      <color indexed="9"/>
      <name val="ＭＳ Ｐゴシック"/>
      <charset val="128"/>
    </font>
    <font>
      <b/>
      <sz val="11"/>
      <name val="ＭＳ Ｐゴシック"/>
      <charset val="128"/>
    </font>
    <font>
      <sz val="11"/>
      <name val="ＭＳ Ｐゴシック"/>
      <charset val="128"/>
    </font>
    <font>
      <sz val="11"/>
      <color indexed="60"/>
      <name val="ＭＳ Ｐゴシック"/>
      <charset val="128"/>
    </font>
    <font>
      <sz val="16"/>
      <color theme="1"/>
      <name val="Calibri"/>
      <charset val="128"/>
      <scheme val="minor"/>
    </font>
    <font>
      <b/>
      <sz val="14"/>
      <color theme="1"/>
      <name val="Calibri"/>
      <charset val="128"/>
      <scheme val="minor"/>
    </font>
    <font>
      <sz val="18"/>
      <color theme="1"/>
      <name val="Calibri"/>
      <charset val="128"/>
      <scheme val="minor"/>
    </font>
    <font>
      <sz val="16"/>
      <color theme="4" tint="-0.249977111117893"/>
      <name val="Calibri"/>
      <charset val="128"/>
      <scheme val="minor"/>
    </font>
    <font>
      <sz val="16"/>
      <color theme="4" tint="-0.249977111117893"/>
      <name val="ＭＳ ゴシック"/>
      <charset val="128"/>
    </font>
    <font>
      <sz val="16"/>
      <color theme="4" tint="-0.249977111117893"/>
      <name val="ＭＳ Ｐゴシック"/>
      <charset val="128"/>
    </font>
    <font>
      <sz val="16"/>
      <name val="ＭＳ Ｐゴシック"/>
      <charset val="128"/>
    </font>
    <font>
      <sz val="11"/>
      <name val="ＭＳ ゴシック"/>
      <charset val="128"/>
    </font>
    <font>
      <sz val="11"/>
      <color indexed="12"/>
      <name val="ＭＳ Ｐゴシック"/>
      <charset val="128"/>
    </font>
    <font>
      <sz val="12"/>
      <name val="ＭＳ Ｐゴシック"/>
      <charset val="128"/>
    </font>
    <font>
      <sz val="16"/>
      <color indexed="60"/>
      <name val="ＭＳ Ｐゴシック"/>
      <charset val="128"/>
    </font>
    <font>
      <sz val="16"/>
      <color indexed="12"/>
      <name val="ＭＳ Ｐゴシック"/>
      <charset val="128"/>
    </font>
    <font>
      <sz val="16"/>
      <color indexed="18"/>
      <name val="ＭＳ Ｐゴシック"/>
      <charset val="128"/>
    </font>
    <font>
      <sz val="11"/>
      <color indexed="10"/>
      <name val="ＭＳ Ｐゴシック"/>
      <charset val="128"/>
    </font>
    <font>
      <b/>
      <sz val="12"/>
      <name val="ＭＳ Ｐゴシック"/>
      <charset val="128"/>
    </font>
    <font>
      <sz val="16"/>
      <color theme="1"/>
      <name val="ＭＳ Ｐゴシック"/>
      <charset val="128"/>
    </font>
    <font>
      <sz val="11"/>
      <color theme="1"/>
      <name val="Calibri"/>
      <charset val="134"/>
      <scheme val="minor"/>
    </font>
    <font>
      <b/>
      <sz val="11"/>
      <color theme="1"/>
      <name val="Calibri"/>
      <charset val="128"/>
      <scheme val="minor"/>
    </font>
    <font>
      <b/>
      <sz val="14"/>
      <name val="Calibri"/>
      <charset val="128"/>
      <scheme val="minor"/>
    </font>
    <font>
      <sz val="36"/>
      <color theme="1"/>
      <name val="Calibri"/>
      <charset val="128"/>
      <scheme val="minor"/>
    </font>
    <font>
      <b/>
      <sz val="16"/>
      <color theme="1"/>
      <name val="Calibri"/>
      <charset val="128"/>
      <scheme val="minor"/>
    </font>
    <font>
      <sz val="11"/>
      <color indexed="48"/>
      <name val="ＭＳ Ｐゴシック"/>
      <charset val="128"/>
    </font>
    <font>
      <sz val="18"/>
      <color rgb="FFC00000"/>
      <name val="ＭＳ Ｐゴシック"/>
      <charset val="128"/>
    </font>
    <font>
      <sz val="11"/>
      <name val="Calibri"/>
      <charset val="128"/>
      <scheme val="minor"/>
    </font>
    <font>
      <sz val="11"/>
      <color indexed="18"/>
      <name val="ＭＳ Ｐゴシック"/>
      <charset val="128"/>
    </font>
    <font>
      <sz val="11"/>
      <color rgb="FFC00000"/>
      <name val="ＭＳ Ｐゴシック"/>
      <charset val="128"/>
    </font>
    <font>
      <sz val="11"/>
      <color rgb="FFC00000"/>
      <name val="Calibri"/>
      <charset val="128"/>
      <scheme val="minor"/>
    </font>
    <font>
      <b/>
      <sz val="11"/>
      <color indexed="8"/>
      <name val="ＭＳ Ｐゴシック"/>
      <charset val="128"/>
    </font>
    <font>
      <b/>
      <sz val="11"/>
      <color indexed="18"/>
      <name val="ＭＳ Ｐゴシック"/>
      <charset val="128"/>
    </font>
    <font>
      <sz val="11"/>
      <color indexed="16"/>
      <name val="ＭＳ Ｐゴシック"/>
      <charset val="128"/>
    </font>
    <font>
      <b/>
      <sz val="16"/>
      <name val="ＭＳ Ｐゴシック"/>
      <charset val="128"/>
    </font>
    <font>
      <sz val="28"/>
      <color theme="1"/>
      <name val="Calibri"/>
      <charset val="128"/>
      <scheme val="minor"/>
    </font>
    <font>
      <sz val="14"/>
      <color theme="1"/>
      <name val="Calibri"/>
      <charset val="128"/>
      <scheme val="minor"/>
    </font>
    <font>
      <b/>
      <sz val="20"/>
      <color theme="1"/>
      <name val="Calibri"/>
      <charset val="128"/>
      <scheme val="minor"/>
    </font>
    <font>
      <sz val="24"/>
      <color theme="1"/>
      <name val="Calibri"/>
      <charset val="128"/>
      <scheme val="minor"/>
    </font>
    <font>
      <sz val="48"/>
      <color theme="1"/>
      <name val="Calibri"/>
      <charset val="128"/>
      <scheme val="minor"/>
    </font>
    <font>
      <b/>
      <sz val="12"/>
      <color theme="1"/>
      <name val="Calibri"/>
      <charset val="128"/>
      <scheme val="minor"/>
    </font>
    <font>
      <b/>
      <sz val="14"/>
      <name val="ＭＳ ゴシック"/>
      <charset val="128"/>
    </font>
    <font>
      <b/>
      <sz val="14"/>
      <name val="ＭＳ Ｐゴシック"/>
      <charset val="128"/>
    </font>
    <font>
      <b/>
      <sz val="28"/>
      <color theme="1"/>
      <name val="Calibri"/>
      <charset val="128"/>
      <scheme val="minor"/>
    </font>
    <font>
      <sz val="20"/>
      <color theme="1"/>
      <name val="Calibri"/>
      <charset val="128"/>
      <scheme val="minor"/>
    </font>
    <font>
      <b/>
      <sz val="20"/>
      <color rgb="FFC00000"/>
      <name val="ＭＳ Ｐゴシック"/>
      <charset val="128"/>
    </font>
    <font>
      <b/>
      <sz val="18"/>
      <name val="ＭＳ Ｐゴシック"/>
      <charset val="128"/>
    </font>
    <font>
      <sz val="12"/>
      <name val="Calibri"/>
      <charset val="128"/>
      <scheme val="minor"/>
    </font>
    <font>
      <b/>
      <sz val="11"/>
      <color rgb="FFFF0000"/>
      <name val="Calibri"/>
      <charset val="128"/>
      <scheme val="minor"/>
    </font>
    <font>
      <sz val="12"/>
      <color rgb="FFFF0000"/>
      <name val="ＭＳ Ｐゴシック"/>
      <charset val="128"/>
    </font>
    <font>
      <b/>
      <sz val="9"/>
      <name val="ＭＳ Ｐゴシック"/>
      <charset val="128"/>
    </font>
    <font>
      <sz val="12"/>
      <color theme="1"/>
      <name val="ＭＳ Ｐゴシック"/>
      <charset val="128"/>
    </font>
    <font>
      <b/>
      <sz val="11"/>
      <color rgb="FFC00000"/>
      <name val="ＭＳ Ｐゴシック"/>
      <charset val="128"/>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4">
    <fill>
      <patternFill patternType="none"/>
    </fill>
    <fill>
      <patternFill patternType="gray125"/>
    </fill>
    <fill>
      <patternFill patternType="solid">
        <fgColor rgb="FFFFFF00"/>
        <bgColor indexed="64"/>
      </patternFill>
    </fill>
    <fill>
      <patternFill patternType="solid">
        <fgColor theme="8" tint="0.799981688894314"/>
        <bgColor indexed="64"/>
      </patternFill>
    </fill>
    <fill>
      <patternFill patternType="solid">
        <fgColor indexed="41"/>
        <bgColor indexed="64"/>
      </patternFill>
    </fill>
    <fill>
      <patternFill patternType="solid">
        <fgColor indexed="42"/>
        <bgColor indexed="64"/>
      </patternFill>
    </fill>
    <fill>
      <patternFill patternType="solid">
        <fgColor indexed="44"/>
        <bgColor indexed="64"/>
      </patternFill>
    </fill>
    <fill>
      <patternFill patternType="solid">
        <fgColor rgb="FFFFCC99"/>
        <bgColor indexed="64"/>
      </patternFill>
    </fill>
    <fill>
      <patternFill patternType="solid">
        <fgColor indexed="47"/>
        <bgColor indexed="64"/>
      </patternFill>
    </fill>
    <fill>
      <patternFill patternType="solid">
        <fgColor theme="0" tint="-0.149998474074526"/>
        <bgColor indexed="64"/>
      </patternFill>
    </fill>
    <fill>
      <patternFill patternType="solid">
        <fgColor theme="0" tint="-0.249977111117893"/>
        <bgColor indexed="64"/>
      </patternFill>
    </fill>
    <fill>
      <patternFill patternType="solid">
        <fgColor indexed="22"/>
        <bgColor indexed="64"/>
      </patternFill>
    </fill>
    <fill>
      <patternFill patternType="solid">
        <fgColor theme="0" tint="-0.349986266670736"/>
        <bgColor indexed="64"/>
      </patternFill>
    </fill>
    <fill>
      <patternFill patternType="solid">
        <fgColor theme="5"/>
        <bgColor indexed="64"/>
      </patternFill>
    </fill>
    <fill>
      <patternFill patternType="solid">
        <fgColor rgb="FF00B0F0"/>
        <bgColor indexed="64"/>
      </patternFill>
    </fill>
    <fill>
      <patternFill patternType="solid">
        <fgColor indexed="13"/>
        <bgColor indexed="64"/>
      </patternFill>
    </fill>
    <fill>
      <patternFill patternType="solid">
        <fgColor theme="0"/>
        <bgColor indexed="64"/>
      </patternFill>
    </fill>
    <fill>
      <patternFill patternType="solid">
        <fgColor indexed="53"/>
        <bgColor indexed="64"/>
      </patternFill>
    </fill>
    <fill>
      <patternFill patternType="solid">
        <fgColor indexed="43"/>
        <bgColor indexed="64"/>
      </patternFill>
    </fill>
    <fill>
      <patternFill patternType="solid">
        <fgColor rgb="FFFF0000"/>
        <bgColor indexed="64"/>
      </patternFill>
    </fill>
    <fill>
      <patternFill patternType="solid">
        <fgColor theme="0" tint="-0.499984740745262"/>
        <bgColor indexed="64"/>
      </patternFill>
    </fill>
    <fill>
      <patternFill patternType="solid">
        <fgColor indexed="49"/>
        <bgColor indexed="64"/>
      </patternFill>
    </fill>
    <fill>
      <patternFill patternType="solid">
        <fgColor indexed="46"/>
        <bgColor indexed="64"/>
      </patternFill>
    </fill>
    <fill>
      <patternFill patternType="solid">
        <fgColor rgb="FFCC99FF"/>
        <bgColor indexed="64"/>
      </patternFill>
    </fill>
    <fill>
      <patternFill patternType="solid">
        <fgColor indexed="26"/>
        <bgColor indexed="64"/>
      </patternFill>
    </fill>
    <fill>
      <patternFill patternType="solid">
        <fgColor indexed="51"/>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thin">
        <color auto="1"/>
      </top>
      <bottom/>
      <diagonal/>
    </border>
    <border>
      <left style="medium">
        <color auto="1"/>
      </left>
      <right style="medium">
        <color auto="1"/>
      </right>
      <top style="medium">
        <color auto="1"/>
      </top>
      <bottom style="hair">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medium">
        <color auto="1"/>
      </left>
      <right style="medium">
        <color auto="1"/>
      </right>
      <top style="hair">
        <color auto="1"/>
      </top>
      <bottom style="hair">
        <color auto="1"/>
      </bottom>
      <diagonal/>
    </border>
    <border>
      <left style="medium">
        <color auto="1"/>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medium">
        <color auto="1"/>
      </right>
      <top style="hair">
        <color auto="1"/>
      </top>
      <bottom style="medium">
        <color auto="1"/>
      </bottom>
      <diagonal/>
    </border>
    <border>
      <left/>
      <right style="thin">
        <color auto="1"/>
      </right>
      <top style="thin">
        <color auto="1"/>
      </top>
      <bottom/>
      <diagonal/>
    </border>
    <border>
      <left/>
      <right style="thin">
        <color auto="1"/>
      </right>
      <top style="thin">
        <color auto="1"/>
      </top>
      <bottom style="hair">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hair">
        <color auto="1"/>
      </bottom>
      <diagonal/>
    </border>
    <border>
      <left style="thin">
        <color auto="1"/>
      </left>
      <right style="medium">
        <color auto="1"/>
      </right>
      <top style="hair">
        <color auto="1"/>
      </top>
      <bottom style="thin">
        <color auto="1"/>
      </bottom>
      <diagonal/>
    </border>
    <border>
      <left style="thick">
        <color auto="1"/>
      </left>
      <right style="thick">
        <color auto="1"/>
      </right>
      <top/>
      <bottom style="thick">
        <color auto="1"/>
      </bottom>
      <diagonal/>
    </border>
    <border>
      <left style="medium">
        <color auto="1"/>
      </left>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hair">
        <color auto="1"/>
      </right>
      <top style="medium">
        <color auto="1"/>
      </top>
      <bottom style="hair">
        <color auto="1"/>
      </bottom>
      <diagonal/>
    </border>
    <border>
      <left style="hair">
        <color auto="1"/>
      </left>
      <right/>
      <top style="medium">
        <color auto="1"/>
      </top>
      <bottom style="hair">
        <color auto="1"/>
      </bottom>
      <diagonal/>
    </border>
    <border>
      <left/>
      <right style="medium">
        <color auto="1"/>
      </right>
      <top style="medium">
        <color auto="1"/>
      </top>
      <bottom/>
      <diagonal/>
    </border>
    <border>
      <left style="thin">
        <color auto="1"/>
      </left>
      <right/>
      <top style="thin">
        <color auto="1"/>
      </top>
      <bottom/>
      <diagonal/>
    </border>
    <border>
      <left style="medium">
        <color auto="1"/>
      </left>
      <right style="thin">
        <color auto="1"/>
      </right>
      <top style="medium">
        <color auto="1"/>
      </top>
      <bottom style="hair">
        <color auto="1"/>
      </bottom>
      <diagonal/>
    </border>
    <border>
      <left style="thin">
        <color auto="1"/>
      </left>
      <right style="hair">
        <color auto="1"/>
      </right>
      <top style="hair">
        <color auto="1"/>
      </top>
      <bottom style="hair">
        <color auto="1"/>
      </bottom>
      <diagonal/>
    </border>
    <border>
      <left style="hair">
        <color auto="1"/>
      </left>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top style="hair">
        <color auto="1"/>
      </top>
      <bottom style="thin">
        <color auto="1"/>
      </bottom>
      <diagonal/>
    </border>
    <border>
      <left style="medium">
        <color auto="1"/>
      </left>
      <right style="thin">
        <color auto="1"/>
      </right>
      <top style="hair">
        <color auto="1"/>
      </top>
      <bottom style="hair">
        <color auto="1"/>
      </bottom>
      <diagonal/>
    </border>
    <border>
      <left style="thin">
        <color auto="1"/>
      </left>
      <right style="hair">
        <color auto="1"/>
      </right>
      <top style="thin">
        <color auto="1"/>
      </top>
      <bottom style="hair">
        <color auto="1"/>
      </bottom>
      <diagonal/>
    </border>
    <border>
      <left style="hair">
        <color auto="1"/>
      </left>
      <right/>
      <top style="thin">
        <color auto="1"/>
      </top>
      <bottom style="hair">
        <color auto="1"/>
      </bottom>
      <diagonal/>
    </border>
    <border>
      <left style="thin">
        <color auto="1"/>
      </left>
      <right style="hair">
        <color auto="1"/>
      </right>
      <top style="hair">
        <color auto="1"/>
      </top>
      <bottom style="medium">
        <color auto="1"/>
      </bottom>
      <diagonal/>
    </border>
    <border>
      <left style="hair">
        <color auto="1"/>
      </left>
      <right/>
      <top style="hair">
        <color auto="1"/>
      </top>
      <bottom style="medium">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hair">
        <color auto="1"/>
      </right>
      <top style="hair">
        <color auto="1"/>
      </top>
      <bottom/>
      <diagonal/>
    </border>
    <border>
      <left style="hair">
        <color auto="1"/>
      </left>
      <right/>
      <top style="hair">
        <color auto="1"/>
      </top>
      <bottom/>
      <diagonal/>
    </border>
    <border>
      <left style="medium">
        <color auto="1"/>
      </left>
      <right style="medium">
        <color auto="1"/>
      </right>
      <top style="hair">
        <color auto="1"/>
      </top>
      <bottom/>
      <diagonal/>
    </border>
    <border>
      <left style="thin">
        <color auto="1"/>
      </left>
      <right style="hair">
        <color auto="1"/>
      </right>
      <top/>
      <bottom style="hair">
        <color auto="1"/>
      </bottom>
      <diagonal/>
    </border>
    <border>
      <left style="hair">
        <color auto="1"/>
      </left>
      <right/>
      <top/>
      <bottom style="hair">
        <color auto="1"/>
      </bottom>
      <diagonal/>
    </border>
    <border>
      <left style="medium">
        <color auto="1"/>
      </left>
      <right style="thin">
        <color auto="1"/>
      </right>
      <top/>
      <bottom style="hair">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medium">
        <color auto="1"/>
      </left>
      <right style="hair">
        <color auto="1"/>
      </right>
      <top style="hair">
        <color auto="1"/>
      </top>
      <bottom style="thin">
        <color auto="1"/>
      </bottom>
      <diagonal/>
    </border>
    <border>
      <left style="medium">
        <color auto="1"/>
      </left>
      <right style="medium">
        <color auto="1"/>
      </right>
      <top style="hair">
        <color auto="1"/>
      </top>
      <bottom style="thin">
        <color auto="1"/>
      </bottom>
      <diagonal/>
    </border>
    <border>
      <left style="medium">
        <color auto="1"/>
      </left>
      <right style="hair">
        <color auto="1"/>
      </right>
      <top style="thin">
        <color auto="1"/>
      </top>
      <bottom style="hair">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right style="medium">
        <color auto="1"/>
      </right>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hair">
        <color auto="1"/>
      </right>
      <top style="hair">
        <color auto="1"/>
      </top>
      <bottom style="medium">
        <color auto="1"/>
      </bottom>
      <diagonal/>
    </border>
    <border>
      <left style="thin">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hair">
        <color auto="1"/>
      </top>
      <bottom style="hair">
        <color auto="1"/>
      </bottom>
      <diagonal/>
    </border>
    <border>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thin">
        <color auto="1"/>
      </left>
      <right style="hair">
        <color auto="1"/>
      </right>
      <top style="hair">
        <color auto="1"/>
      </top>
      <bottom/>
      <diagonal/>
    </border>
    <border>
      <left style="thin">
        <color auto="1"/>
      </left>
      <right style="hair">
        <color auto="1"/>
      </right>
      <top style="thin">
        <color auto="1"/>
      </top>
      <bottom/>
      <diagonal/>
    </border>
    <border>
      <left style="hair">
        <color auto="1"/>
      </left>
      <right style="thin">
        <color auto="1"/>
      </right>
      <top style="thin">
        <color auto="1"/>
      </top>
      <bottom style="hair">
        <color auto="1"/>
      </bottom>
      <diagonal/>
    </border>
    <border>
      <left style="thin">
        <color auto="1"/>
      </left>
      <right style="hair">
        <color auto="1"/>
      </right>
      <top/>
      <bottom style="thin">
        <color auto="1"/>
      </bottom>
      <diagonal/>
    </border>
    <border>
      <left style="hair">
        <color auto="1"/>
      </left>
      <right style="thin">
        <color auto="1"/>
      </right>
      <top style="hair">
        <color auto="1"/>
      </top>
      <bottom style="thin">
        <color auto="1"/>
      </bottom>
      <diagonal/>
    </border>
    <border>
      <left style="thin">
        <color auto="1"/>
      </left>
      <right style="thin">
        <color auto="1"/>
      </right>
      <top style="hair">
        <color auto="1"/>
      </top>
      <bottom style="dotted">
        <color auto="1"/>
      </bottom>
      <diagonal/>
    </border>
    <border>
      <left style="thin">
        <color auto="1"/>
      </left>
      <right style="thin">
        <color auto="1"/>
      </right>
      <top style="dotted">
        <color auto="1"/>
      </top>
      <bottom style="hair">
        <color auto="1"/>
      </bottom>
      <diagonal/>
    </border>
    <border>
      <left style="thin">
        <color auto="1"/>
      </left>
      <right/>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hair">
        <color auto="1"/>
      </left>
      <right style="thin">
        <color auto="1"/>
      </right>
      <top style="hair">
        <color auto="1"/>
      </top>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dashed">
        <color auto="1"/>
      </bottom>
      <diagonal/>
    </border>
    <border>
      <left style="thin">
        <color auto="1"/>
      </left>
      <right style="thin">
        <color auto="1"/>
      </right>
      <top style="dashed">
        <color auto="1"/>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dashed">
        <color auto="1"/>
      </top>
      <bottom style="dashed">
        <color auto="1"/>
      </bottom>
      <diagonal/>
    </border>
    <border>
      <left style="thin">
        <color auto="1"/>
      </left>
      <right style="thin">
        <color auto="1"/>
      </right>
      <top style="hair">
        <color auto="1"/>
      </top>
      <bottom/>
      <diagonal/>
    </border>
    <border>
      <left style="thin">
        <color auto="1"/>
      </left>
      <right/>
      <top style="hair">
        <color auto="1"/>
      </top>
      <bottom style="thin">
        <color auto="1"/>
      </bottom>
      <diagonal/>
    </border>
    <border>
      <left style="hair">
        <color auto="1"/>
      </left>
      <right style="hair">
        <color auto="1"/>
      </right>
      <top style="hair">
        <color auto="1"/>
      </top>
      <bottom style="thin">
        <color auto="1"/>
      </bottom>
      <diagonal/>
    </border>
    <border>
      <left/>
      <right style="hair">
        <color auto="1"/>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right style="thin">
        <color auto="1"/>
      </right>
      <top style="hair">
        <color auto="1"/>
      </top>
      <bottom/>
      <diagonal/>
    </border>
    <border>
      <left/>
      <right/>
      <top/>
      <bottom style="medium">
        <color auto="1"/>
      </bottom>
      <diagonal/>
    </border>
    <border>
      <left style="medium">
        <color auto="1"/>
      </left>
      <right/>
      <top/>
      <bottom/>
      <diagonal/>
    </border>
    <border>
      <left/>
      <right style="medium">
        <color auto="1"/>
      </right>
      <top style="thin">
        <color auto="1"/>
      </top>
      <bottom/>
      <diagonal/>
    </border>
    <border>
      <left/>
      <right style="medium">
        <color auto="1"/>
      </right>
      <top/>
      <bottom style="medium">
        <color auto="1"/>
      </bottom>
      <diagonal/>
    </border>
    <border>
      <left style="medium">
        <color auto="1"/>
      </left>
      <right style="medium">
        <color auto="1"/>
      </right>
      <top/>
      <bottom/>
      <diagonal/>
    </border>
    <border>
      <left style="thin">
        <color auto="1"/>
      </left>
      <right/>
      <top/>
      <bottom style="thin">
        <color auto="1"/>
      </bottom>
      <diagonal/>
    </border>
    <border>
      <left/>
      <right style="thin">
        <color auto="1"/>
      </right>
      <top/>
      <bottom/>
      <diagonal/>
    </border>
    <border>
      <left/>
      <right style="thin">
        <color auto="1"/>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medium">
        <color auto="1"/>
      </top>
      <bottom style="dashed">
        <color auto="1"/>
      </bottom>
      <diagonal/>
    </border>
    <border>
      <left style="thin">
        <color auto="1"/>
      </left>
      <right style="medium">
        <color auto="1"/>
      </right>
      <top style="dashed">
        <color auto="1"/>
      </top>
      <bottom style="dashed">
        <color auto="1"/>
      </bottom>
      <diagonal/>
    </border>
    <border>
      <left style="thin">
        <color auto="1"/>
      </left>
      <right style="medium">
        <color auto="1"/>
      </right>
      <top style="dashed">
        <color auto="1"/>
      </top>
      <bottom style="thin">
        <color auto="1"/>
      </bottom>
      <diagonal/>
    </border>
    <border>
      <left style="thin">
        <color auto="1"/>
      </left>
      <right style="medium">
        <color auto="1"/>
      </right>
      <top style="thin">
        <color auto="1"/>
      </top>
      <bottom style="dashed">
        <color auto="1"/>
      </bottom>
      <diagonal/>
    </border>
    <border>
      <left style="thin">
        <color auto="1"/>
      </left>
      <right style="medium">
        <color auto="1"/>
      </right>
      <top style="dashed">
        <color auto="1"/>
      </top>
      <bottom style="medium">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dashed">
        <color auto="1"/>
      </bottom>
      <diagonal/>
    </border>
    <border>
      <left style="thin">
        <color auto="1"/>
      </left>
      <right style="medium">
        <color auto="1"/>
      </right>
      <top style="dotted">
        <color auto="1"/>
      </top>
      <bottom style="dashed">
        <color auto="1"/>
      </bottom>
      <diagonal/>
    </border>
    <border>
      <left style="medium">
        <color auto="1"/>
      </left>
      <right style="thin">
        <color auto="1"/>
      </right>
      <top style="thin">
        <color auto="1"/>
      </top>
      <bottom style="dashed">
        <color auto="1"/>
      </bottom>
      <diagonal/>
    </border>
    <border>
      <left style="medium">
        <color auto="1"/>
      </left>
      <right style="thin">
        <color auto="1"/>
      </right>
      <top/>
      <bottom style="dashed">
        <color auto="1"/>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176"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177"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24" fillId="26" borderId="136" applyNumberFormat="0" applyFont="0" applyAlignment="0" applyProtection="0">
      <alignment vertical="center"/>
    </xf>
    <xf numFmtId="0" fontId="59"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0" borderId="137" applyNumberFormat="0" applyFill="0" applyAlignment="0" applyProtection="0">
      <alignment vertical="center"/>
    </xf>
    <xf numFmtId="0" fontId="63" fillId="0" borderId="137" applyNumberFormat="0" applyFill="0" applyAlignment="0" applyProtection="0">
      <alignment vertical="center"/>
    </xf>
    <xf numFmtId="0" fontId="64" fillId="0" borderId="138" applyNumberFormat="0" applyFill="0" applyAlignment="0" applyProtection="0">
      <alignment vertical="center"/>
    </xf>
    <xf numFmtId="0" fontId="64" fillId="0" borderId="0" applyNumberFormat="0" applyFill="0" applyBorder="0" applyAlignment="0" applyProtection="0">
      <alignment vertical="center"/>
    </xf>
    <xf numFmtId="0" fontId="65" fillId="7" borderId="139" applyNumberFormat="0" applyAlignment="0" applyProtection="0">
      <alignment vertical="center"/>
    </xf>
    <xf numFmtId="0" fontId="66" fillId="27" borderId="140" applyNumberFormat="0" applyAlignment="0" applyProtection="0">
      <alignment vertical="center"/>
    </xf>
    <xf numFmtId="0" fontId="67" fillId="27" borderId="139" applyNumberFormat="0" applyAlignment="0" applyProtection="0">
      <alignment vertical="center"/>
    </xf>
    <xf numFmtId="0" fontId="68" fillId="28" borderId="141" applyNumberFormat="0" applyAlignment="0" applyProtection="0">
      <alignment vertical="center"/>
    </xf>
    <xf numFmtId="0" fontId="69" fillId="0" borderId="142" applyNumberFormat="0" applyFill="0" applyAlignment="0" applyProtection="0">
      <alignment vertical="center"/>
    </xf>
    <xf numFmtId="0" fontId="70" fillId="0" borderId="143" applyNumberFormat="0" applyFill="0" applyAlignment="0" applyProtection="0">
      <alignment vertical="center"/>
    </xf>
    <xf numFmtId="0" fontId="71" fillId="29" borderId="0" applyNumberFormat="0" applyBorder="0" applyAlignment="0" applyProtection="0">
      <alignment vertical="center"/>
    </xf>
    <xf numFmtId="0" fontId="72" fillId="30" borderId="0" applyNumberFormat="0" applyBorder="0" applyAlignment="0" applyProtection="0">
      <alignment vertical="center"/>
    </xf>
    <xf numFmtId="0" fontId="73" fillId="31" borderId="0" applyNumberFormat="0" applyBorder="0" applyAlignment="0" applyProtection="0">
      <alignment vertical="center"/>
    </xf>
    <xf numFmtId="0" fontId="74" fillId="32" borderId="0" applyNumberFormat="0" applyBorder="0" applyAlignment="0" applyProtection="0">
      <alignment vertical="center"/>
    </xf>
    <xf numFmtId="0" fontId="75" fillId="33" borderId="0" applyNumberFormat="0" applyBorder="0" applyAlignment="0" applyProtection="0">
      <alignment vertical="center"/>
    </xf>
    <xf numFmtId="0" fontId="75" fillId="34" borderId="0" applyNumberFormat="0" applyBorder="0" applyAlignment="0" applyProtection="0">
      <alignment vertical="center"/>
    </xf>
    <xf numFmtId="0" fontId="74" fillId="35" borderId="0" applyNumberFormat="0" applyBorder="0" applyAlignment="0" applyProtection="0">
      <alignment vertical="center"/>
    </xf>
    <xf numFmtId="0" fontId="74" fillId="13" borderId="0" applyNumberFormat="0" applyBorder="0" applyAlignment="0" applyProtection="0">
      <alignment vertical="center"/>
    </xf>
    <xf numFmtId="0" fontId="75" fillId="36" borderId="0" applyNumberFormat="0" applyBorder="0" applyAlignment="0" applyProtection="0">
      <alignment vertical="center"/>
    </xf>
    <xf numFmtId="0" fontId="75" fillId="37" borderId="0" applyNumberFormat="0" applyBorder="0" applyAlignment="0" applyProtection="0">
      <alignment vertical="center"/>
    </xf>
    <xf numFmtId="0" fontId="74" fillId="38" borderId="0" applyNumberFormat="0" applyBorder="0" applyAlignment="0" applyProtection="0">
      <alignment vertical="center"/>
    </xf>
    <xf numFmtId="0" fontId="74" fillId="39" borderId="0" applyNumberFormat="0" applyBorder="0" applyAlignment="0" applyProtection="0">
      <alignment vertical="center"/>
    </xf>
    <xf numFmtId="0" fontId="75" fillId="40" borderId="0" applyNumberFormat="0" applyBorder="0" applyAlignment="0" applyProtection="0">
      <alignment vertical="center"/>
    </xf>
    <xf numFmtId="0" fontId="75" fillId="41" borderId="0" applyNumberFormat="0" applyBorder="0" applyAlignment="0" applyProtection="0">
      <alignment vertical="center"/>
    </xf>
    <xf numFmtId="0" fontId="74" fillId="42" borderId="0" applyNumberFormat="0" applyBorder="0" applyAlignment="0" applyProtection="0">
      <alignment vertical="center"/>
    </xf>
    <xf numFmtId="0" fontId="74" fillId="43" borderId="0" applyNumberFormat="0" applyBorder="0" applyAlignment="0" applyProtection="0">
      <alignment vertical="center"/>
    </xf>
    <xf numFmtId="0" fontId="75" fillId="44" borderId="0" applyNumberFormat="0" applyBorder="0" applyAlignment="0" applyProtection="0">
      <alignment vertical="center"/>
    </xf>
    <xf numFmtId="0" fontId="75" fillId="45" borderId="0" applyNumberFormat="0" applyBorder="0" applyAlignment="0" applyProtection="0">
      <alignment vertical="center"/>
    </xf>
    <xf numFmtId="0" fontId="74" fillId="46" borderId="0" applyNumberFormat="0" applyBorder="0" applyAlignment="0" applyProtection="0">
      <alignment vertical="center"/>
    </xf>
    <xf numFmtId="0" fontId="74" fillId="47" borderId="0" applyNumberFormat="0" applyBorder="0" applyAlignment="0" applyProtection="0">
      <alignment vertical="center"/>
    </xf>
    <xf numFmtId="0" fontId="75" fillId="3" borderId="0" applyNumberFormat="0" applyBorder="0" applyAlignment="0" applyProtection="0">
      <alignment vertical="center"/>
    </xf>
    <xf numFmtId="0" fontId="75" fillId="48" borderId="0" applyNumberFormat="0" applyBorder="0" applyAlignment="0" applyProtection="0">
      <alignment vertical="center"/>
    </xf>
    <xf numFmtId="0" fontId="74" fillId="49" borderId="0" applyNumberFormat="0" applyBorder="0" applyAlignment="0" applyProtection="0">
      <alignment vertical="center"/>
    </xf>
    <xf numFmtId="0" fontId="74" fillId="50" borderId="0" applyNumberFormat="0" applyBorder="0" applyAlignment="0" applyProtection="0">
      <alignment vertical="center"/>
    </xf>
    <xf numFmtId="0" fontId="75" fillId="51" borderId="0" applyNumberFormat="0" applyBorder="0" applyAlignment="0" applyProtection="0">
      <alignment vertical="center"/>
    </xf>
    <xf numFmtId="0" fontId="75" fillId="52" borderId="0" applyNumberFormat="0" applyBorder="0" applyAlignment="0" applyProtection="0">
      <alignment vertical="center"/>
    </xf>
    <xf numFmtId="0" fontId="74" fillId="53" borderId="0" applyNumberFormat="0" applyBorder="0" applyAlignment="0" applyProtection="0">
      <alignment vertical="center"/>
    </xf>
    <xf numFmtId="38" fontId="24" fillId="0" borderId="0" applyFont="0" applyFill="0" applyBorder="0" applyAlignment="0" applyProtection="0">
      <alignment vertical="center"/>
    </xf>
    <xf numFmtId="0" fontId="0" fillId="0" borderId="0">
      <alignment vertical="center"/>
    </xf>
    <xf numFmtId="0" fontId="24" fillId="0" borderId="0"/>
  </cellStyleXfs>
  <cellXfs count="660">
    <xf numFmtId="0" fontId="0" fillId="0" borderId="0" xfId="0">
      <alignment vertical="center"/>
    </xf>
    <xf numFmtId="0" fontId="1" fillId="2" borderId="1" xfId="0" applyFont="1" applyFill="1" applyBorder="1" applyAlignment="1">
      <alignment horizontal="center" vertical="center"/>
    </xf>
    <xf numFmtId="0" fontId="1" fillId="0" borderId="2" xfId="0" applyFont="1" applyBorder="1" applyAlignment="1">
      <alignment horizontal="center" vertical="center"/>
    </xf>
    <xf numFmtId="0" fontId="0" fillId="3" borderId="3" xfId="0" applyFill="1" applyBorder="1">
      <alignment vertical="center"/>
    </xf>
    <xf numFmtId="0" fontId="0" fillId="3" borderId="3" xfId="0" applyFill="1" applyBorder="1" applyAlignment="1">
      <alignment horizontal="center" vertical="center"/>
    </xf>
    <xf numFmtId="0" fontId="0" fillId="0" borderId="3" xfId="0" applyBorder="1">
      <alignment vertical="center"/>
    </xf>
    <xf numFmtId="178" fontId="0" fillId="0" borderId="3" xfId="0" applyNumberFormat="1" applyBorder="1" applyAlignment="1">
      <alignment horizontal="right" vertical="center"/>
    </xf>
    <xf numFmtId="38" fontId="0" fillId="0" borderId="3" xfId="0" applyNumberFormat="1" applyBorder="1" applyAlignment="1">
      <alignment horizontal="right" vertical="center"/>
    </xf>
    <xf numFmtId="0" fontId="2" fillId="3" borderId="3" xfId="0" applyFont="1" applyFill="1" applyBorder="1" applyAlignment="1">
      <alignment horizontal="right" vertical="center"/>
    </xf>
    <xf numFmtId="0" fontId="0" fillId="0" borderId="3" xfId="0" applyBorder="1" applyAlignment="1">
      <alignment horizontal="right" vertical="center"/>
    </xf>
    <xf numFmtId="178" fontId="3" fillId="0" borderId="3" xfId="0" applyNumberFormat="1" applyFont="1" applyBorder="1">
      <alignment vertical="center"/>
    </xf>
    <xf numFmtId="178" fontId="0" fillId="0" borderId="3" xfId="0" applyNumberFormat="1" applyBorder="1">
      <alignment vertical="center"/>
    </xf>
    <xf numFmtId="0" fontId="0" fillId="0" borderId="4" xfId="0" applyBorder="1" applyAlignment="1" applyProtection="1">
      <alignment vertical="top"/>
      <protection locked="0"/>
    </xf>
    <xf numFmtId="0" fontId="0" fillId="0" borderId="0" xfId="0" applyAlignment="1" applyProtection="1">
      <alignment vertical="top"/>
      <protection locked="0"/>
    </xf>
    <xf numFmtId="0" fontId="1" fillId="0" borderId="5" xfId="0" applyFont="1" applyBorder="1" applyAlignment="1">
      <alignment horizontal="center" vertical="center"/>
    </xf>
    <xf numFmtId="0" fontId="0" fillId="0" borderId="0" xfId="0" applyAlignment="1"/>
    <xf numFmtId="0" fontId="4" fillId="0" borderId="0" xfId="0" applyFont="1" applyAlignment="1"/>
    <xf numFmtId="0" fontId="4" fillId="0" borderId="0" xfId="0" applyFont="1" applyAlignment="1">
      <alignment horizontal="center"/>
    </xf>
    <xf numFmtId="0" fontId="5" fillId="4" borderId="6" xfId="0" applyFont="1" applyFill="1" applyBorder="1" applyAlignment="1">
      <alignment horizontal="center" vertical="center"/>
    </xf>
    <xf numFmtId="179" fontId="5" fillId="4" borderId="7" xfId="0" applyNumberFormat="1" applyFont="1" applyFill="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5" fillId="4" borderId="9" xfId="0" applyFont="1" applyFill="1" applyBorder="1" applyAlignment="1">
      <alignment horizontal="center" vertical="center" shrinkToFit="1"/>
    </xf>
    <xf numFmtId="0" fontId="5" fillId="4" borderId="10" xfId="0" applyFont="1" applyFill="1" applyBorder="1" applyAlignment="1">
      <alignment horizontal="center" vertical="center"/>
    </xf>
    <xf numFmtId="0" fontId="5" fillId="4" borderId="11" xfId="0" applyFont="1" applyFill="1" applyBorder="1" applyAlignment="1">
      <alignment horizontal="center" vertical="center"/>
    </xf>
    <xf numFmtId="0" fontId="5" fillId="4" borderId="12" xfId="0" applyFont="1" applyFill="1" applyBorder="1" applyAlignment="1">
      <alignment horizontal="center" vertical="center"/>
    </xf>
    <xf numFmtId="0" fontId="6" fillId="5" borderId="6" xfId="0" applyFont="1" applyFill="1" applyBorder="1" applyAlignment="1">
      <alignment horizontal="center" vertical="center" shrinkToFit="1"/>
    </xf>
    <xf numFmtId="180" fontId="5" fillId="6" borderId="13" xfId="0" applyNumberFormat="1" applyFont="1" applyFill="1" applyBorder="1" applyAlignment="1">
      <alignment shrinkToFit="1"/>
    </xf>
    <xf numFmtId="0" fontId="0" fillId="0" borderId="13" xfId="0" applyBorder="1" applyAlignment="1">
      <alignment horizontal="center" vertical="center" shrinkToFit="1"/>
    </xf>
    <xf numFmtId="180" fontId="6" fillId="0" borderId="14" xfId="0" applyNumberFormat="1" applyFont="1" applyBorder="1" applyAlignment="1" applyProtection="1">
      <alignment shrinkToFit="1"/>
      <protection locked="0"/>
    </xf>
    <xf numFmtId="180" fontId="7" fillId="0" borderId="15" xfId="0" applyNumberFormat="1" applyFont="1" applyBorder="1" applyAlignment="1">
      <alignment shrinkToFit="1"/>
    </xf>
    <xf numFmtId="180" fontId="6" fillId="0" borderId="15" xfId="0" applyNumberFormat="1" applyFont="1" applyBorder="1" applyAlignment="1" applyProtection="1">
      <alignment shrinkToFit="1"/>
      <protection locked="0"/>
    </xf>
    <xf numFmtId="0" fontId="7" fillId="5" borderId="9" xfId="0" applyFont="1" applyFill="1" applyBorder="1" applyAlignment="1">
      <alignment horizontal="center" shrinkToFit="1"/>
    </xf>
    <xf numFmtId="180" fontId="5" fillId="0" borderId="16" xfId="0" applyNumberFormat="1" applyFont="1" applyBorder="1" applyAlignment="1">
      <alignment shrinkToFit="1"/>
    </xf>
    <xf numFmtId="0" fontId="0" fillId="0" borderId="16" xfId="0" applyBorder="1" applyAlignment="1">
      <alignment horizontal="center" vertical="center" shrinkToFit="1"/>
    </xf>
    <xf numFmtId="180" fontId="6" fillId="0" borderId="17" xfId="0" applyNumberFormat="1" applyFont="1" applyBorder="1" applyAlignment="1" applyProtection="1">
      <alignment shrinkToFit="1"/>
      <protection locked="0"/>
    </xf>
    <xf numFmtId="180" fontId="7" fillId="0" borderId="18" xfId="0" applyNumberFormat="1" applyFont="1" applyBorder="1" applyAlignment="1">
      <alignment shrinkToFit="1"/>
    </xf>
    <xf numFmtId="180" fontId="6" fillId="0" borderId="18" xfId="0" applyNumberFormat="1" applyFont="1" applyBorder="1" applyAlignment="1" applyProtection="1">
      <alignment shrinkToFit="1"/>
      <protection locked="0"/>
    </xf>
    <xf numFmtId="180" fontId="5" fillId="0" borderId="19" xfId="0" applyNumberFormat="1" applyFont="1" applyBorder="1" applyAlignment="1">
      <alignment shrinkToFit="1"/>
    </xf>
    <xf numFmtId="0" fontId="0" fillId="0" borderId="19" xfId="0" applyBorder="1" applyAlignment="1">
      <alignment horizontal="center" vertical="center" shrinkToFit="1"/>
    </xf>
    <xf numFmtId="181" fontId="4" fillId="0" borderId="0" xfId="0" applyNumberFormat="1" applyFont="1">
      <alignment vertical="center"/>
    </xf>
    <xf numFmtId="182" fontId="4" fillId="0" borderId="0" xfId="0" applyNumberFormat="1" applyFont="1" applyAlignment="1"/>
    <xf numFmtId="0" fontId="7" fillId="0" borderId="18" xfId="0" applyFont="1" applyBorder="1" applyAlignment="1">
      <alignment shrinkToFit="1"/>
    </xf>
    <xf numFmtId="0" fontId="5" fillId="4" borderId="20" xfId="0" applyFont="1" applyFill="1" applyBorder="1" applyAlignment="1">
      <alignment horizontal="center" vertical="center"/>
    </xf>
    <xf numFmtId="180" fontId="6" fillId="0" borderId="21" xfId="0" applyNumberFormat="1" applyFont="1" applyBorder="1" applyAlignment="1" applyProtection="1">
      <alignment shrinkToFit="1"/>
      <protection locked="0"/>
    </xf>
    <xf numFmtId="0" fontId="5" fillId="4" borderId="22" xfId="0" applyFont="1" applyFill="1" applyBorder="1" applyAlignment="1">
      <alignment horizontal="center" vertical="center"/>
    </xf>
    <xf numFmtId="180" fontId="7" fillId="0" borderId="23" xfId="0" applyNumberFormat="1" applyFont="1" applyBorder="1" applyAlignment="1">
      <alignment shrinkToFit="1"/>
    </xf>
    <xf numFmtId="180" fontId="7" fillId="0" borderId="24" xfId="0" applyNumberFormat="1" applyFont="1" applyBorder="1" applyAlignment="1">
      <alignment shrinkToFit="1"/>
    </xf>
    <xf numFmtId="0" fontId="0" fillId="0" borderId="1" xfId="0" applyBorder="1">
      <alignment vertical="center"/>
    </xf>
    <xf numFmtId="0" fontId="0" fillId="0" borderId="2" xfId="0" applyBorder="1">
      <alignment vertical="center"/>
    </xf>
    <xf numFmtId="0" fontId="0" fillId="0" borderId="5" xfId="0" applyBorder="1">
      <alignment vertical="center"/>
    </xf>
    <xf numFmtId="0" fontId="8" fillId="2" borderId="25" xfId="0" applyFont="1" applyFill="1" applyBorder="1">
      <alignment vertical="center"/>
    </xf>
    <xf numFmtId="0" fontId="8" fillId="2" borderId="0" xfId="0" applyFont="1" applyFill="1">
      <alignment vertical="center"/>
    </xf>
    <xf numFmtId="183" fontId="0" fillId="0" borderId="0" xfId="0" applyNumberFormat="1" applyFont="1" applyProtection="1">
      <alignment vertical="center"/>
      <protection locked="0"/>
    </xf>
    <xf numFmtId="0" fontId="0" fillId="0" borderId="0" xfId="0" applyAlignment="1">
      <alignment vertical="center" textRotation="255"/>
    </xf>
    <xf numFmtId="0" fontId="0" fillId="0" borderId="0" xfId="0" applyProtection="1">
      <alignment vertical="center"/>
      <protection locked="0"/>
    </xf>
    <xf numFmtId="0" fontId="9" fillId="0" borderId="26" xfId="0" applyFont="1" applyBorder="1">
      <alignment vertical="center"/>
    </xf>
    <xf numFmtId="38" fontId="10" fillId="0" borderId="27" xfId="0" applyNumberFormat="1" applyFont="1" applyBorder="1">
      <alignment vertical="center"/>
    </xf>
    <xf numFmtId="38" fontId="0" fillId="0" borderId="28" xfId="0" applyNumberFormat="1" applyBorder="1">
      <alignment vertical="center"/>
    </xf>
    <xf numFmtId="0" fontId="11" fillId="7" borderId="29" xfId="0" applyFont="1" applyFill="1" applyBorder="1" applyAlignment="1">
      <alignment horizontal="center" vertical="center"/>
    </xf>
    <xf numFmtId="0" fontId="11" fillId="7" borderId="27" xfId="0" applyFont="1" applyFill="1" applyBorder="1" applyAlignment="1">
      <alignment horizontal="center" vertical="center"/>
    </xf>
    <xf numFmtId="0" fontId="11" fillId="7" borderId="28" xfId="0" applyFont="1" applyFill="1" applyBorder="1" applyAlignment="1">
      <alignment horizontal="center" vertical="center"/>
    </xf>
    <xf numFmtId="0" fontId="12" fillId="7" borderId="30" xfId="0" applyFont="1" applyFill="1" applyBorder="1" applyAlignment="1">
      <alignment shrinkToFit="1"/>
    </xf>
    <xf numFmtId="0" fontId="13" fillId="7" borderId="31" xfId="0" applyFont="1" applyFill="1" applyBorder="1" applyAlignment="1">
      <alignment horizontal="center" shrinkToFit="1"/>
    </xf>
    <xf numFmtId="0" fontId="11" fillId="7" borderId="32" xfId="0" applyFont="1" applyFill="1" applyBorder="1">
      <alignment vertical="center"/>
    </xf>
    <xf numFmtId="0" fontId="14" fillId="8" borderId="33" xfId="0" applyFont="1" applyFill="1" applyBorder="1" applyAlignment="1">
      <alignment shrinkToFit="1"/>
    </xf>
    <xf numFmtId="0" fontId="6" fillId="8" borderId="4" xfId="0" applyFont="1" applyFill="1" applyBorder="1" applyAlignment="1">
      <alignment shrinkToFit="1"/>
    </xf>
    <xf numFmtId="0" fontId="6" fillId="7" borderId="34" xfId="0" applyFont="1" applyFill="1" applyBorder="1" applyAlignment="1">
      <alignment shrinkToFit="1"/>
    </xf>
    <xf numFmtId="0" fontId="15" fillId="9" borderId="35" xfId="0" applyFont="1" applyFill="1" applyBorder="1" applyAlignment="1">
      <alignment shrinkToFit="1"/>
    </xf>
    <xf numFmtId="184" fontId="14" fillId="2" borderId="36" xfId="0" applyNumberFormat="1" applyFont="1" applyFill="1" applyBorder="1" applyAlignment="1">
      <alignment shrinkToFit="1"/>
    </xf>
    <xf numFmtId="180" fontId="16" fillId="10" borderId="16" xfId="0" applyNumberFormat="1" applyFont="1" applyFill="1" applyBorder="1" applyAlignment="1" applyProtection="1">
      <alignment shrinkToFit="1"/>
      <protection locked="0"/>
    </xf>
    <xf numFmtId="0" fontId="13" fillId="8" borderId="37" xfId="0" applyFont="1" applyFill="1" applyBorder="1" applyAlignment="1">
      <alignment horizontal="center" shrinkToFit="1"/>
    </xf>
    <xf numFmtId="0" fontId="13" fillId="8" borderId="38" xfId="0" applyFont="1" applyFill="1" applyBorder="1" applyAlignment="1">
      <alignment horizontal="center" shrinkToFit="1"/>
    </xf>
    <xf numFmtId="0" fontId="13" fillId="8" borderId="39" xfId="0" applyFont="1" applyFill="1" applyBorder="1" applyAlignment="1">
      <alignment horizontal="center" shrinkToFit="1"/>
    </xf>
    <xf numFmtId="0" fontId="6" fillId="9" borderId="35" xfId="0" applyFont="1" applyFill="1" applyBorder="1" applyAlignment="1">
      <alignment shrinkToFit="1"/>
    </xf>
    <xf numFmtId="185" fontId="6" fillId="0" borderId="16" xfId="0" applyNumberFormat="1" applyFont="1" applyBorder="1" applyAlignment="1" applyProtection="1">
      <alignment shrinkToFit="1"/>
      <protection locked="0"/>
    </xf>
    <xf numFmtId="0" fontId="17" fillId="9" borderId="40" xfId="0" applyFont="1" applyFill="1" applyBorder="1" applyAlignment="1">
      <alignment shrinkToFit="1"/>
    </xf>
    <xf numFmtId="180" fontId="14" fillId="2" borderId="41" xfId="0" applyNumberFormat="1" applyFont="1" applyFill="1" applyBorder="1" applyAlignment="1">
      <alignment shrinkToFit="1"/>
    </xf>
    <xf numFmtId="180" fontId="18" fillId="0" borderId="39" xfId="0" applyNumberFormat="1" applyFont="1" applyBorder="1" applyAlignment="1" applyProtection="1">
      <alignment shrinkToFit="1"/>
      <protection locked="0"/>
    </xf>
    <xf numFmtId="180" fontId="7" fillId="0" borderId="16" xfId="0" applyNumberFormat="1" applyFont="1" applyBorder="1" applyAlignment="1" applyProtection="1">
      <alignment shrinkToFit="1"/>
      <protection locked="0"/>
    </xf>
    <xf numFmtId="178" fontId="14" fillId="2" borderId="36" xfId="0" applyNumberFormat="1" applyFont="1" applyFill="1" applyBorder="1" applyAlignment="1">
      <alignment shrinkToFit="1"/>
    </xf>
    <xf numFmtId="180" fontId="19" fillId="0" borderId="39" xfId="0" applyNumberFormat="1" applyFont="1" applyBorder="1" applyAlignment="1" applyProtection="1">
      <alignment shrinkToFit="1"/>
      <protection locked="0"/>
    </xf>
    <xf numFmtId="184" fontId="14" fillId="2" borderId="36" xfId="0" applyNumberFormat="1" applyFont="1" applyFill="1" applyBorder="1" applyAlignment="1">
      <alignment horizontal="right" shrinkToFit="1"/>
    </xf>
    <xf numFmtId="186" fontId="4" fillId="0" borderId="16" xfId="0" applyNumberFormat="1" applyFont="1" applyBorder="1" applyAlignment="1" applyProtection="1">
      <alignment shrinkToFit="1"/>
      <protection locked="0"/>
    </xf>
    <xf numFmtId="186" fontId="16" fillId="0" borderId="16" xfId="0" applyNumberFormat="1" applyFont="1" applyBorder="1" applyAlignment="1" applyProtection="1">
      <alignment shrinkToFit="1"/>
      <protection locked="0"/>
    </xf>
    <xf numFmtId="187" fontId="7" fillId="0" borderId="16" xfId="0" applyNumberFormat="1" applyFont="1" applyBorder="1" applyAlignment="1" applyProtection="1">
      <alignment shrinkToFit="1"/>
      <protection locked="0"/>
    </xf>
    <xf numFmtId="0" fontId="14" fillId="0" borderId="39" xfId="0" applyFont="1" applyBorder="1" applyAlignment="1" applyProtection="1">
      <alignment shrinkToFit="1"/>
      <protection locked="0"/>
    </xf>
    <xf numFmtId="0" fontId="14" fillId="10" borderId="37" xfId="0" applyFont="1" applyFill="1" applyBorder="1" applyAlignment="1">
      <alignment horizontal="center" shrinkToFit="1"/>
    </xf>
    <xf numFmtId="180" fontId="14" fillId="11" borderId="38" xfId="0" applyNumberFormat="1" applyFont="1" applyFill="1" applyBorder="1" applyAlignment="1">
      <alignment shrinkToFit="1"/>
    </xf>
    <xf numFmtId="180" fontId="14" fillId="11" borderId="17" xfId="0" applyNumberFormat="1" applyFont="1" applyFill="1" applyBorder="1" applyAlignment="1">
      <alignment shrinkToFit="1"/>
    </xf>
    <xf numFmtId="180" fontId="16" fillId="0" borderId="16" xfId="0" applyNumberFormat="1" applyFont="1" applyBorder="1" applyAlignment="1" applyProtection="1">
      <alignment shrinkToFit="1"/>
      <protection locked="0"/>
    </xf>
    <xf numFmtId="0" fontId="15" fillId="10" borderId="42" xfId="0" applyFont="1" applyFill="1" applyBorder="1" applyAlignment="1">
      <alignment horizontal="left" shrinkToFit="1"/>
    </xf>
    <xf numFmtId="184" fontId="14" fillId="10" borderId="43" xfId="0" applyNumberFormat="1" applyFont="1" applyFill="1" applyBorder="1" applyAlignment="1">
      <alignment shrinkToFit="1"/>
    </xf>
    <xf numFmtId="180" fontId="7" fillId="2" borderId="41" xfId="0" applyNumberFormat="1" applyFont="1" applyFill="1" applyBorder="1" applyAlignment="1">
      <alignment shrinkToFit="1"/>
    </xf>
    <xf numFmtId="180" fontId="19" fillId="0" borderId="14" xfId="0" applyNumberFormat="1" applyFont="1" applyBorder="1" applyAlignment="1" applyProtection="1">
      <alignment shrinkToFit="1"/>
      <protection locked="0"/>
    </xf>
    <xf numFmtId="0" fontId="13" fillId="8" borderId="7" xfId="0" applyFont="1" applyFill="1" applyBorder="1" applyAlignment="1">
      <alignment shrinkToFit="1"/>
    </xf>
    <xf numFmtId="0" fontId="14" fillId="8" borderId="44" xfId="0" applyFont="1" applyFill="1" applyBorder="1" applyAlignment="1">
      <alignment shrinkToFit="1"/>
    </xf>
    <xf numFmtId="0" fontId="20" fillId="8" borderId="45" xfId="0" applyFont="1" applyFill="1" applyBorder="1" applyAlignment="1">
      <alignment horizontal="center" shrinkToFit="1"/>
    </xf>
    <xf numFmtId="0" fontId="20" fillId="8" borderId="1" xfId="0" applyFont="1" applyFill="1" applyBorder="1" applyAlignment="1">
      <alignment horizontal="center" shrinkToFit="1"/>
    </xf>
    <xf numFmtId="178" fontId="16" fillId="0" borderId="16" xfId="0" applyNumberFormat="1" applyFont="1" applyBorder="1" applyAlignment="1" applyProtection="1">
      <alignment shrinkToFit="1"/>
      <protection locked="0"/>
    </xf>
    <xf numFmtId="0" fontId="17" fillId="9" borderId="45" xfId="0" applyFont="1" applyFill="1" applyBorder="1" applyAlignment="1">
      <alignment shrinkToFit="1"/>
    </xf>
    <xf numFmtId="180" fontId="14" fillId="2" borderId="1" xfId="0" applyNumberFormat="1" applyFont="1" applyFill="1" applyBorder="1" applyAlignment="1">
      <alignment shrinkToFit="1"/>
    </xf>
    <xf numFmtId="180" fontId="21" fillId="0" borderId="16" xfId="0" applyNumberFormat="1" applyFont="1" applyBorder="1" applyAlignment="1" applyProtection="1">
      <alignment shrinkToFit="1"/>
      <protection locked="0"/>
    </xf>
    <xf numFmtId="0" fontId="0" fillId="0" borderId="16" xfId="0" applyBorder="1" applyProtection="1">
      <alignment vertical="center"/>
      <protection locked="0"/>
    </xf>
    <xf numFmtId="180" fontId="14" fillId="0" borderId="39" xfId="0" applyNumberFormat="1" applyFont="1" applyBorder="1" applyAlignment="1" applyProtection="1">
      <alignment shrinkToFit="1"/>
      <protection locked="0"/>
    </xf>
    <xf numFmtId="0" fontId="0" fillId="10" borderId="0" xfId="0" applyFill="1">
      <alignment vertical="center"/>
    </xf>
    <xf numFmtId="0" fontId="14" fillId="11" borderId="46" xfId="0" applyFont="1" applyFill="1" applyBorder="1" applyAlignment="1">
      <alignment horizontal="center" shrinkToFit="1"/>
    </xf>
    <xf numFmtId="180" fontId="14" fillId="11" borderId="47" xfId="0" applyNumberFormat="1" applyFont="1" applyFill="1" applyBorder="1" applyAlignment="1">
      <alignment shrinkToFit="1"/>
    </xf>
    <xf numFmtId="180" fontId="14" fillId="11" borderId="48" xfId="0" applyNumberFormat="1" applyFont="1" applyFill="1" applyBorder="1" applyAlignment="1">
      <alignment shrinkToFit="1"/>
    </xf>
    <xf numFmtId="0" fontId="13" fillId="8" borderId="1" xfId="0" applyFont="1" applyFill="1" applyBorder="1" applyAlignment="1">
      <alignment shrinkToFit="1"/>
    </xf>
    <xf numFmtId="180" fontId="13" fillId="8" borderId="5" xfId="0" applyNumberFormat="1" applyFont="1" applyFill="1" applyBorder="1" applyAlignment="1">
      <alignment horizontal="center" shrinkToFit="1"/>
    </xf>
    <xf numFmtId="180" fontId="13" fillId="8" borderId="3" xfId="0" applyNumberFormat="1" applyFont="1" applyFill="1" applyBorder="1" applyAlignment="1">
      <alignment horizontal="center" shrinkToFit="1"/>
    </xf>
    <xf numFmtId="0" fontId="17" fillId="9" borderId="49" xfId="0" applyFont="1" applyFill="1" applyBorder="1" applyAlignment="1">
      <alignment shrinkToFit="1"/>
    </xf>
    <xf numFmtId="180" fontId="14" fillId="0" borderId="50" xfId="0" applyNumberFormat="1" applyFont="1" applyBorder="1" applyAlignment="1">
      <alignment shrinkToFit="1"/>
    </xf>
    <xf numFmtId="180" fontId="19" fillId="0" borderId="51" xfId="0" applyNumberFormat="1" applyFont="1" applyBorder="1" applyAlignment="1" applyProtection="1">
      <alignment shrinkToFit="1"/>
      <protection locked="0"/>
    </xf>
    <xf numFmtId="0" fontId="17" fillId="9" borderId="35" xfId="0" applyFont="1" applyFill="1" applyBorder="1" applyAlignment="1">
      <alignment shrinkToFit="1"/>
    </xf>
    <xf numFmtId="180" fontId="14" fillId="0" borderId="36" xfId="0" applyNumberFormat="1" applyFont="1" applyBorder="1" applyAlignment="1">
      <alignment shrinkToFit="1"/>
    </xf>
    <xf numFmtId="0" fontId="14" fillId="11" borderId="37" xfId="0" applyFont="1" applyFill="1" applyBorder="1" applyAlignment="1">
      <alignment horizontal="center" shrinkToFit="1"/>
    </xf>
    <xf numFmtId="0" fontId="14" fillId="0" borderId="4" xfId="0" applyFont="1" applyBorder="1" applyAlignment="1">
      <alignment horizontal="center" shrinkToFit="1"/>
    </xf>
    <xf numFmtId="180" fontId="14" fillId="0" borderId="4" xfId="0" applyNumberFormat="1" applyFont="1" applyBorder="1" applyAlignment="1">
      <alignment shrinkToFit="1"/>
    </xf>
    <xf numFmtId="0" fontId="22" fillId="10" borderId="52" xfId="0" applyFont="1" applyFill="1" applyBorder="1" applyAlignment="1">
      <alignment shrinkToFit="1"/>
    </xf>
    <xf numFmtId="180" fontId="23" fillId="10" borderId="53" xfId="0" applyNumberFormat="1" applyFont="1" applyFill="1" applyBorder="1">
      <alignment vertical="center"/>
    </xf>
    <xf numFmtId="180" fontId="23" fillId="10" borderId="19" xfId="0" applyNumberFormat="1" applyFont="1" applyFill="1" applyBorder="1">
      <alignment vertical="center"/>
    </xf>
    <xf numFmtId="38" fontId="0" fillId="0" borderId="54" xfId="0" applyNumberFormat="1" applyBorder="1">
      <alignment vertical="center"/>
    </xf>
    <xf numFmtId="178" fontId="8" fillId="0" borderId="54" xfId="0" applyNumberFormat="1" applyFont="1" applyBorder="1">
      <alignment vertical="center"/>
    </xf>
    <xf numFmtId="0" fontId="14" fillId="8" borderId="55" xfId="0" applyFont="1" applyFill="1" applyBorder="1" applyAlignment="1">
      <alignment shrinkToFit="1"/>
    </xf>
    <xf numFmtId="0" fontId="6" fillId="7" borderId="56" xfId="0" applyFont="1" applyFill="1" applyBorder="1" applyAlignment="1">
      <alignment shrinkToFit="1"/>
    </xf>
    <xf numFmtId="0" fontId="6" fillId="8" borderId="32" xfId="0" applyFont="1" applyFill="1" applyBorder="1" applyAlignment="1">
      <alignment shrinkToFit="1"/>
    </xf>
    <xf numFmtId="180" fontId="16" fillId="0" borderId="0" xfId="0" applyNumberFormat="1" applyFont="1" applyAlignment="1">
      <alignment shrinkToFit="1"/>
    </xf>
    <xf numFmtId="0" fontId="14" fillId="8" borderId="57" xfId="0" applyFont="1" applyFill="1" applyBorder="1" applyAlignment="1">
      <alignment shrinkToFit="1"/>
    </xf>
    <xf numFmtId="0" fontId="13" fillId="8" borderId="58" xfId="0" applyFont="1" applyFill="1" applyBorder="1" applyAlignment="1">
      <alignment horizontal="center" shrinkToFit="1"/>
    </xf>
    <xf numFmtId="0" fontId="13" fillId="8" borderId="59" xfId="0" applyFont="1" applyFill="1" applyBorder="1" applyAlignment="1">
      <alignment horizontal="center" shrinkToFit="1"/>
    </xf>
    <xf numFmtId="0" fontId="13" fillId="8" borderId="45" xfId="0" applyFont="1" applyFill="1" applyBorder="1" applyAlignment="1">
      <alignment horizontal="center" shrinkToFit="1"/>
    </xf>
    <xf numFmtId="0" fontId="17" fillId="9" borderId="60" xfId="0" applyFont="1" applyFill="1" applyBorder="1" applyAlignment="1">
      <alignment shrinkToFit="1"/>
    </xf>
    <xf numFmtId="180" fontId="14" fillId="0" borderId="41" xfId="0" applyNumberFormat="1" applyFont="1" applyBorder="1" applyAlignment="1">
      <alignment shrinkToFit="1"/>
    </xf>
    <xf numFmtId="180" fontId="19" fillId="0" borderId="61" xfId="0" applyNumberFormat="1" applyFont="1" applyBorder="1" applyAlignment="1" applyProtection="1">
      <alignment shrinkToFit="1"/>
      <protection locked="0"/>
    </xf>
    <xf numFmtId="180" fontId="18" fillId="0" borderId="61" xfId="0" applyNumberFormat="1" applyFont="1" applyBorder="1" applyAlignment="1" applyProtection="1">
      <alignment shrinkToFit="1"/>
      <protection locked="0"/>
    </xf>
    <xf numFmtId="180" fontId="7" fillId="0" borderId="0" xfId="0" applyNumberFormat="1" applyFont="1" applyAlignment="1">
      <alignment shrinkToFit="1"/>
    </xf>
    <xf numFmtId="187" fontId="7" fillId="0" borderId="0" xfId="0" applyNumberFormat="1" applyFont="1" applyAlignment="1">
      <alignment shrinkToFit="1"/>
    </xf>
    <xf numFmtId="185" fontId="4" fillId="0" borderId="0" xfId="0" applyNumberFormat="1" applyFont="1" applyAlignment="1">
      <alignment shrinkToFit="1"/>
    </xf>
    <xf numFmtId="178" fontId="7" fillId="0" borderId="0" xfId="0" applyNumberFormat="1" applyFont="1" applyAlignment="1">
      <alignment shrinkToFit="1"/>
    </xf>
    <xf numFmtId="0" fontId="0" fillId="12" borderId="0" xfId="0" applyFill="1">
      <alignment vertical="center"/>
    </xf>
    <xf numFmtId="0" fontId="14" fillId="8" borderId="62" xfId="0" applyFont="1" applyFill="1" applyBorder="1" applyAlignment="1">
      <alignment shrinkToFit="1"/>
    </xf>
    <xf numFmtId="0" fontId="14" fillId="8" borderId="0" xfId="0" applyFont="1" applyFill="1" applyAlignment="1">
      <alignment shrinkToFit="1"/>
    </xf>
    <xf numFmtId="0" fontId="14" fillId="8" borderId="63" xfId="0" applyFont="1" applyFill="1" applyBorder="1" applyAlignment="1">
      <alignment shrinkToFit="1"/>
    </xf>
    <xf numFmtId="178" fontId="18" fillId="0" borderId="61" xfId="0" applyNumberFormat="1" applyFont="1" applyBorder="1" applyAlignment="1" applyProtection="1">
      <alignment shrinkToFit="1"/>
      <protection locked="0"/>
    </xf>
    <xf numFmtId="0" fontId="8" fillId="0" borderId="61" xfId="0" applyFont="1" applyBorder="1" applyProtection="1">
      <alignment vertical="center"/>
      <protection locked="0"/>
    </xf>
    <xf numFmtId="0" fontId="14" fillId="11" borderId="58" xfId="0" applyFont="1" applyFill="1" applyBorder="1" applyAlignment="1">
      <alignment horizontal="center" shrinkToFit="1"/>
    </xf>
    <xf numFmtId="180" fontId="14" fillId="11" borderId="59" xfId="0" applyNumberFormat="1" applyFont="1" applyFill="1" applyBorder="1" applyAlignment="1">
      <alignment shrinkToFit="1"/>
    </xf>
    <xf numFmtId="0" fontId="13" fillId="8" borderId="64" xfId="0" applyFont="1" applyFill="1" applyBorder="1" applyAlignment="1">
      <alignment shrinkToFit="1"/>
    </xf>
    <xf numFmtId="180" fontId="13" fillId="8" borderId="2" xfId="0" applyNumberFormat="1" applyFont="1" applyFill="1" applyBorder="1" applyAlignment="1">
      <alignment horizontal="center" shrinkToFit="1"/>
    </xf>
    <xf numFmtId="180" fontId="13" fillId="8" borderId="65" xfId="0" applyNumberFormat="1" applyFont="1" applyFill="1" applyBorder="1" applyAlignment="1">
      <alignment shrinkToFit="1"/>
    </xf>
    <xf numFmtId="180" fontId="14" fillId="0" borderId="1" xfId="0" applyNumberFormat="1" applyFont="1" applyBorder="1" applyAlignment="1">
      <alignment shrinkToFit="1"/>
    </xf>
    <xf numFmtId="0" fontId="17" fillId="0" borderId="0" xfId="0" applyFont="1" applyAlignment="1">
      <alignment shrinkToFit="1"/>
    </xf>
    <xf numFmtId="0" fontId="14" fillId="11" borderId="66" xfId="0" applyFont="1" applyFill="1" applyBorder="1" applyAlignment="1">
      <alignment horizontal="center" shrinkToFit="1"/>
    </xf>
    <xf numFmtId="180" fontId="14" fillId="11" borderId="43" xfId="0" applyNumberFormat="1" applyFont="1" applyFill="1" applyBorder="1" applyAlignment="1">
      <alignment shrinkToFit="1"/>
    </xf>
    <xf numFmtId="180" fontId="14" fillId="11" borderId="19" xfId="0" applyNumberFormat="1" applyFont="1" applyFill="1" applyBorder="1" applyAlignment="1">
      <alignment shrinkToFit="1"/>
    </xf>
    <xf numFmtId="0" fontId="14" fillId="8" borderId="67" xfId="0" applyFont="1" applyFill="1" applyBorder="1" applyAlignment="1">
      <alignment shrinkToFit="1"/>
    </xf>
    <xf numFmtId="0" fontId="14" fillId="8" borderId="68" xfId="0" applyFont="1" applyFill="1" applyBorder="1" applyAlignment="1">
      <alignment shrinkToFit="1"/>
    </xf>
    <xf numFmtId="0" fontId="13" fillId="8" borderId="1" xfId="0" applyFont="1" applyFill="1" applyBorder="1" applyAlignment="1">
      <alignment horizontal="center" shrinkToFit="1"/>
    </xf>
    <xf numFmtId="0" fontId="13" fillId="8" borderId="61" xfId="0" applyFont="1" applyFill="1" applyBorder="1" applyAlignment="1">
      <alignment horizontal="center" shrinkToFit="1"/>
    </xf>
    <xf numFmtId="0" fontId="8" fillId="0" borderId="61" xfId="0" applyFont="1" applyBorder="1" applyAlignment="1" applyProtection="1">
      <protection locked="0"/>
    </xf>
    <xf numFmtId="0" fontId="14" fillId="0" borderId="61" xfId="0" applyFont="1" applyBorder="1" applyAlignment="1" applyProtection="1">
      <alignment shrinkToFit="1"/>
      <protection locked="0"/>
    </xf>
    <xf numFmtId="188" fontId="14" fillId="0" borderId="61" xfId="0" applyNumberFormat="1" applyFont="1" applyBorder="1" applyAlignment="1" applyProtection="1">
      <alignment horizontal="left" shrinkToFit="1"/>
      <protection locked="0"/>
    </xf>
    <xf numFmtId="189" fontId="8" fillId="0" borderId="61" xfId="0" applyNumberFormat="1" applyFont="1" applyBorder="1" applyAlignment="1" applyProtection="1">
      <alignment horizontal="left" shrinkToFit="1"/>
      <protection locked="0"/>
    </xf>
    <xf numFmtId="180" fontId="23" fillId="10" borderId="69" xfId="0" applyNumberFormat="1" applyFont="1" applyFill="1" applyBorder="1">
      <alignment vertical="center"/>
    </xf>
    <xf numFmtId="0" fontId="24" fillId="0" borderId="0" xfId="51"/>
    <xf numFmtId="0" fontId="25" fillId="13" borderId="0" xfId="51" applyFont="1" applyFill="1"/>
    <xf numFmtId="0" fontId="24" fillId="13" borderId="0" xfId="51" applyFill="1"/>
    <xf numFmtId="0" fontId="25" fillId="0" borderId="0" xfId="50" applyFont="1">
      <alignment vertical="center"/>
    </xf>
    <xf numFmtId="190" fontId="0" fillId="0" borderId="54" xfId="50" applyNumberFormat="1" applyBorder="1">
      <alignment vertical="center"/>
    </xf>
    <xf numFmtId="190" fontId="0" fillId="0" borderId="0" xfId="50" applyNumberFormat="1">
      <alignment vertical="center"/>
    </xf>
    <xf numFmtId="0" fontId="0" fillId="0" borderId="0" xfId="50">
      <alignment vertical="center"/>
    </xf>
    <xf numFmtId="0" fontId="24" fillId="0" borderId="0" xfId="51" applyAlignment="1">
      <alignment vertical="center"/>
    </xf>
    <xf numFmtId="0" fontId="0" fillId="14" borderId="0" xfId="50" applyFill="1">
      <alignment vertical="center"/>
    </xf>
    <xf numFmtId="190" fontId="9" fillId="14" borderId="0" xfId="51" applyNumberFormat="1" applyFont="1" applyFill="1"/>
    <xf numFmtId="190" fontId="24" fillId="0" borderId="0" xfId="51" applyNumberFormat="1"/>
    <xf numFmtId="190" fontId="26" fillId="14" borderId="0" xfId="51" applyNumberFormat="1" applyFont="1" applyFill="1"/>
    <xf numFmtId="3" fontId="24" fillId="0" borderId="0" xfId="51" applyNumberFormat="1"/>
    <xf numFmtId="38" fontId="0" fillId="0" borderId="0" xfId="49" applyFont="1" applyAlignment="1"/>
    <xf numFmtId="38" fontId="24" fillId="0" borderId="0" xfId="51" applyNumberFormat="1"/>
    <xf numFmtId="191" fontId="0" fillId="0" borderId="0" xfId="0" applyNumberFormat="1">
      <alignment vertical="center"/>
    </xf>
    <xf numFmtId="0" fontId="27" fillId="0" borderId="0" xfId="0" applyFont="1">
      <alignment vertical="center"/>
    </xf>
    <xf numFmtId="0" fontId="28" fillId="2" borderId="0" xfId="0" applyFont="1" applyFill="1">
      <alignment vertical="center"/>
    </xf>
    <xf numFmtId="192" fontId="1" fillId="2" borderId="1" xfId="0" applyNumberFormat="1" applyFont="1" applyFill="1" applyBorder="1">
      <alignment vertical="center"/>
    </xf>
    <xf numFmtId="192" fontId="1" fillId="2" borderId="2" xfId="0" applyNumberFormat="1" applyFont="1" applyFill="1" applyBorder="1">
      <alignment vertical="center"/>
    </xf>
    <xf numFmtId="191" fontId="0" fillId="2" borderId="70" xfId="0" applyNumberFormat="1" applyFill="1" applyBorder="1">
      <alignment vertical="center"/>
    </xf>
    <xf numFmtId="0" fontId="0" fillId="2" borderId="70" xfId="0" applyFill="1" applyBorder="1">
      <alignment vertical="center"/>
    </xf>
    <xf numFmtId="191" fontId="6" fillId="2" borderId="3" xfId="0" applyNumberFormat="1" applyFont="1" applyFill="1" applyBorder="1" applyAlignment="1">
      <alignment shrinkToFit="1"/>
    </xf>
    <xf numFmtId="191" fontId="6" fillId="9" borderId="3" xfId="0" applyNumberFormat="1" applyFont="1" applyFill="1" applyBorder="1" applyAlignment="1">
      <alignment shrinkToFit="1"/>
    </xf>
    <xf numFmtId="191" fontId="6" fillId="9" borderId="12" xfId="0" applyNumberFormat="1" applyFont="1" applyFill="1" applyBorder="1" applyAlignment="1">
      <alignment shrinkToFit="1"/>
    </xf>
    <xf numFmtId="191" fontId="6" fillId="9" borderId="71" xfId="0" applyNumberFormat="1" applyFont="1" applyFill="1" applyBorder="1" applyAlignment="1">
      <alignment shrinkToFit="1"/>
    </xf>
    <xf numFmtId="191" fontId="6" fillId="9" borderId="71" xfId="0" applyNumberFormat="1" applyFont="1" applyFill="1" applyBorder="1" applyAlignment="1">
      <alignment horizontal="center" shrinkToFit="1"/>
    </xf>
    <xf numFmtId="191" fontId="15" fillId="0" borderId="72" xfId="0" applyNumberFormat="1" applyFont="1" applyBorder="1" applyAlignment="1" applyProtection="1">
      <alignment vertical="center" shrinkToFit="1"/>
      <protection locked="0"/>
    </xf>
    <xf numFmtId="38" fontId="29" fillId="9" borderId="73" xfId="0" applyNumberFormat="1" applyFont="1" applyFill="1" applyBorder="1" applyAlignment="1"/>
    <xf numFmtId="38" fontId="29" fillId="0" borderId="74" xfId="0" applyNumberFormat="1" applyFont="1" applyBorder="1" applyAlignment="1" applyProtection="1">
      <protection locked="0"/>
    </xf>
    <xf numFmtId="38" fontId="7" fillId="0" borderId="74" xfId="0" applyNumberFormat="1" applyFont="1" applyBorder="1" applyAlignment="1" applyProtection="1">
      <alignment shrinkToFit="1"/>
      <protection locked="0"/>
    </xf>
    <xf numFmtId="38" fontId="29" fillId="0" borderId="41" xfId="0" applyNumberFormat="1" applyFont="1" applyBorder="1" applyAlignment="1" applyProtection="1">
      <alignment shrinkToFit="1"/>
      <protection locked="0"/>
    </xf>
    <xf numFmtId="38" fontId="7" fillId="11" borderId="40" xfId="0" applyNumberFormat="1" applyFont="1" applyFill="1" applyBorder="1" applyAlignment="1">
      <alignment shrinkToFit="1"/>
    </xf>
    <xf numFmtId="178" fontId="7" fillId="15" borderId="75" xfId="0" applyNumberFormat="1" applyFont="1" applyFill="1" applyBorder="1" applyAlignment="1">
      <alignment horizontal="right" shrinkToFit="1"/>
    </xf>
    <xf numFmtId="38" fontId="29" fillId="9" borderId="76" xfId="0" applyNumberFormat="1" applyFont="1" applyFill="1" applyBorder="1" applyAlignment="1"/>
    <xf numFmtId="38" fontId="29" fillId="0" borderId="77" xfId="0" applyNumberFormat="1" applyFont="1" applyBorder="1" applyAlignment="1" applyProtection="1">
      <protection locked="0"/>
    </xf>
    <xf numFmtId="38" fontId="7" fillId="0" borderId="77" xfId="0" applyNumberFormat="1" applyFont="1" applyBorder="1" applyAlignment="1" applyProtection="1">
      <alignment shrinkToFit="1"/>
      <protection locked="0"/>
    </xf>
    <xf numFmtId="38" fontId="29" fillId="0" borderId="36" xfId="0" applyNumberFormat="1" applyFont="1" applyBorder="1" applyAlignment="1" applyProtection="1">
      <alignment shrinkToFit="1"/>
      <protection locked="0"/>
    </xf>
    <xf numFmtId="38" fontId="7" fillId="11" borderId="35" xfId="0" applyNumberFormat="1" applyFont="1" applyFill="1" applyBorder="1" applyAlignment="1">
      <alignment shrinkToFit="1"/>
    </xf>
    <xf numFmtId="38" fontId="29" fillId="0" borderId="77" xfId="0" applyNumberFormat="1" applyFont="1" applyBorder="1" applyAlignment="1" applyProtection="1">
      <alignment shrinkToFit="1"/>
      <protection locked="0"/>
    </xf>
    <xf numFmtId="38" fontId="29" fillId="9" borderId="78" xfId="0" applyNumberFormat="1" applyFont="1" applyFill="1" applyBorder="1" applyAlignment="1"/>
    <xf numFmtId="38" fontId="29" fillId="0" borderId="79" xfId="0" applyNumberFormat="1" applyFont="1" applyBorder="1" applyAlignment="1" applyProtection="1">
      <alignment shrinkToFit="1"/>
      <protection locked="0"/>
    </xf>
    <xf numFmtId="38" fontId="7" fillId="0" borderId="79" xfId="0" applyNumberFormat="1" applyFont="1" applyBorder="1" applyAlignment="1" applyProtection="1">
      <alignment shrinkToFit="1"/>
      <protection locked="0"/>
    </xf>
    <xf numFmtId="38" fontId="29" fillId="0" borderId="47" xfId="0" applyNumberFormat="1" applyFont="1" applyBorder="1" applyAlignment="1" applyProtection="1">
      <alignment shrinkToFit="1"/>
      <protection locked="0"/>
    </xf>
    <xf numFmtId="38" fontId="7" fillId="11" borderId="80" xfId="0" applyNumberFormat="1" applyFont="1" applyFill="1" applyBorder="1" applyAlignment="1">
      <alignment shrinkToFit="1"/>
    </xf>
    <xf numFmtId="191" fontId="21" fillId="9" borderId="3" xfId="0" applyNumberFormat="1" applyFont="1" applyFill="1" applyBorder="1" applyAlignment="1">
      <alignment shrinkToFit="1"/>
    </xf>
    <xf numFmtId="191" fontId="29" fillId="9" borderId="3" xfId="0" applyNumberFormat="1" applyFont="1" applyFill="1" applyBorder="1" applyAlignment="1">
      <alignment horizontal="left" vertical="center"/>
    </xf>
    <xf numFmtId="191" fontId="29" fillId="9" borderId="3" xfId="0" applyNumberFormat="1" applyFont="1" applyFill="1" applyBorder="1" applyAlignment="1">
      <alignment horizontal="left" vertical="center" shrinkToFit="1"/>
    </xf>
    <xf numFmtId="191" fontId="7" fillId="9" borderId="3" xfId="0" applyNumberFormat="1" applyFont="1" applyFill="1" applyBorder="1" applyAlignment="1">
      <alignment horizontal="left" vertical="center" shrinkToFit="1"/>
    </xf>
    <xf numFmtId="178" fontId="7" fillId="9" borderId="3" xfId="0" applyNumberFormat="1" applyFont="1" applyFill="1" applyBorder="1" applyAlignment="1">
      <alignment shrinkToFit="1"/>
    </xf>
    <xf numFmtId="38" fontId="6" fillId="9" borderId="12" xfId="0" applyNumberFormat="1" applyFont="1" applyFill="1" applyBorder="1" applyAlignment="1">
      <alignment horizontal="right" shrinkToFit="1"/>
    </xf>
    <xf numFmtId="178" fontId="6" fillId="9" borderId="12" xfId="0" applyNumberFormat="1" applyFont="1" applyFill="1" applyBorder="1" applyAlignment="1">
      <alignment shrinkToFit="1"/>
    </xf>
    <xf numFmtId="0" fontId="0" fillId="0" borderId="71" xfId="0" applyBorder="1" applyAlignment="1">
      <alignment shrinkToFit="1"/>
    </xf>
    <xf numFmtId="38" fontId="0" fillId="0" borderId="71" xfId="0" applyNumberFormat="1" applyBorder="1" applyAlignment="1">
      <alignment horizontal="right" shrinkToFit="1"/>
    </xf>
    <xf numFmtId="38" fontId="6" fillId="9" borderId="71" xfId="0" applyNumberFormat="1" applyFont="1" applyFill="1" applyBorder="1" applyAlignment="1">
      <alignment horizontal="right" shrinkToFit="1"/>
    </xf>
    <xf numFmtId="191" fontId="6" fillId="9" borderId="81" xfId="0" applyNumberFormat="1" applyFont="1" applyFill="1" applyBorder="1" applyAlignment="1">
      <alignment horizontal="center" shrinkToFit="1"/>
    </xf>
    <xf numFmtId="191" fontId="6" fillId="9" borderId="82" xfId="0" applyNumberFormat="1" applyFont="1" applyFill="1" applyBorder="1" applyAlignment="1">
      <alignment horizontal="center" shrinkToFit="1"/>
    </xf>
    <xf numFmtId="191" fontId="6" fillId="9" borderId="15" xfId="0" applyNumberFormat="1" applyFont="1" applyFill="1" applyBorder="1" applyAlignment="1">
      <alignment horizontal="center" shrinkToFit="1"/>
    </xf>
    <xf numFmtId="191" fontId="6" fillId="9" borderId="15" xfId="0" applyNumberFormat="1" applyFont="1" applyFill="1" applyBorder="1" applyAlignment="1">
      <alignment shrinkToFit="1"/>
    </xf>
    <xf numFmtId="191" fontId="6" fillId="9" borderId="1" xfId="0" applyNumberFormat="1" applyFont="1" applyFill="1" applyBorder="1" applyAlignment="1">
      <alignment shrinkToFit="1"/>
    </xf>
    <xf numFmtId="193" fontId="0" fillId="2" borderId="2" xfId="0" applyNumberFormat="1" applyFill="1" applyBorder="1" applyAlignment="1">
      <alignment shrinkToFit="1"/>
    </xf>
    <xf numFmtId="191" fontId="6" fillId="2" borderId="83" xfId="0" applyNumberFormat="1" applyFont="1" applyFill="1" applyBorder="1" applyAlignment="1">
      <alignment horizontal="right" shrinkToFit="1"/>
    </xf>
    <xf numFmtId="194" fontId="6" fillId="2" borderId="84" xfId="0" applyNumberFormat="1" applyFont="1" applyFill="1" applyBorder="1" applyAlignment="1">
      <alignment shrinkToFit="1"/>
    </xf>
    <xf numFmtId="10" fontId="30" fillId="9" borderId="85" xfId="0" applyNumberFormat="1" applyFont="1" applyFill="1" applyBorder="1" applyAlignment="1">
      <alignment shrinkToFit="1"/>
    </xf>
    <xf numFmtId="191" fontId="6" fillId="9" borderId="18" xfId="0" applyNumberFormat="1" applyFont="1" applyFill="1" applyBorder="1" applyAlignment="1">
      <alignment shrinkToFit="1"/>
    </xf>
    <xf numFmtId="191" fontId="6" fillId="9" borderId="12" xfId="0" applyNumberFormat="1" applyFont="1" applyFill="1" applyBorder="1" applyAlignment="1">
      <alignment horizontal="center" shrinkToFit="1"/>
    </xf>
    <xf numFmtId="191" fontId="6" fillId="9" borderId="40" xfId="0" applyNumberFormat="1" applyFont="1" applyFill="1" applyBorder="1" applyAlignment="1">
      <alignment horizontal="center" shrinkToFit="1"/>
    </xf>
    <xf numFmtId="191" fontId="6" fillId="9" borderId="86" xfId="0" applyNumberFormat="1" applyFont="1" applyFill="1" applyBorder="1" applyAlignment="1">
      <alignment horizontal="center" shrinkToFit="1"/>
    </xf>
    <xf numFmtId="191" fontId="31" fillId="9" borderId="11" xfId="0" applyNumberFormat="1" applyFont="1" applyFill="1" applyBorder="1" applyAlignment="1">
      <alignment shrinkToFit="1"/>
    </xf>
    <xf numFmtId="191" fontId="6" fillId="9" borderId="35" xfId="0" applyNumberFormat="1" applyFont="1" applyFill="1" applyBorder="1" applyAlignment="1">
      <alignment horizontal="center" shrinkToFit="1"/>
    </xf>
    <xf numFmtId="191" fontId="6" fillId="9" borderId="3" xfId="0" applyNumberFormat="1" applyFont="1" applyFill="1" applyBorder="1" applyAlignment="1">
      <alignment horizontal="center" shrinkToFit="1"/>
    </xf>
    <xf numFmtId="195" fontId="6" fillId="9" borderId="37" xfId="0" applyNumberFormat="1" applyFont="1" applyFill="1" applyBorder="1" applyAlignment="1">
      <alignment horizontal="center" shrinkToFit="1"/>
    </xf>
    <xf numFmtId="191" fontId="31" fillId="0" borderId="0" xfId="0" applyNumberFormat="1" applyFont="1">
      <alignment vertical="center"/>
    </xf>
    <xf numFmtId="192" fontId="1" fillId="2" borderId="5" xfId="0" applyNumberFormat="1" applyFont="1" applyFill="1" applyBorder="1">
      <alignment vertical="center"/>
    </xf>
    <xf numFmtId="192" fontId="0" fillId="0" borderId="87" xfId="0" applyNumberFormat="1" applyBorder="1">
      <alignment vertical="center"/>
    </xf>
    <xf numFmtId="192" fontId="0" fillId="0" borderId="0" xfId="0" applyNumberFormat="1">
      <alignment vertical="center"/>
    </xf>
    <xf numFmtId="10" fontId="0" fillId="0" borderId="0" xfId="0" applyNumberFormat="1">
      <alignment vertical="center"/>
    </xf>
    <xf numFmtId="0" fontId="14" fillId="8" borderId="88" xfId="0" applyFont="1" applyFill="1" applyBorder="1" applyAlignment="1">
      <alignment shrinkToFit="1"/>
    </xf>
    <xf numFmtId="0" fontId="8" fillId="0" borderId="0" xfId="0" applyFont="1">
      <alignment vertical="center"/>
    </xf>
    <xf numFmtId="0" fontId="14" fillId="8" borderId="1" xfId="0" applyFont="1" applyFill="1" applyBorder="1" applyAlignment="1">
      <alignment shrinkToFit="1"/>
    </xf>
    <xf numFmtId="180" fontId="14" fillId="8" borderId="5" xfId="0" applyNumberFormat="1" applyFont="1" applyFill="1" applyBorder="1" applyAlignment="1">
      <alignment shrinkToFit="1"/>
    </xf>
    <xf numFmtId="0" fontId="20" fillId="8" borderId="89" xfId="0" applyFont="1" applyFill="1" applyBorder="1" applyAlignment="1">
      <alignment horizontal="center" shrinkToFit="1"/>
    </xf>
    <xf numFmtId="0" fontId="17" fillId="16" borderId="35" xfId="0" applyFont="1" applyFill="1" applyBorder="1" applyAlignment="1" applyProtection="1">
      <alignment shrinkToFit="1"/>
      <protection locked="0"/>
    </xf>
    <xf numFmtId="180" fontId="14" fillId="0" borderId="82" xfId="0" applyNumberFormat="1" applyFont="1" applyBorder="1" applyAlignment="1" applyProtection="1">
      <alignment shrinkToFit="1"/>
      <protection locked="0"/>
    </xf>
    <xf numFmtId="0" fontId="32" fillId="8" borderId="37" xfId="0" applyFont="1" applyFill="1" applyBorder="1" applyAlignment="1">
      <alignment horizontal="center" shrinkToFit="1"/>
    </xf>
    <xf numFmtId="0" fontId="17" fillId="16" borderId="45" xfId="0" applyFont="1" applyFill="1" applyBorder="1" applyAlignment="1" applyProtection="1">
      <alignment shrinkToFit="1"/>
      <protection locked="0"/>
    </xf>
    <xf numFmtId="180" fontId="14" fillId="0" borderId="89" xfId="0" applyNumberFormat="1" applyFont="1" applyBorder="1" applyAlignment="1" applyProtection="1">
      <alignment shrinkToFit="1"/>
      <protection locked="0"/>
    </xf>
    <xf numFmtId="180" fontId="14" fillId="0" borderId="75" xfId="0" applyNumberFormat="1" applyFont="1" applyBorder="1" applyAlignment="1" applyProtection="1">
      <alignment shrinkToFit="1"/>
      <protection locked="0"/>
    </xf>
    <xf numFmtId="0" fontId="17" fillId="2" borderId="40" xfId="0" applyFont="1" applyFill="1" applyBorder="1" applyAlignment="1">
      <alignment shrinkToFit="1"/>
    </xf>
    <xf numFmtId="0" fontId="17" fillId="16" borderId="80" xfId="0" applyFont="1" applyFill="1" applyBorder="1" applyAlignment="1" applyProtection="1">
      <alignment shrinkToFit="1"/>
      <protection locked="0"/>
    </xf>
    <xf numFmtId="0" fontId="17" fillId="2" borderId="35" xfId="0" applyFont="1" applyFill="1" applyBorder="1" applyAlignment="1">
      <alignment shrinkToFit="1"/>
    </xf>
    <xf numFmtId="180" fontId="14" fillId="0" borderId="90" xfId="0" applyNumberFormat="1" applyFont="1" applyBorder="1" applyAlignment="1" applyProtection="1">
      <alignment shrinkToFit="1"/>
      <protection locked="0"/>
    </xf>
    <xf numFmtId="180" fontId="14" fillId="11" borderId="84" xfId="0" applyNumberFormat="1" applyFont="1" applyFill="1" applyBorder="1" applyAlignment="1">
      <alignment shrinkToFit="1"/>
    </xf>
    <xf numFmtId="0" fontId="17" fillId="16" borderId="37" xfId="0" applyFont="1" applyFill="1" applyBorder="1" applyAlignment="1" applyProtection="1">
      <alignment shrinkToFit="1"/>
      <protection locked="0"/>
    </xf>
    <xf numFmtId="0" fontId="22" fillId="9" borderId="52" xfId="0" applyFont="1" applyFill="1" applyBorder="1" applyAlignment="1">
      <alignment shrinkToFit="1"/>
    </xf>
    <xf numFmtId="180" fontId="23" fillId="9" borderId="91" xfId="0" applyNumberFormat="1" applyFont="1" applyFill="1" applyBorder="1">
      <alignment vertical="center"/>
    </xf>
    <xf numFmtId="196" fontId="27" fillId="2" borderId="1" xfId="0" applyNumberFormat="1" applyFont="1" applyFill="1" applyBorder="1">
      <alignment vertical="center"/>
    </xf>
    <xf numFmtId="196" fontId="0" fillId="2" borderId="2" xfId="0" applyNumberFormat="1" applyFill="1" applyBorder="1">
      <alignment vertical="center"/>
    </xf>
    <xf numFmtId="196" fontId="0" fillId="2" borderId="5" xfId="0" applyNumberFormat="1" applyFill="1" applyBorder="1">
      <alignment vertical="center"/>
    </xf>
    <xf numFmtId="0" fontId="6" fillId="8" borderId="0" xfId="0" applyFont="1" applyFill="1" applyAlignment="1">
      <alignment shrinkToFit="1"/>
    </xf>
    <xf numFmtId="0" fontId="5" fillId="0" borderId="87" xfId="0" applyFont="1" applyBorder="1" applyAlignment="1"/>
    <xf numFmtId="0" fontId="14" fillId="8" borderId="87" xfId="0" applyFont="1" applyFill="1" applyBorder="1" applyAlignment="1">
      <alignment shrinkToFit="1"/>
    </xf>
    <xf numFmtId="0" fontId="6" fillId="0" borderId="87" xfId="0" applyFont="1" applyBorder="1" applyAlignment="1">
      <alignment shrinkToFit="1"/>
    </xf>
    <xf numFmtId="0" fontId="6" fillId="0" borderId="0" xfId="0" applyFont="1" applyAlignment="1">
      <alignment shrinkToFit="1"/>
    </xf>
    <xf numFmtId="0" fontId="32" fillId="8" borderId="38" xfId="0" applyFont="1" applyFill="1" applyBorder="1" applyAlignment="1">
      <alignment horizontal="center" shrinkToFit="1"/>
    </xf>
    <xf numFmtId="0" fontId="32" fillId="8" borderId="80" xfId="0" applyFont="1" applyFill="1" applyBorder="1" applyAlignment="1">
      <alignment horizontal="center" shrinkToFit="1"/>
    </xf>
    <xf numFmtId="0" fontId="32" fillId="0" borderId="87" xfId="0" applyFont="1" applyBorder="1" applyAlignment="1">
      <alignment horizontal="center" shrinkToFit="1"/>
    </xf>
    <xf numFmtId="0" fontId="32" fillId="0" borderId="0" xfId="0" applyFont="1" applyAlignment="1">
      <alignment horizontal="center" shrinkToFit="1"/>
    </xf>
    <xf numFmtId="0" fontId="17" fillId="0" borderId="12" xfId="0" applyFont="1" applyBorder="1" applyAlignment="1" applyProtection="1">
      <alignment shrinkToFit="1"/>
      <protection locked="0"/>
    </xf>
    <xf numFmtId="180" fontId="14" fillId="0" borderId="41" xfId="0" applyNumberFormat="1" applyFont="1" applyBorder="1" applyAlignment="1" applyProtection="1">
      <alignment shrinkToFit="1"/>
      <protection locked="0"/>
    </xf>
    <xf numFmtId="0" fontId="5" fillId="15" borderId="92" xfId="0" applyFont="1" applyFill="1" applyBorder="1" applyAlignment="1" applyProtection="1">
      <alignment shrinkToFit="1"/>
      <protection locked="0"/>
    </xf>
    <xf numFmtId="180" fontId="14" fillId="2" borderId="36" xfId="0" applyNumberFormat="1" applyFont="1" applyFill="1" applyBorder="1" applyAlignment="1">
      <alignment shrinkToFit="1"/>
    </xf>
    <xf numFmtId="0" fontId="17" fillId="0" borderId="72" xfId="0" applyFont="1" applyBorder="1" applyAlignment="1" applyProtection="1">
      <alignment shrinkToFit="1"/>
      <protection locked="0"/>
    </xf>
    <xf numFmtId="180" fontId="14" fillId="0" borderId="36" xfId="0" applyNumberFormat="1" applyFont="1" applyBorder="1" applyAlignment="1" applyProtection="1">
      <alignment shrinkToFit="1"/>
      <protection locked="0"/>
    </xf>
    <xf numFmtId="0" fontId="5" fillId="15" borderId="93" xfId="0" applyFont="1" applyFill="1" applyBorder="1" applyAlignment="1" applyProtection="1">
      <alignment shrinkToFit="1"/>
      <protection locked="0"/>
    </xf>
    <xf numFmtId="0" fontId="33" fillId="0" borderId="87" xfId="0" applyFont="1" applyBorder="1" applyAlignment="1">
      <alignment shrinkToFit="1"/>
    </xf>
    <xf numFmtId="0" fontId="34" fillId="0" borderId="0" xfId="0" applyFont="1" applyAlignment="1">
      <alignment shrinkToFit="1"/>
    </xf>
    <xf numFmtId="0" fontId="5" fillId="15" borderId="94" xfId="0" applyFont="1" applyFill="1" applyBorder="1" applyAlignment="1" applyProtection="1">
      <alignment shrinkToFit="1"/>
      <protection locked="0"/>
    </xf>
    <xf numFmtId="0" fontId="5" fillId="15" borderId="95" xfId="0" applyFont="1" applyFill="1" applyBorder="1" applyAlignment="1" applyProtection="1">
      <alignment shrinkToFit="1"/>
      <protection locked="0"/>
    </xf>
    <xf numFmtId="0" fontId="5" fillId="17" borderId="96" xfId="0" applyFont="1" applyFill="1" applyBorder="1" applyAlignment="1" applyProtection="1">
      <alignment shrinkToFit="1"/>
      <protection locked="0"/>
    </xf>
    <xf numFmtId="180" fontId="14" fillId="0" borderId="47" xfId="0" applyNumberFormat="1" applyFont="1" applyBorder="1" applyAlignment="1" applyProtection="1">
      <alignment shrinkToFit="1"/>
      <protection locked="0"/>
    </xf>
    <xf numFmtId="0" fontId="5" fillId="17" borderId="94" xfId="0" applyFont="1" applyFill="1" applyBorder="1" applyAlignment="1" applyProtection="1">
      <alignment shrinkToFit="1"/>
      <protection locked="0"/>
    </xf>
    <xf numFmtId="0" fontId="5" fillId="17" borderId="97" xfId="0" applyFont="1" applyFill="1" applyBorder="1" applyAlignment="1" applyProtection="1">
      <alignment shrinkToFit="1"/>
      <protection locked="0"/>
    </xf>
    <xf numFmtId="0" fontId="5" fillId="17" borderId="93" xfId="0" applyFont="1" applyFill="1" applyBorder="1" applyAlignment="1" applyProtection="1">
      <alignment shrinkToFit="1"/>
      <protection locked="0"/>
    </xf>
    <xf numFmtId="0" fontId="5" fillId="0" borderId="0" xfId="0" applyFont="1" applyAlignment="1"/>
    <xf numFmtId="0" fontId="5" fillId="0" borderId="0" xfId="0" applyFont="1" applyAlignment="1">
      <alignment shrinkToFit="1"/>
    </xf>
    <xf numFmtId="0" fontId="5" fillId="17" borderId="11" xfId="0" applyFont="1" applyFill="1" applyBorder="1" applyAlignment="1" applyProtection="1">
      <alignment shrinkToFit="1"/>
      <protection locked="0"/>
    </xf>
    <xf numFmtId="0" fontId="17" fillId="0" borderId="98" xfId="0" applyFont="1" applyBorder="1" applyAlignment="1" applyProtection="1">
      <alignment shrinkToFit="1"/>
      <protection locked="0"/>
    </xf>
    <xf numFmtId="0" fontId="14" fillId="11" borderId="1" xfId="0" applyFont="1" applyFill="1" applyBorder="1" applyAlignment="1">
      <alignment horizontal="center" shrinkToFit="1"/>
    </xf>
    <xf numFmtId="180" fontId="14" fillId="10" borderId="3" xfId="0" applyNumberFormat="1" applyFont="1" applyFill="1" applyBorder="1" applyAlignment="1" applyProtection="1">
      <alignment shrinkToFit="1"/>
      <protection locked="0"/>
    </xf>
    <xf numFmtId="0" fontId="14" fillId="11" borderId="99" xfId="0" applyFont="1" applyFill="1" applyBorder="1" applyAlignment="1">
      <alignment horizontal="center" shrinkToFit="1"/>
    </xf>
    <xf numFmtId="0" fontId="35" fillId="9" borderId="33" xfId="0" applyFont="1" applyFill="1" applyBorder="1" applyAlignment="1">
      <alignment shrinkToFit="1"/>
    </xf>
    <xf numFmtId="0" fontId="36" fillId="9" borderId="4" xfId="0" applyFont="1" applyFill="1" applyBorder="1" applyAlignment="1">
      <alignment shrinkToFit="1"/>
    </xf>
    <xf numFmtId="0" fontId="36" fillId="9" borderId="20" xfId="0" applyFont="1" applyFill="1" applyBorder="1" applyAlignment="1">
      <alignment shrinkToFit="1"/>
    </xf>
    <xf numFmtId="0" fontId="32" fillId="9" borderId="37" xfId="0" applyFont="1" applyFill="1" applyBorder="1" applyAlignment="1">
      <alignment horizontal="center" shrinkToFit="1"/>
    </xf>
    <xf numFmtId="0" fontId="32" fillId="9" borderId="100" xfId="0" applyFont="1" applyFill="1" applyBorder="1" applyAlignment="1">
      <alignment horizontal="center" shrinkToFit="1"/>
    </xf>
    <xf numFmtId="0" fontId="32" fillId="9" borderId="84" xfId="0" applyFont="1" applyFill="1" applyBorder="1" applyAlignment="1">
      <alignment horizontal="center" shrinkToFit="1"/>
    </xf>
    <xf numFmtId="0" fontId="6" fillId="9" borderId="40" xfId="0" applyFont="1" applyFill="1" applyBorder="1" applyAlignment="1">
      <alignment shrinkToFit="1"/>
    </xf>
    <xf numFmtId="180" fontId="29" fillId="0" borderId="74" xfId="0" applyNumberFormat="1" applyFont="1" applyBorder="1" applyAlignment="1" applyProtection="1">
      <alignment shrinkToFit="1"/>
      <protection locked="0"/>
    </xf>
    <xf numFmtId="0" fontId="29" fillId="0" borderId="74" xfId="0" applyFont="1" applyBorder="1" applyAlignment="1" applyProtection="1">
      <alignment shrinkToFit="1"/>
      <protection locked="0"/>
    </xf>
    <xf numFmtId="180" fontId="7" fillId="2" borderId="82" xfId="0" applyNumberFormat="1" applyFont="1" applyFill="1" applyBorder="1" applyAlignment="1">
      <alignment shrinkToFit="1"/>
    </xf>
    <xf numFmtId="180" fontId="29" fillId="0" borderId="77" xfId="0" applyNumberFormat="1" applyFont="1" applyBorder="1" applyAlignment="1" applyProtection="1">
      <alignment shrinkToFit="1"/>
      <protection locked="0"/>
    </xf>
    <xf numFmtId="0" fontId="29" fillId="0" borderId="77" xfId="0" applyFont="1" applyBorder="1" applyAlignment="1" applyProtection="1">
      <alignment shrinkToFit="1"/>
      <protection locked="0"/>
    </xf>
    <xf numFmtId="180" fontId="7" fillId="2" borderId="75" xfId="0" applyNumberFormat="1" applyFont="1" applyFill="1" applyBorder="1" applyAlignment="1">
      <alignment shrinkToFit="1"/>
    </xf>
    <xf numFmtId="0" fontId="0" fillId="9" borderId="35" xfId="0" applyFill="1" applyBorder="1" applyAlignment="1">
      <alignment shrinkToFit="1"/>
    </xf>
    <xf numFmtId="0" fontId="7" fillId="9" borderId="99" xfId="0" applyFont="1" applyFill="1" applyBorder="1" applyAlignment="1">
      <alignment horizontal="center" shrinkToFit="1"/>
    </xf>
    <xf numFmtId="180" fontId="7" fillId="9" borderId="101" xfId="0" applyNumberFormat="1" applyFont="1" applyFill="1" applyBorder="1" applyAlignment="1">
      <alignment horizontal="right" shrinkToFit="1"/>
    </xf>
    <xf numFmtId="0" fontId="37" fillId="9" borderId="79" xfId="0" applyFont="1" applyFill="1" applyBorder="1" applyAlignment="1">
      <alignment shrinkToFit="1"/>
    </xf>
    <xf numFmtId="180" fontId="7" fillId="9" borderId="84" xfId="0" applyNumberFormat="1" applyFont="1" applyFill="1" applyBorder="1" applyAlignment="1">
      <alignment shrinkToFit="1"/>
    </xf>
    <xf numFmtId="180" fontId="7" fillId="9" borderId="102" xfId="0" applyNumberFormat="1" applyFont="1" applyFill="1" applyBorder="1" applyAlignment="1">
      <alignment horizontal="right" shrinkToFit="1"/>
    </xf>
    <xf numFmtId="0" fontId="37" fillId="16" borderId="54" xfId="0" applyFont="1" applyFill="1" applyBorder="1" applyAlignment="1" applyProtection="1">
      <alignment shrinkToFit="1"/>
      <protection locked="0"/>
    </xf>
    <xf numFmtId="180" fontId="7" fillId="9" borderId="103" xfId="0" applyNumberFormat="1" applyFont="1" applyFill="1" applyBorder="1" applyAlignment="1">
      <alignment shrinkToFit="1"/>
    </xf>
    <xf numFmtId="0" fontId="0" fillId="2" borderId="3" xfId="0" applyFill="1" applyBorder="1">
      <alignment vertical="center"/>
    </xf>
    <xf numFmtId="0" fontId="0" fillId="2" borderId="3" xfId="0" applyFill="1" applyBorder="1" applyAlignment="1">
      <alignment horizontal="center" vertical="center"/>
    </xf>
    <xf numFmtId="182" fontId="0" fillId="2" borderId="3" xfId="0" applyNumberFormat="1" applyFill="1" applyBorder="1">
      <alignment vertical="center"/>
    </xf>
    <xf numFmtId="178" fontId="0" fillId="2" borderId="3" xfId="0" applyNumberFormat="1" applyFill="1" applyBorder="1">
      <alignment vertical="center"/>
    </xf>
    <xf numFmtId="182" fontId="0" fillId="2" borderId="3" xfId="0" applyNumberFormat="1" applyFill="1" applyBorder="1" applyAlignment="1">
      <alignment horizontal="right" vertical="center"/>
    </xf>
    <xf numFmtId="0" fontId="0" fillId="9" borderId="49" xfId="0" applyFill="1" applyBorder="1" applyAlignment="1">
      <alignment shrinkToFit="1"/>
    </xf>
    <xf numFmtId="180" fontId="29" fillId="0" borderId="104" xfId="0" applyNumberFormat="1" applyFont="1" applyBorder="1" applyAlignment="1" applyProtection="1">
      <alignment shrinkToFit="1"/>
      <protection locked="0"/>
    </xf>
    <xf numFmtId="0" fontId="29" fillId="0" borderId="104" xfId="0" applyFont="1" applyBorder="1" applyAlignment="1" applyProtection="1">
      <alignment shrinkToFit="1"/>
      <protection locked="0"/>
    </xf>
    <xf numFmtId="180" fontId="7" fillId="2" borderId="105" xfId="0" applyNumberFormat="1" applyFont="1" applyFill="1" applyBorder="1" applyAlignment="1">
      <alignment shrinkToFit="1"/>
    </xf>
    <xf numFmtId="180" fontId="7" fillId="2" borderId="90" xfId="0" applyNumberFormat="1" applyFont="1" applyFill="1" applyBorder="1" applyAlignment="1">
      <alignment shrinkToFit="1"/>
    </xf>
    <xf numFmtId="0" fontId="14" fillId="8" borderId="7" xfId="0" applyFont="1" applyFill="1" applyBorder="1" applyAlignment="1">
      <alignment shrinkToFit="1"/>
    </xf>
    <xf numFmtId="0" fontId="14" fillId="8" borderId="8" xfId="0" applyFont="1" applyFill="1" applyBorder="1" applyAlignment="1">
      <alignment shrinkToFit="1"/>
    </xf>
    <xf numFmtId="0" fontId="17" fillId="2" borderId="15" xfId="0" applyFont="1" applyFill="1" applyBorder="1" applyAlignment="1" applyProtection="1">
      <alignment shrinkToFit="1"/>
      <protection locked="0"/>
    </xf>
    <xf numFmtId="0" fontId="17" fillId="2" borderId="72" xfId="0" applyFont="1" applyFill="1" applyBorder="1" applyAlignment="1" applyProtection="1">
      <alignment shrinkToFit="1"/>
      <protection locked="0"/>
    </xf>
    <xf numFmtId="0" fontId="14" fillId="10" borderId="1" xfId="0" applyFont="1" applyFill="1" applyBorder="1" applyAlignment="1">
      <alignment horizontal="center" shrinkToFit="1"/>
    </xf>
    <xf numFmtId="0" fontId="14" fillId="10" borderId="99" xfId="0" applyFont="1" applyFill="1" applyBorder="1" applyAlignment="1">
      <alignment horizontal="center" shrinkToFit="1"/>
    </xf>
    <xf numFmtId="0" fontId="6" fillId="8" borderId="20" xfId="0" applyFont="1" applyFill="1" applyBorder="1" applyAlignment="1">
      <alignment shrinkToFit="1"/>
    </xf>
    <xf numFmtId="0" fontId="5" fillId="6" borderId="0" xfId="0" applyFont="1" applyFill="1" applyAlignment="1" applyProtection="1">
      <alignment shrinkToFit="1"/>
      <protection locked="0"/>
    </xf>
    <xf numFmtId="0" fontId="32" fillId="8" borderId="84" xfId="0" applyFont="1" applyFill="1" applyBorder="1" applyAlignment="1">
      <alignment horizontal="center" shrinkToFit="1"/>
    </xf>
    <xf numFmtId="180" fontId="18" fillId="2" borderId="41" xfId="0" applyNumberFormat="1" applyFont="1" applyFill="1" applyBorder="1" applyAlignment="1">
      <alignment shrinkToFit="1"/>
    </xf>
    <xf numFmtId="0" fontId="5" fillId="18" borderId="0" xfId="0" applyFont="1" applyFill="1" applyAlignment="1" applyProtection="1">
      <alignment shrinkToFit="1"/>
      <protection locked="0"/>
    </xf>
    <xf numFmtId="180" fontId="18" fillId="2" borderId="36" xfId="0" applyNumberFormat="1" applyFont="1" applyFill="1" applyBorder="1" applyAlignment="1">
      <alignment shrinkToFit="1"/>
    </xf>
    <xf numFmtId="180" fontId="19" fillId="0" borderId="36" xfId="0" applyNumberFormat="1" applyFont="1" applyBorder="1" applyAlignment="1" applyProtection="1">
      <alignment shrinkToFit="1"/>
      <protection locked="0"/>
    </xf>
    <xf numFmtId="0" fontId="17" fillId="16" borderId="72" xfId="0" applyFont="1" applyFill="1" applyBorder="1" applyAlignment="1" applyProtection="1">
      <alignment shrinkToFit="1"/>
      <protection locked="0"/>
    </xf>
    <xf numFmtId="180" fontId="14" fillId="0" borderId="106" xfId="0" applyNumberFormat="1" applyFont="1" applyBorder="1" applyAlignment="1" applyProtection="1">
      <alignment shrinkToFit="1"/>
      <protection locked="0"/>
    </xf>
    <xf numFmtId="0" fontId="17" fillId="16" borderId="18" xfId="0" applyFont="1" applyFill="1" applyBorder="1" applyAlignment="1" applyProtection="1">
      <alignment shrinkToFit="1"/>
      <protection locked="0"/>
    </xf>
    <xf numFmtId="180" fontId="14" fillId="0" borderId="103" xfId="0" applyNumberFormat="1" applyFont="1" applyBorder="1" applyAlignment="1" applyProtection="1">
      <alignment shrinkToFit="1"/>
      <protection locked="0"/>
    </xf>
    <xf numFmtId="180" fontId="19" fillId="0" borderId="90" xfId="0" applyNumberFormat="1" applyFont="1" applyBorder="1" applyAlignment="1" applyProtection="1">
      <alignment shrinkToFit="1"/>
      <protection locked="0"/>
    </xf>
    <xf numFmtId="180" fontId="38" fillId="10" borderId="3" xfId="0" applyNumberFormat="1" applyFont="1" applyFill="1" applyBorder="1" applyAlignment="1">
      <alignment shrinkToFit="1"/>
    </xf>
    <xf numFmtId="0" fontId="38" fillId="10" borderId="3" xfId="0" applyFont="1" applyFill="1" applyBorder="1" applyAlignment="1">
      <alignment shrinkToFit="1"/>
    </xf>
    <xf numFmtId="0" fontId="25" fillId="2" borderId="3" xfId="0" applyFont="1" applyFill="1" applyBorder="1">
      <alignment vertical="center"/>
    </xf>
    <xf numFmtId="0" fontId="7" fillId="9" borderId="99" xfId="0" applyFont="1" applyFill="1" applyBorder="1" applyAlignment="1">
      <alignment horizontal="center" wrapText="1" shrinkToFit="1"/>
    </xf>
    <xf numFmtId="0" fontId="39" fillId="9" borderId="107" xfId="0" applyFont="1" applyFill="1" applyBorder="1">
      <alignment vertical="center"/>
    </xf>
    <xf numFmtId="196" fontId="40" fillId="2" borderId="55" xfId="0" applyNumberFormat="1" applyFont="1" applyFill="1" applyBorder="1">
      <alignment vertical="center"/>
    </xf>
    <xf numFmtId="196" fontId="40" fillId="2" borderId="56" xfId="0" applyNumberFormat="1" applyFont="1" applyFill="1" applyBorder="1">
      <alignment vertical="center"/>
    </xf>
    <xf numFmtId="196" fontId="40" fillId="2" borderId="32" xfId="0" applyNumberFormat="1" applyFont="1" applyFill="1" applyBorder="1">
      <alignment vertical="center"/>
    </xf>
    <xf numFmtId="196" fontId="0" fillId="0" borderId="56" xfId="0" applyNumberFormat="1" applyBorder="1">
      <alignment vertical="center"/>
    </xf>
    <xf numFmtId="196" fontId="40" fillId="2" borderId="108" xfId="0" applyNumberFormat="1" applyFont="1" applyFill="1" applyBorder="1">
      <alignment vertical="center"/>
    </xf>
    <xf numFmtId="196" fontId="40" fillId="2" borderId="0" xfId="0" applyNumberFormat="1" applyFont="1" applyFill="1">
      <alignment vertical="center"/>
    </xf>
    <xf numFmtId="196" fontId="40" fillId="2" borderId="63" xfId="0" applyNumberFormat="1" applyFont="1" applyFill="1" applyBorder="1">
      <alignment vertical="center"/>
    </xf>
    <xf numFmtId="196" fontId="0" fillId="0" borderId="108" xfId="0" applyNumberFormat="1" applyBorder="1">
      <alignment vertical="center"/>
    </xf>
    <xf numFmtId="196" fontId="0" fillId="0" borderId="0" xfId="0" applyNumberFormat="1">
      <alignment vertical="center"/>
    </xf>
    <xf numFmtId="192" fontId="40" fillId="2" borderId="108" xfId="0" applyNumberFormat="1" applyFont="1" applyFill="1" applyBorder="1">
      <alignment vertical="center"/>
    </xf>
    <xf numFmtId="192" fontId="40" fillId="2" borderId="0" xfId="0" applyNumberFormat="1" applyFont="1" applyFill="1">
      <alignment vertical="center"/>
    </xf>
    <xf numFmtId="192" fontId="40" fillId="16" borderId="6" xfId="0" applyNumberFormat="1" applyFont="1" applyFill="1" applyBorder="1" applyAlignment="1">
      <alignment horizontal="right" vertical="center"/>
    </xf>
    <xf numFmtId="192" fontId="40" fillId="0" borderId="6" xfId="0" applyNumberFormat="1" applyFont="1" applyBorder="1" applyProtection="1">
      <alignment vertical="center"/>
      <protection locked="0"/>
    </xf>
    <xf numFmtId="192" fontId="40" fillId="16" borderId="9" xfId="0" applyNumberFormat="1" applyFont="1" applyFill="1" applyBorder="1" applyAlignment="1">
      <alignment horizontal="right" vertical="center"/>
    </xf>
    <xf numFmtId="192" fontId="40" fillId="0" borderId="9" xfId="0" applyNumberFormat="1" applyFont="1" applyBorder="1" applyProtection="1">
      <alignment vertical="center"/>
      <protection locked="0"/>
    </xf>
    <xf numFmtId="196" fontId="0" fillId="0" borderId="32" xfId="0" applyNumberFormat="1" applyBorder="1">
      <alignment vertical="center"/>
    </xf>
    <xf numFmtId="196" fontId="0" fillId="0" borderId="63" xfId="0" applyNumberFormat="1" applyBorder="1">
      <alignment vertical="center"/>
    </xf>
    <xf numFmtId="0" fontId="0" fillId="2" borderId="108" xfId="0" applyFill="1" applyBorder="1">
      <alignment vertical="center"/>
    </xf>
    <xf numFmtId="178" fontId="0" fillId="2" borderId="63" xfId="0" applyNumberFormat="1" applyFill="1" applyBorder="1">
      <alignment vertical="center"/>
    </xf>
    <xf numFmtId="192" fontId="40" fillId="2" borderId="62" xfId="0" applyNumberFormat="1" applyFont="1" applyFill="1" applyBorder="1">
      <alignment vertical="center"/>
    </xf>
    <xf numFmtId="0" fontId="0" fillId="0" borderId="109" xfId="0" applyBorder="1">
      <alignment vertical="center"/>
    </xf>
    <xf numFmtId="192" fontId="40" fillId="16" borderId="54" xfId="0" applyNumberFormat="1" applyFont="1" applyFill="1" applyBorder="1">
      <alignment vertical="center"/>
    </xf>
    <xf numFmtId="0" fontId="0" fillId="0" borderId="108" xfId="0" applyBorder="1">
      <alignment vertical="center"/>
    </xf>
    <xf numFmtId="0" fontId="0" fillId="0" borderId="63" xfId="0" applyBorder="1">
      <alignment vertical="center"/>
    </xf>
    <xf numFmtId="197" fontId="40" fillId="2" borderId="55" xfId="0" applyNumberFormat="1" applyFont="1" applyFill="1" applyBorder="1">
      <alignment vertical="center"/>
    </xf>
    <xf numFmtId="192" fontId="40" fillId="16" borderId="6" xfId="0" applyNumberFormat="1" applyFont="1" applyFill="1" applyBorder="1">
      <alignment vertical="center"/>
    </xf>
    <xf numFmtId="0" fontId="0" fillId="0" borderId="26" xfId="0" applyBorder="1">
      <alignment vertical="center"/>
    </xf>
    <xf numFmtId="0" fontId="0" fillId="0" borderId="110" xfId="0" applyBorder="1">
      <alignment vertical="center"/>
    </xf>
    <xf numFmtId="192" fontId="40" fillId="16" borderId="111" xfId="0" applyNumberFormat="1" applyFont="1" applyFill="1" applyBorder="1">
      <alignment vertical="center"/>
    </xf>
    <xf numFmtId="192" fontId="40" fillId="0" borderId="111" xfId="0" applyNumberFormat="1" applyFont="1" applyBorder="1" applyProtection="1">
      <alignment vertical="center"/>
      <protection locked="0"/>
    </xf>
    <xf numFmtId="197" fontId="40" fillId="2" borderId="26" xfId="0" applyNumberFormat="1" applyFont="1" applyFill="1" applyBorder="1">
      <alignment vertical="center"/>
    </xf>
    <xf numFmtId="192" fontId="40" fillId="16" borderId="9" xfId="0" applyNumberFormat="1" applyFont="1" applyFill="1" applyBorder="1">
      <alignment vertical="center"/>
    </xf>
    <xf numFmtId="0" fontId="0" fillId="2" borderId="0" xfId="0" applyFill="1" applyAlignment="1">
      <alignment vertical="top" wrapText="1"/>
    </xf>
    <xf numFmtId="0" fontId="0" fillId="2" borderId="0" xfId="0" applyFill="1" applyAlignment="1">
      <alignment vertical="top"/>
    </xf>
    <xf numFmtId="0" fontId="41" fillId="0" borderId="54" xfId="0" applyFont="1" applyBorder="1" applyAlignment="1">
      <alignment horizontal="center" vertical="center"/>
    </xf>
    <xf numFmtId="192" fontId="42" fillId="2" borderId="55" xfId="0" applyNumberFormat="1" applyFont="1" applyFill="1" applyBorder="1">
      <alignment vertical="center"/>
    </xf>
    <xf numFmtId="192" fontId="42" fillId="2" borderId="56" xfId="0" applyNumberFormat="1" applyFont="1" applyFill="1" applyBorder="1">
      <alignment vertical="center"/>
    </xf>
    <xf numFmtId="192" fontId="42" fillId="2" borderId="32" xfId="0" applyNumberFormat="1" applyFont="1" applyFill="1" applyBorder="1">
      <alignment vertical="center"/>
    </xf>
    <xf numFmtId="192" fontId="43" fillId="2" borderId="6" xfId="0" applyNumberFormat="1" applyFont="1" applyFill="1" applyBorder="1" applyAlignment="1">
      <alignment horizontal="center" vertical="center"/>
    </xf>
    <xf numFmtId="192" fontId="42" fillId="2" borderId="108" xfId="0" applyNumberFormat="1" applyFont="1" applyFill="1" applyBorder="1">
      <alignment vertical="center"/>
    </xf>
    <xf numFmtId="192" fontId="42" fillId="2" borderId="0" xfId="0" applyNumberFormat="1" applyFont="1" applyFill="1">
      <alignment vertical="center"/>
    </xf>
    <xf numFmtId="192" fontId="42" fillId="2" borderId="63" xfId="0" applyNumberFormat="1" applyFont="1" applyFill="1" applyBorder="1">
      <alignment vertical="center"/>
    </xf>
    <xf numFmtId="192" fontId="43" fillId="2" borderId="111" xfId="0" applyNumberFormat="1" applyFont="1" applyFill="1" applyBorder="1" applyAlignment="1">
      <alignment horizontal="center" vertical="center"/>
    </xf>
    <xf numFmtId="178" fontId="40" fillId="2" borderId="63" xfId="0" applyNumberFormat="1" applyFont="1" applyFill="1" applyBorder="1">
      <alignment vertical="center"/>
    </xf>
    <xf numFmtId="192" fontId="42" fillId="2" borderId="26" xfId="0" applyNumberFormat="1" applyFont="1" applyFill="1" applyBorder="1">
      <alignment vertical="center"/>
    </xf>
    <xf numFmtId="192" fontId="42" fillId="2" borderId="107" xfId="0" applyNumberFormat="1" applyFont="1" applyFill="1" applyBorder="1">
      <alignment vertical="center"/>
    </xf>
    <xf numFmtId="192" fontId="42" fillId="2" borderId="110" xfId="0" applyNumberFormat="1" applyFont="1" applyFill="1" applyBorder="1">
      <alignment vertical="center"/>
    </xf>
    <xf numFmtId="192" fontId="43" fillId="2" borderId="9" xfId="0" applyNumberFormat="1" applyFont="1" applyFill="1" applyBorder="1" applyAlignment="1">
      <alignment horizontal="center" vertical="center"/>
    </xf>
    <xf numFmtId="192" fontId="40" fillId="0" borderId="54" xfId="0" applyNumberFormat="1" applyFont="1" applyBorder="1" applyProtection="1">
      <alignment vertical="center"/>
      <protection locked="0"/>
    </xf>
    <xf numFmtId="0" fontId="0" fillId="0" borderId="32" xfId="0" applyBorder="1">
      <alignment vertical="center"/>
    </xf>
    <xf numFmtId="178" fontId="40" fillId="2" borderId="110" xfId="0" applyNumberFormat="1" applyFont="1" applyFill="1" applyBorder="1">
      <alignment vertical="center"/>
    </xf>
    <xf numFmtId="0" fontId="44" fillId="0" borderId="0" xfId="0" applyFont="1">
      <alignment vertical="center"/>
    </xf>
    <xf numFmtId="0" fontId="0" fillId="0" borderId="33" xfId="0" applyBorder="1" applyAlignment="1" applyProtection="1">
      <alignment vertical="top"/>
      <protection locked="0"/>
    </xf>
    <xf numFmtId="0" fontId="0" fillId="0" borderId="87" xfId="0" applyBorder="1" applyAlignment="1" applyProtection="1">
      <alignment vertical="top"/>
      <protection locked="0"/>
    </xf>
    <xf numFmtId="0" fontId="0" fillId="0" borderId="112" xfId="0" applyBorder="1" applyAlignment="1" applyProtection="1">
      <alignment vertical="top"/>
      <protection locked="0"/>
    </xf>
    <xf numFmtId="0" fontId="0" fillId="0" borderId="70" xfId="0" applyBorder="1" applyAlignment="1" applyProtection="1">
      <alignment vertical="top"/>
      <protection locked="0"/>
    </xf>
    <xf numFmtId="0" fontId="0" fillId="0" borderId="20" xfId="0" applyBorder="1" applyAlignment="1" applyProtection="1">
      <alignment vertical="top"/>
      <protection locked="0"/>
    </xf>
    <xf numFmtId="0" fontId="0" fillId="0" borderId="113" xfId="0" applyBorder="1" applyAlignment="1" applyProtection="1">
      <alignment vertical="top"/>
      <protection locked="0"/>
    </xf>
    <xf numFmtId="0" fontId="0" fillId="0" borderId="114" xfId="0" applyBorder="1" applyAlignment="1" applyProtection="1">
      <alignment vertical="top"/>
      <protection locked="0"/>
    </xf>
    <xf numFmtId="0" fontId="45" fillId="2" borderId="54" xfId="0" applyFont="1" applyFill="1" applyBorder="1" applyAlignment="1" applyProtection="1">
      <alignment shrinkToFit="1"/>
      <protection hidden="1"/>
    </xf>
    <xf numFmtId="190" fontId="27" fillId="16" borderId="29" xfId="0" applyNumberFormat="1" applyFont="1" applyFill="1" applyBorder="1" applyProtection="1">
      <alignment vertical="center"/>
      <protection locked="0"/>
    </xf>
    <xf numFmtId="0" fontId="0" fillId="16" borderId="27" xfId="0" applyFill="1" applyBorder="1" applyProtection="1">
      <alignment vertical="center"/>
      <protection locked="0"/>
    </xf>
    <xf numFmtId="0" fontId="0" fillId="16" borderId="28" xfId="0" applyFill="1" applyBorder="1" applyProtection="1">
      <alignment vertical="center"/>
      <protection locked="0"/>
    </xf>
    <xf numFmtId="0" fontId="40" fillId="2" borderId="54" xfId="0" applyFont="1" applyFill="1" applyBorder="1">
      <alignment vertical="center"/>
    </xf>
    <xf numFmtId="0" fontId="46" fillId="2" borderId="54" xfId="0" applyFont="1" applyFill="1" applyBorder="1" applyAlignment="1">
      <alignment shrinkToFit="1"/>
    </xf>
    <xf numFmtId="0" fontId="45" fillId="2" borderId="54" xfId="0" applyFont="1" applyFill="1" applyBorder="1" applyAlignment="1">
      <alignment shrinkToFit="1"/>
    </xf>
    <xf numFmtId="190" fontId="27" fillId="0" borderId="29" xfId="0" applyNumberFormat="1" applyFont="1" applyBorder="1" applyProtection="1">
      <alignment vertical="center"/>
      <protection locked="0"/>
    </xf>
    <xf numFmtId="0" fontId="0" fillId="0" borderId="27" xfId="0" applyBorder="1" applyProtection="1">
      <alignment vertical="center"/>
      <protection locked="0"/>
    </xf>
    <xf numFmtId="0" fontId="0" fillId="0" borderId="28" xfId="0" applyBorder="1" applyProtection="1">
      <alignment vertical="center"/>
      <protection locked="0"/>
    </xf>
    <xf numFmtId="0" fontId="46" fillId="19" borderId="54" xfId="0" applyFont="1" applyFill="1" applyBorder="1" applyAlignment="1">
      <alignment shrinkToFit="1"/>
    </xf>
    <xf numFmtId="0" fontId="45" fillId="19" borderId="54" xfId="0" applyFont="1" applyFill="1" applyBorder="1" applyAlignment="1">
      <alignment shrinkToFit="1"/>
    </xf>
    <xf numFmtId="190" fontId="27" fillId="2" borderId="29" xfId="0" applyNumberFormat="1" applyFont="1" applyFill="1" applyBorder="1">
      <alignment vertical="center"/>
    </xf>
    <xf numFmtId="0" fontId="0" fillId="2" borderId="27" xfId="0" applyFill="1" applyBorder="1">
      <alignment vertical="center"/>
    </xf>
    <xf numFmtId="0" fontId="0" fillId="2" borderId="28" xfId="0" applyFill="1" applyBorder="1">
      <alignment vertical="center"/>
    </xf>
    <xf numFmtId="0" fontId="46" fillId="0" borderId="56" xfId="0" applyFont="1" applyBorder="1" applyAlignment="1" applyProtection="1">
      <alignment shrinkToFit="1"/>
      <protection locked="0"/>
    </xf>
    <xf numFmtId="190" fontId="27" fillId="0" borderId="56" xfId="0" applyNumberFormat="1" applyFont="1" applyBorder="1">
      <alignment vertical="center"/>
    </xf>
    <xf numFmtId="0" fontId="0" fillId="0" borderId="56" xfId="0" applyBorder="1">
      <alignment vertical="center"/>
    </xf>
    <xf numFmtId="0" fontId="47" fillId="0" borderId="56" xfId="0" applyFont="1" applyBorder="1">
      <alignment vertical="center"/>
    </xf>
    <xf numFmtId="0" fontId="48" fillId="2" borderId="54" xfId="0" applyFont="1" applyFill="1" applyBorder="1">
      <alignment vertical="center"/>
    </xf>
    <xf numFmtId="0" fontId="46" fillId="0" borderId="0" xfId="0" applyFont="1" applyAlignment="1" applyProtection="1">
      <alignment shrinkToFit="1"/>
      <protection locked="0"/>
    </xf>
    <xf numFmtId="190" fontId="27" fillId="0" borderId="0" xfId="0" applyNumberFormat="1" applyFont="1">
      <alignment vertical="center"/>
    </xf>
    <xf numFmtId="0" fontId="47" fillId="0" borderId="0" xfId="0" applyFont="1">
      <alignment vertical="center"/>
    </xf>
    <xf numFmtId="0" fontId="45" fillId="0" borderId="0" xfId="0" applyFont="1" applyAlignment="1" applyProtection="1">
      <alignment shrinkToFit="1"/>
      <protection hidden="1"/>
    </xf>
    <xf numFmtId="178" fontId="27" fillId="2" borderId="54" xfId="0" applyNumberFormat="1" applyFont="1" applyFill="1" applyBorder="1">
      <alignment vertical="center"/>
    </xf>
    <xf numFmtId="0" fontId="0" fillId="0" borderId="54" xfId="0" applyBorder="1">
      <alignment vertical="center"/>
    </xf>
    <xf numFmtId="196" fontId="0" fillId="2" borderId="56" xfId="0" applyNumberFormat="1" applyFill="1" applyBorder="1">
      <alignment vertical="center"/>
    </xf>
    <xf numFmtId="196" fontId="0" fillId="2" borderId="32" xfId="0" applyNumberFormat="1" applyFill="1" applyBorder="1">
      <alignment vertical="center"/>
    </xf>
    <xf numFmtId="198" fontId="40" fillId="2" borderId="55" xfId="0" applyNumberFormat="1" applyFont="1" applyFill="1" applyBorder="1">
      <alignment vertical="center"/>
    </xf>
    <xf numFmtId="198" fontId="40" fillId="2" borderId="56" xfId="0" applyNumberFormat="1" applyFont="1" applyFill="1" applyBorder="1">
      <alignment vertical="center"/>
    </xf>
    <xf numFmtId="196" fontId="0" fillId="2" borderId="108" xfId="0" applyNumberFormat="1" applyFill="1" applyBorder="1">
      <alignment vertical="center"/>
    </xf>
    <xf numFmtId="196" fontId="0" fillId="2" borderId="0" xfId="0" applyNumberFormat="1" applyFill="1">
      <alignment vertical="center"/>
    </xf>
    <xf numFmtId="196" fontId="0" fillId="2" borderId="63" xfId="0" applyNumberFormat="1" applyFill="1" applyBorder="1">
      <alignment vertical="center"/>
    </xf>
    <xf numFmtId="198" fontId="40" fillId="2" borderId="108" xfId="0" applyNumberFormat="1" applyFont="1" applyFill="1" applyBorder="1">
      <alignment vertical="center"/>
    </xf>
    <xf numFmtId="198" fontId="40" fillId="2" borderId="0" xfId="0" applyNumberFormat="1" applyFont="1" applyFill="1">
      <alignment vertical="center"/>
    </xf>
    <xf numFmtId="198" fontId="40" fillId="2" borderId="26" xfId="0" applyNumberFormat="1" applyFont="1" applyFill="1" applyBorder="1">
      <alignment vertical="center"/>
    </xf>
    <xf numFmtId="198" fontId="40" fillId="2" borderId="107" xfId="0" applyNumberFormat="1" applyFont="1" applyFill="1" applyBorder="1">
      <alignment vertical="center"/>
    </xf>
    <xf numFmtId="191" fontId="40" fillId="2" borderId="55" xfId="0" applyNumberFormat="1" applyFont="1" applyFill="1" applyBorder="1">
      <alignment vertical="center"/>
    </xf>
    <xf numFmtId="191" fontId="0" fillId="2" borderId="56" xfId="0" applyNumberFormat="1" applyFill="1" applyBorder="1">
      <alignment vertical="center"/>
    </xf>
    <xf numFmtId="191" fontId="0" fillId="2" borderId="32" xfId="0" applyNumberFormat="1" applyFill="1" applyBorder="1">
      <alignment vertical="center"/>
    </xf>
    <xf numFmtId="198" fontId="40" fillId="2" borderId="54" xfId="0" applyNumberFormat="1" applyFont="1" applyFill="1" applyBorder="1">
      <alignment vertical="center"/>
    </xf>
    <xf numFmtId="191" fontId="0" fillId="2" borderId="108" xfId="0" applyNumberFormat="1" applyFill="1" applyBorder="1">
      <alignment vertical="center"/>
    </xf>
    <xf numFmtId="191" fontId="0" fillId="2" borderId="0" xfId="0" applyNumberFormat="1" applyFill="1">
      <alignment vertical="center"/>
    </xf>
    <xf numFmtId="191" fontId="0" fillId="2" borderId="63" xfId="0" applyNumberFormat="1" applyFill="1" applyBorder="1">
      <alignment vertical="center"/>
    </xf>
    <xf numFmtId="191" fontId="0" fillId="2" borderId="26" xfId="0" applyNumberFormat="1" applyFill="1" applyBorder="1">
      <alignment vertical="center"/>
    </xf>
    <xf numFmtId="191" fontId="0" fillId="2" borderId="107" xfId="0" applyNumberFormat="1" applyFill="1" applyBorder="1">
      <alignment vertical="center"/>
    </xf>
    <xf numFmtId="191" fontId="0" fillId="2" borderId="110" xfId="0" applyNumberFormat="1" applyFill="1" applyBorder="1">
      <alignment vertical="center"/>
    </xf>
    <xf numFmtId="0" fontId="25" fillId="0" borderId="33" xfId="0" applyFont="1" applyBorder="1" applyAlignment="1">
      <alignment vertical="top"/>
    </xf>
    <xf numFmtId="0" fontId="0" fillId="0" borderId="87" xfId="0" applyBorder="1" applyAlignment="1">
      <alignment vertical="top"/>
    </xf>
    <xf numFmtId="0" fontId="0" fillId="0" borderId="112" xfId="0" applyBorder="1" applyAlignment="1">
      <alignment vertical="top"/>
    </xf>
    <xf numFmtId="198" fontId="40" fillId="2" borderId="32" xfId="0" applyNumberFormat="1" applyFont="1" applyFill="1" applyBorder="1">
      <alignment vertical="center"/>
    </xf>
    <xf numFmtId="0" fontId="42" fillId="0" borderId="55" xfId="0" applyFont="1" applyBorder="1" applyProtection="1">
      <alignment vertical="center"/>
      <protection locked="0"/>
    </xf>
    <xf numFmtId="0" fontId="42" fillId="0" borderId="56" xfId="0" applyFont="1" applyBorder="1" applyProtection="1">
      <alignment vertical="center"/>
      <protection locked="0"/>
    </xf>
    <xf numFmtId="0" fontId="42" fillId="0" borderId="32" xfId="0" applyFont="1" applyBorder="1" applyProtection="1">
      <alignment vertical="center"/>
      <protection locked="0"/>
    </xf>
    <xf numFmtId="0" fontId="43" fillId="2" borderId="6" xfId="0" applyFont="1" applyFill="1" applyBorder="1" applyAlignment="1">
      <alignment horizontal="center" vertical="center"/>
    </xf>
    <xf numFmtId="198" fontId="40" fillId="2" borderId="63" xfId="0" applyNumberFormat="1" applyFont="1" applyFill="1" applyBorder="1">
      <alignment vertical="center"/>
    </xf>
    <xf numFmtId="0" fontId="42" fillId="0" borderId="108" xfId="0" applyFont="1" applyBorder="1" applyProtection="1">
      <alignment vertical="center"/>
      <protection locked="0"/>
    </xf>
    <xf numFmtId="0" fontId="42" fillId="0" borderId="0" xfId="0" applyFont="1" applyProtection="1">
      <alignment vertical="center"/>
      <protection locked="0"/>
    </xf>
    <xf numFmtId="0" fontId="42" fillId="0" borderId="63" xfId="0" applyFont="1" applyBorder="1" applyProtection="1">
      <alignment vertical="center"/>
      <protection locked="0"/>
    </xf>
    <xf numFmtId="0" fontId="43" fillId="2" borderId="111" xfId="0" applyFont="1" applyFill="1" applyBorder="1" applyAlignment="1">
      <alignment horizontal="center" vertical="center"/>
    </xf>
    <xf numFmtId="198" fontId="40" fillId="2" borderId="110" xfId="0" applyNumberFormat="1" applyFont="1" applyFill="1" applyBorder="1">
      <alignment vertical="center"/>
    </xf>
    <xf numFmtId="0" fontId="42" fillId="0" borderId="26" xfId="0" applyFont="1" applyBorder="1" applyProtection="1">
      <alignment vertical="center"/>
      <protection locked="0"/>
    </xf>
    <xf numFmtId="0" fontId="42" fillId="0" borderId="107" xfId="0" applyFont="1" applyBorder="1" applyProtection="1">
      <alignment vertical="center"/>
      <protection locked="0"/>
    </xf>
    <xf numFmtId="0" fontId="42" fillId="0" borderId="110" xfId="0" applyFont="1" applyBorder="1" applyProtection="1">
      <alignment vertical="center"/>
      <protection locked="0"/>
    </xf>
    <xf numFmtId="0" fontId="43" fillId="2" borderId="9" xfId="0" applyFont="1" applyFill="1" applyBorder="1" applyAlignment="1">
      <alignment horizontal="center" vertical="center"/>
    </xf>
    <xf numFmtId="0" fontId="42" fillId="16" borderId="55" xfId="0" applyFont="1" applyFill="1" applyBorder="1" applyProtection="1">
      <alignment vertical="center"/>
      <protection locked="0"/>
    </xf>
    <xf numFmtId="0" fontId="42" fillId="16" borderId="56" xfId="0" applyFont="1" applyFill="1" applyBorder="1" applyProtection="1">
      <alignment vertical="center"/>
      <protection locked="0"/>
    </xf>
    <xf numFmtId="0" fontId="42" fillId="16" borderId="32" xfId="0" applyFont="1" applyFill="1" applyBorder="1" applyProtection="1">
      <alignment vertical="center"/>
      <protection locked="0"/>
    </xf>
    <xf numFmtId="0" fontId="42" fillId="16" borderId="108" xfId="0" applyFont="1" applyFill="1" applyBorder="1" applyProtection="1">
      <alignment vertical="center"/>
      <protection locked="0"/>
    </xf>
    <xf numFmtId="0" fontId="42" fillId="16" borderId="0" xfId="0" applyFont="1" applyFill="1" applyProtection="1">
      <alignment vertical="center"/>
      <protection locked="0"/>
    </xf>
    <xf numFmtId="0" fontId="42" fillId="16" borderId="63" xfId="0" applyFont="1" applyFill="1" applyBorder="1" applyProtection="1">
      <alignment vertical="center"/>
      <protection locked="0"/>
    </xf>
    <xf numFmtId="0" fontId="42" fillId="16" borderId="26" xfId="0" applyFont="1" applyFill="1" applyBorder="1" applyProtection="1">
      <alignment vertical="center"/>
      <protection locked="0"/>
    </xf>
    <xf numFmtId="0" fontId="42" fillId="16" borderId="107" xfId="0" applyFont="1" applyFill="1" applyBorder="1" applyProtection="1">
      <alignment vertical="center"/>
      <protection locked="0"/>
    </xf>
    <xf numFmtId="0" fontId="42" fillId="16" borderId="110" xfId="0" applyFont="1" applyFill="1" applyBorder="1" applyProtection="1">
      <alignment vertical="center"/>
      <protection locked="0"/>
    </xf>
    <xf numFmtId="0" fontId="0" fillId="0" borderId="0" xfId="0" applyAlignment="1" applyProtection="1">
      <alignment horizontal="center"/>
      <protection hidden="1"/>
    </xf>
    <xf numFmtId="0" fontId="0" fillId="0" borderId="0" xfId="0" applyAlignment="1" applyProtection="1">
      <protection hidden="1"/>
    </xf>
    <xf numFmtId="0" fontId="48" fillId="2" borderId="54" xfId="0" applyFont="1" applyFill="1" applyBorder="1" applyAlignment="1" applyProtection="1">
      <alignment horizontal="center" vertical="center"/>
      <protection hidden="1"/>
    </xf>
    <xf numFmtId="0" fontId="48" fillId="2" borderId="54" xfId="0" applyFont="1" applyFill="1" applyBorder="1" applyAlignment="1">
      <alignment horizontal="center" vertical="center"/>
    </xf>
    <xf numFmtId="0" fontId="48" fillId="0" borderId="54" xfId="0" applyFont="1" applyBorder="1" applyAlignment="1" applyProtection="1">
      <alignment horizontal="center" vertical="center"/>
      <protection locked="0"/>
    </xf>
    <xf numFmtId="0" fontId="5" fillId="5" borderId="115" xfId="0" applyFont="1" applyFill="1" applyBorder="1" applyAlignment="1" applyProtection="1">
      <alignment horizontal="center" vertical="center"/>
      <protection hidden="1"/>
    </xf>
    <xf numFmtId="183" fontId="6" fillId="0" borderId="116" xfId="0" applyNumberFormat="1" applyFont="1" applyBorder="1" applyAlignment="1" applyProtection="1">
      <alignment horizontal="left" vertical="center" indent="1"/>
      <protection locked="0"/>
    </xf>
    <xf numFmtId="0" fontId="5" fillId="5" borderId="52" xfId="0" applyFont="1" applyFill="1" applyBorder="1" applyAlignment="1" applyProtection="1">
      <alignment horizontal="center" vertical="center"/>
      <protection hidden="1"/>
    </xf>
    <xf numFmtId="183" fontId="6" fillId="0" borderId="91" xfId="0" applyNumberFormat="1" applyFont="1" applyBorder="1" applyAlignment="1" applyProtection="1">
      <alignment horizontal="left" vertical="center" indent="1"/>
      <protection locked="0"/>
    </xf>
    <xf numFmtId="0" fontId="5" fillId="0" borderId="0" xfId="0" applyFont="1" applyAlignment="1" applyProtection="1">
      <alignment horizontal="right" vertical="center"/>
      <protection hidden="1"/>
    </xf>
    <xf numFmtId="0" fontId="49" fillId="0" borderId="0" xfId="0" applyFont="1" applyAlignment="1" applyProtection="1">
      <alignment horizontal="right" vertical="center"/>
      <protection hidden="1"/>
    </xf>
    <xf numFmtId="0" fontId="0" fillId="0" borderId="0" xfId="0" applyAlignment="1" applyProtection="1">
      <alignment horizontal="right"/>
      <protection hidden="1"/>
    </xf>
    <xf numFmtId="10" fontId="0" fillId="0" borderId="0" xfId="0" applyNumberFormat="1" applyAlignment="1" applyProtection="1">
      <alignment horizontal="left"/>
      <protection hidden="1"/>
    </xf>
    <xf numFmtId="0" fontId="5" fillId="5" borderId="117" xfId="0" applyFont="1" applyFill="1" applyBorder="1" applyAlignment="1" applyProtection="1">
      <alignment horizontal="center"/>
      <protection hidden="1"/>
    </xf>
    <xf numFmtId="0" fontId="38" fillId="5" borderId="118" xfId="0" applyFont="1" applyFill="1" applyBorder="1" applyAlignment="1" applyProtection="1">
      <alignment horizontal="center"/>
      <protection hidden="1"/>
    </xf>
    <xf numFmtId="0" fontId="38" fillId="5" borderId="119" xfId="0" applyFont="1" applyFill="1" applyBorder="1" applyAlignment="1" applyProtection="1">
      <alignment horizontal="center"/>
      <protection hidden="1"/>
    </xf>
    <xf numFmtId="199" fontId="50" fillId="0" borderId="0" xfId="0" applyNumberFormat="1" applyFont="1" applyAlignment="1">
      <alignment horizontal="center" shrinkToFit="1"/>
    </xf>
    <xf numFmtId="0" fontId="5" fillId="4" borderId="57" xfId="0" applyFont="1" applyFill="1" applyBorder="1" applyAlignment="1" applyProtection="1">
      <protection hidden="1"/>
    </xf>
    <xf numFmtId="0" fontId="5" fillId="4" borderId="96" xfId="0" applyFont="1" applyFill="1" applyBorder="1" applyAlignment="1" applyProtection="1">
      <alignment shrinkToFit="1"/>
      <protection hidden="1"/>
    </xf>
    <xf numFmtId="180" fontId="17" fillId="0" borderId="96" xfId="0" applyNumberFormat="1" applyFont="1" applyBorder="1" applyAlignment="1" applyProtection="1">
      <protection locked="0"/>
    </xf>
    <xf numFmtId="180" fontId="51" fillId="12" borderId="88" xfId="0" applyNumberFormat="1" applyFont="1" applyFill="1" applyBorder="1" applyAlignment="1">
      <alignment horizontal="center"/>
    </xf>
    <xf numFmtId="0" fontId="4" fillId="0" borderId="0" xfId="0" applyFont="1" applyAlignment="1" applyProtection="1">
      <protection hidden="1"/>
    </xf>
    <xf numFmtId="0" fontId="5" fillId="4" borderId="10" xfId="0" applyFont="1" applyFill="1" applyBorder="1" applyAlignment="1" applyProtection="1">
      <protection hidden="1"/>
    </xf>
    <xf numFmtId="0" fontId="5" fillId="4" borderId="11" xfId="0" applyFont="1" applyFill="1" applyBorder="1" applyAlignment="1" applyProtection="1">
      <alignment shrinkToFit="1"/>
      <protection hidden="1"/>
    </xf>
    <xf numFmtId="180" fontId="17" fillId="2" borderId="11" xfId="0" applyNumberFormat="1" applyFont="1" applyFill="1" applyBorder="1" applyAlignment="1" applyProtection="1">
      <protection locked="0"/>
    </xf>
    <xf numFmtId="180" fontId="51" fillId="12" borderId="120" xfId="0" applyNumberFormat="1" applyFont="1" applyFill="1" applyBorder="1" applyAlignment="1">
      <alignment horizontal="center"/>
    </xf>
    <xf numFmtId="0" fontId="5" fillId="4" borderId="52" xfId="0" applyFont="1" applyFill="1" applyBorder="1" applyAlignment="1" applyProtection="1">
      <protection hidden="1"/>
    </xf>
    <xf numFmtId="0" fontId="5" fillId="4" borderId="121" xfId="0" applyFont="1" applyFill="1" applyBorder="1" applyAlignment="1" applyProtection="1">
      <alignment shrinkToFit="1"/>
      <protection hidden="1"/>
    </xf>
    <xf numFmtId="178" fontId="17" fillId="2" borderId="121" xfId="0" applyNumberFormat="1" applyFont="1" applyFill="1" applyBorder="1" applyAlignment="1" applyProtection="1">
      <protection hidden="1"/>
    </xf>
    <xf numFmtId="0" fontId="51" fillId="12" borderId="91" xfId="0" applyFont="1" applyFill="1" applyBorder="1" applyAlignment="1">
      <alignment horizontal="center"/>
    </xf>
    <xf numFmtId="0" fontId="5" fillId="12" borderId="57" xfId="0" applyFont="1" applyFill="1" applyBorder="1" applyAlignment="1" applyProtection="1">
      <protection hidden="1"/>
    </xf>
    <xf numFmtId="0" fontId="5" fillId="12" borderId="96" xfId="0" applyFont="1" applyFill="1" applyBorder="1" applyAlignment="1" applyProtection="1">
      <alignment shrinkToFit="1"/>
      <protection hidden="1"/>
    </xf>
    <xf numFmtId="180" fontId="51" fillId="12" borderId="67" xfId="0" applyNumberFormat="1" applyFont="1" applyFill="1" applyBorder="1" applyAlignment="1" applyProtection="1">
      <alignment horizontal="center"/>
      <protection locked="0" hidden="1"/>
    </xf>
    <xf numFmtId="180" fontId="17" fillId="12" borderId="88" xfId="0" applyNumberFormat="1" applyFont="1" applyFill="1" applyBorder="1" applyAlignment="1"/>
    <xf numFmtId="0" fontId="6" fillId="0" borderId="0" xfId="0" applyFont="1" applyAlignment="1" applyProtection="1">
      <protection hidden="1"/>
    </xf>
    <xf numFmtId="0" fontId="5" fillId="12" borderId="10" xfId="0" applyFont="1" applyFill="1" applyBorder="1" applyAlignment="1" applyProtection="1">
      <protection hidden="1"/>
    </xf>
    <xf numFmtId="0" fontId="5" fillId="12" borderId="11" xfId="0" applyFont="1" applyFill="1" applyBorder="1" applyAlignment="1" applyProtection="1">
      <alignment shrinkToFit="1"/>
      <protection hidden="1"/>
    </xf>
    <xf numFmtId="180" fontId="51" fillId="12" borderId="87" xfId="0" applyNumberFormat="1" applyFont="1" applyFill="1" applyBorder="1" applyAlignment="1" applyProtection="1">
      <alignment horizontal="center"/>
      <protection locked="0" hidden="1"/>
    </xf>
    <xf numFmtId="186" fontId="17" fillId="12" borderId="89" xfId="0" applyNumberFormat="1" applyFont="1" applyFill="1" applyBorder="1" applyAlignment="1"/>
    <xf numFmtId="0" fontId="5" fillId="12" borderId="122" xfId="0" applyFont="1" applyFill="1" applyBorder="1" applyAlignment="1" applyProtection="1">
      <protection hidden="1"/>
    </xf>
    <xf numFmtId="0" fontId="5" fillId="12" borderId="121" xfId="0" applyFont="1" applyFill="1" applyBorder="1" applyAlignment="1" applyProtection="1">
      <alignment shrinkToFit="1"/>
      <protection hidden="1"/>
    </xf>
    <xf numFmtId="0" fontId="51" fillId="12" borderId="53" xfId="0" applyFont="1" applyFill="1" applyBorder="1" applyAlignment="1" applyProtection="1">
      <alignment horizontal="center"/>
      <protection locked="0" hidden="1"/>
    </xf>
    <xf numFmtId="180" fontId="17" fillId="12" borderId="91" xfId="0" applyNumberFormat="1" applyFont="1" applyFill="1" applyBorder="1" applyAlignment="1"/>
    <xf numFmtId="0" fontId="5" fillId="18" borderId="39" xfId="0" applyFont="1" applyFill="1" applyBorder="1" applyAlignment="1" applyProtection="1">
      <protection hidden="1"/>
    </xf>
    <xf numFmtId="0" fontId="5" fillId="18" borderId="92" xfId="0" applyFont="1" applyFill="1" applyBorder="1" applyAlignment="1" applyProtection="1">
      <alignment shrinkToFit="1"/>
      <protection locked="0"/>
    </xf>
    <xf numFmtId="180" fontId="17" fillId="0" borderId="92" xfId="0" applyNumberFormat="1" applyFont="1" applyBorder="1" applyAlignment="1" applyProtection="1">
      <protection locked="0"/>
    </xf>
    <xf numFmtId="180" fontId="17" fillId="12" borderId="123" xfId="0" applyNumberFormat="1" applyFont="1" applyFill="1" applyBorder="1" applyAlignment="1"/>
    <xf numFmtId="0" fontId="5" fillId="18" borderId="97" xfId="0" applyFont="1" applyFill="1" applyBorder="1" applyAlignment="1" applyProtection="1">
      <alignment shrinkToFit="1"/>
      <protection locked="0"/>
    </xf>
    <xf numFmtId="180" fontId="17" fillId="0" borderId="97" xfId="0" applyNumberFormat="1" applyFont="1" applyBorder="1" applyAlignment="1" applyProtection="1">
      <protection locked="0"/>
    </xf>
    <xf numFmtId="180" fontId="17" fillId="0" borderId="124" xfId="0" applyNumberFormat="1" applyFont="1" applyBorder="1" applyAlignment="1" applyProtection="1">
      <protection locked="0"/>
    </xf>
    <xf numFmtId="0" fontId="5" fillId="18" borderId="93" xfId="0" applyFont="1" applyFill="1" applyBorder="1" applyAlignment="1" applyProtection="1">
      <alignment shrinkToFit="1"/>
      <protection locked="0"/>
    </xf>
    <xf numFmtId="180" fontId="17" fillId="0" borderId="93" xfId="0" applyNumberFormat="1" applyFont="1" applyBorder="1" applyAlignment="1" applyProtection="1">
      <protection locked="0"/>
    </xf>
    <xf numFmtId="180" fontId="17" fillId="12" borderId="125" xfId="0" applyNumberFormat="1" applyFont="1" applyFill="1" applyBorder="1" applyAlignment="1" applyProtection="1">
      <protection locked="0"/>
    </xf>
    <xf numFmtId="0" fontId="5" fillId="18" borderId="3" xfId="0" applyFont="1" applyFill="1" applyBorder="1" applyAlignment="1" applyProtection="1">
      <alignment shrinkToFit="1"/>
      <protection locked="0"/>
    </xf>
    <xf numFmtId="180" fontId="17" fillId="0" borderId="3" xfId="0" applyNumberFormat="1" applyFont="1" applyBorder="1" applyAlignment="1" applyProtection="1">
      <protection locked="0"/>
    </xf>
    <xf numFmtId="180" fontId="17" fillId="12" borderId="89" xfId="0" applyNumberFormat="1" applyFont="1" applyFill="1" applyBorder="1" applyAlignment="1" applyProtection="1">
      <protection locked="0"/>
    </xf>
    <xf numFmtId="0" fontId="5" fillId="18" borderId="94" xfId="0" applyFont="1" applyFill="1" applyBorder="1" applyAlignment="1" applyProtection="1">
      <alignment shrinkToFit="1"/>
      <protection locked="0"/>
    </xf>
    <xf numFmtId="180" fontId="17" fillId="0" borderId="94" xfId="0" applyNumberFormat="1" applyFont="1" applyBorder="1" applyAlignment="1" applyProtection="1">
      <protection locked="0"/>
    </xf>
    <xf numFmtId="200" fontId="51" fillId="12" borderId="126" xfId="0" applyNumberFormat="1" applyFont="1" applyFill="1" applyBorder="1" applyAlignment="1" applyProtection="1">
      <alignment horizontal="center"/>
      <protection locked="0"/>
    </xf>
    <xf numFmtId="200" fontId="51" fillId="12" borderId="124" xfId="0" applyNumberFormat="1" applyFont="1" applyFill="1" applyBorder="1" applyAlignment="1" applyProtection="1">
      <alignment horizontal="center"/>
      <protection locked="0"/>
    </xf>
    <xf numFmtId="200" fontId="51" fillId="12" borderId="125" xfId="0" applyNumberFormat="1" applyFont="1" applyFill="1" applyBorder="1" applyAlignment="1" applyProtection="1">
      <alignment horizontal="center"/>
      <protection locked="0"/>
    </xf>
    <xf numFmtId="180" fontId="17" fillId="12" borderId="126" xfId="0" applyNumberFormat="1" applyFont="1" applyFill="1" applyBorder="1" applyAlignment="1" applyProtection="1">
      <protection locked="0"/>
    </xf>
    <xf numFmtId="180" fontId="17" fillId="12" borderId="124" xfId="0" applyNumberFormat="1" applyFont="1" applyFill="1" applyBorder="1" applyAlignment="1" applyProtection="1">
      <protection locked="0"/>
    </xf>
    <xf numFmtId="180" fontId="17" fillId="0" borderId="126" xfId="0" applyNumberFormat="1" applyFont="1" applyBorder="1" applyAlignment="1" applyProtection="1">
      <protection locked="0"/>
    </xf>
    <xf numFmtId="0" fontId="5" fillId="18" borderId="95" xfId="0" applyFont="1" applyFill="1" applyBorder="1" applyAlignment="1" applyProtection="1">
      <alignment shrinkToFit="1"/>
      <protection locked="0"/>
    </xf>
    <xf numFmtId="180" fontId="17" fillId="0" borderId="95" xfId="0" applyNumberFormat="1" applyFont="1" applyBorder="1" applyAlignment="1" applyProtection="1">
      <protection locked="0"/>
    </xf>
    <xf numFmtId="180" fontId="17" fillId="0" borderId="127" xfId="0" applyNumberFormat="1" applyFont="1" applyBorder="1" applyAlignment="1" applyProtection="1">
      <protection locked="0"/>
    </xf>
    <xf numFmtId="0" fontId="5" fillId="6" borderId="115" xfId="0" applyFont="1" applyFill="1" applyBorder="1" applyAlignment="1" applyProtection="1">
      <protection hidden="1"/>
    </xf>
    <xf numFmtId="0" fontId="5" fillId="6" borderId="96" xfId="0" applyFont="1" applyFill="1" applyBorder="1" applyAlignment="1" applyProtection="1">
      <alignment shrinkToFit="1"/>
      <protection locked="0"/>
    </xf>
    <xf numFmtId="200" fontId="51" fillId="12" borderId="88" xfId="0" applyNumberFormat="1" applyFont="1" applyFill="1" applyBorder="1" applyAlignment="1" applyProtection="1">
      <alignment horizontal="center"/>
      <protection locked="0"/>
    </xf>
    <xf numFmtId="0" fontId="5" fillId="6" borderId="94" xfId="0" applyFont="1" applyFill="1" applyBorder="1" applyAlignment="1" applyProtection="1">
      <alignment shrinkToFit="1"/>
      <protection locked="0"/>
    </xf>
    <xf numFmtId="0" fontId="5" fillId="6" borderId="121" xfId="0" applyFont="1" applyFill="1" applyBorder="1" applyAlignment="1" applyProtection="1">
      <alignment shrinkToFit="1"/>
      <protection locked="0"/>
    </xf>
    <xf numFmtId="180" fontId="17" fillId="0" borderId="121" xfId="0" applyNumberFormat="1" applyFont="1" applyBorder="1" applyAlignment="1" applyProtection="1">
      <protection locked="0"/>
    </xf>
    <xf numFmtId="200" fontId="51" fillId="12" borderId="91" xfId="0" applyNumberFormat="1" applyFont="1" applyFill="1" applyBorder="1" applyAlignment="1" applyProtection="1">
      <alignment horizontal="center"/>
      <protection locked="0"/>
    </xf>
    <xf numFmtId="0" fontId="5" fillId="6" borderId="128" xfId="0" applyFont="1" applyFill="1" applyBorder="1" applyAlignment="1" applyProtection="1">
      <alignment shrinkToFit="1"/>
      <protection locked="0"/>
    </xf>
    <xf numFmtId="180" fontId="17" fillId="0" borderId="128" xfId="0" applyNumberFormat="1" applyFont="1" applyBorder="1" applyAlignment="1" applyProtection="1">
      <protection locked="0"/>
    </xf>
    <xf numFmtId="200" fontId="51" fillId="12" borderId="129" xfId="0" applyNumberFormat="1" applyFont="1" applyFill="1" applyBorder="1" applyAlignment="1" applyProtection="1">
      <alignment horizontal="center"/>
      <protection locked="0"/>
    </xf>
    <xf numFmtId="0" fontId="5" fillId="6" borderId="130" xfId="0" applyFont="1" applyFill="1" applyBorder="1" applyAlignment="1" applyProtection="1">
      <alignment shrinkToFit="1"/>
      <protection locked="0"/>
    </xf>
    <xf numFmtId="180" fontId="17" fillId="0" borderId="130" xfId="0" applyNumberFormat="1" applyFont="1" applyBorder="1" applyAlignment="1" applyProtection="1">
      <protection locked="0"/>
    </xf>
    <xf numFmtId="200" fontId="51" fillId="12" borderId="131" xfId="0" applyNumberFormat="1" applyFont="1" applyFill="1" applyBorder="1" applyAlignment="1" applyProtection="1">
      <alignment horizontal="center"/>
      <protection locked="0"/>
    </xf>
    <xf numFmtId="0" fontId="5" fillId="20" borderId="130" xfId="0" applyFont="1" applyFill="1" applyBorder="1" applyAlignment="1" applyProtection="1">
      <alignment shrinkToFit="1"/>
      <protection locked="0"/>
    </xf>
    <xf numFmtId="0" fontId="5" fillId="6" borderId="93" xfId="0" applyFont="1" applyFill="1" applyBorder="1" applyAlignment="1" applyProtection="1">
      <alignment shrinkToFit="1"/>
      <protection locked="0"/>
    </xf>
    <xf numFmtId="0" fontId="5" fillId="20" borderId="93" xfId="0" applyFont="1" applyFill="1" applyBorder="1" applyAlignment="1" applyProtection="1">
      <alignment shrinkToFit="1"/>
      <protection locked="0"/>
    </xf>
    <xf numFmtId="0" fontId="5" fillId="20" borderId="94" xfId="0" applyFont="1" applyFill="1" applyBorder="1" applyAlignment="1" applyProtection="1">
      <alignment shrinkToFit="1"/>
      <protection locked="0"/>
    </xf>
    <xf numFmtId="0" fontId="5" fillId="6" borderId="132" xfId="0" applyFont="1" applyFill="1" applyBorder="1" applyAlignment="1" applyProtection="1">
      <protection hidden="1"/>
    </xf>
    <xf numFmtId="0" fontId="5" fillId="6" borderId="97" xfId="0" applyFont="1" applyFill="1" applyBorder="1" applyAlignment="1" applyProtection="1">
      <alignment shrinkToFit="1"/>
      <protection locked="0"/>
    </xf>
    <xf numFmtId="0" fontId="5" fillId="20" borderId="97" xfId="0" applyFont="1" applyFill="1" applyBorder="1" applyAlignment="1" applyProtection="1">
      <alignment shrinkToFit="1"/>
      <protection locked="0"/>
    </xf>
    <xf numFmtId="0" fontId="5" fillId="6" borderId="12" xfId="0" applyFont="1" applyFill="1" applyBorder="1" applyAlignment="1" applyProtection="1">
      <alignment shrinkToFit="1"/>
      <protection locked="0"/>
    </xf>
    <xf numFmtId="180" fontId="17" fillId="0" borderId="12" xfId="0" applyNumberFormat="1" applyFont="1" applyBorder="1" applyAlignment="1" applyProtection="1">
      <protection locked="0"/>
    </xf>
    <xf numFmtId="200" fontId="51" fillId="12" borderId="22" xfId="0" applyNumberFormat="1" applyFont="1" applyFill="1" applyBorder="1" applyAlignment="1" applyProtection="1">
      <alignment horizontal="center"/>
      <protection locked="0"/>
    </xf>
    <xf numFmtId="0" fontId="5" fillId="20" borderId="12" xfId="0" applyFont="1" applyFill="1" applyBorder="1" applyAlignment="1" applyProtection="1">
      <alignment shrinkToFit="1"/>
      <protection locked="0"/>
    </xf>
    <xf numFmtId="0" fontId="5" fillId="15" borderId="14" xfId="0" applyFont="1" applyFill="1" applyBorder="1" applyAlignment="1" applyProtection="1">
      <protection hidden="1"/>
    </xf>
    <xf numFmtId="200" fontId="51" fillId="12" borderId="92" xfId="0" applyNumberFormat="1" applyFont="1" applyFill="1" applyBorder="1" applyAlignment="1">
      <alignment horizontal="center"/>
    </xf>
    <xf numFmtId="180" fontId="17" fillId="0" borderId="123" xfId="0" applyNumberFormat="1" applyFont="1" applyBorder="1" applyAlignment="1" applyProtection="1">
      <protection locked="0"/>
    </xf>
    <xf numFmtId="0" fontId="5" fillId="15" borderId="39" xfId="0" applyFont="1" applyFill="1" applyBorder="1" applyAlignment="1" applyProtection="1">
      <protection hidden="1"/>
    </xf>
    <xf numFmtId="200" fontId="51" fillId="12" borderId="93" xfId="0" applyNumberFormat="1" applyFont="1" applyFill="1" applyBorder="1" applyAlignment="1">
      <alignment horizontal="center"/>
    </xf>
    <xf numFmtId="180" fontId="17" fillId="0" borderId="125" xfId="0" applyNumberFormat="1" applyFont="1" applyBorder="1" applyAlignment="1" applyProtection="1">
      <protection locked="0"/>
    </xf>
    <xf numFmtId="200" fontId="51" fillId="12" borderId="94" xfId="0" applyNumberFormat="1" applyFont="1" applyFill="1" applyBorder="1" applyAlignment="1">
      <alignment horizontal="center"/>
    </xf>
    <xf numFmtId="0" fontId="52" fillId="0" borderId="0" xfId="0" applyFont="1" applyAlignment="1" applyProtection="1">
      <protection hidden="1"/>
    </xf>
    <xf numFmtId="200" fontId="51" fillId="12" borderId="95" xfId="0" applyNumberFormat="1" applyFont="1" applyFill="1" applyBorder="1" applyAlignment="1">
      <alignment horizontal="center"/>
    </xf>
    <xf numFmtId="200" fontId="51" fillId="12" borderId="96" xfId="0" applyNumberFormat="1" applyFont="1" applyFill="1" applyBorder="1" applyAlignment="1">
      <alignment horizontal="center"/>
    </xf>
    <xf numFmtId="180" fontId="17" fillId="0" borderId="88" xfId="0" applyNumberFormat="1" applyFont="1" applyBorder="1" applyAlignment="1" applyProtection="1">
      <protection locked="0"/>
    </xf>
    <xf numFmtId="200" fontId="51" fillId="12" borderId="97" xfId="0" applyNumberFormat="1" applyFont="1" applyFill="1" applyBorder="1" applyAlignment="1">
      <alignment horizontal="center"/>
    </xf>
    <xf numFmtId="180" fontId="53" fillId="0" borderId="124" xfId="0" applyNumberFormat="1" applyFont="1" applyBorder="1" applyAlignment="1" applyProtection="1">
      <protection locked="0"/>
    </xf>
    <xf numFmtId="180" fontId="17" fillId="2" borderId="125" xfId="0" applyNumberFormat="1" applyFont="1" applyFill="1" applyBorder="1" applyAlignment="1"/>
    <xf numFmtId="0" fontId="5" fillId="15" borderId="17" xfId="0" applyFont="1" applyFill="1" applyBorder="1" applyAlignment="1" applyProtection="1">
      <protection hidden="1"/>
    </xf>
    <xf numFmtId="0" fontId="5" fillId="17" borderId="121" xfId="0" applyFont="1" applyFill="1" applyBorder="1" applyAlignment="1" applyProtection="1">
      <alignment shrinkToFit="1"/>
      <protection locked="0"/>
    </xf>
    <xf numFmtId="200" fontId="51" fillId="12" borderId="121" xfId="0" applyNumberFormat="1" applyFont="1" applyFill="1" applyBorder="1" applyAlignment="1">
      <alignment horizontal="center"/>
    </xf>
    <xf numFmtId="180" fontId="17" fillId="0" borderId="91" xfId="0" applyNumberFormat="1" applyFont="1" applyBorder="1" applyAlignment="1" applyProtection="1">
      <protection locked="0"/>
    </xf>
    <xf numFmtId="0" fontId="54" fillId="2" borderId="133" xfId="0" applyFont="1" applyFill="1" applyBorder="1" applyAlignment="1" applyProtection="1">
      <protection hidden="1"/>
    </xf>
    <xf numFmtId="0" fontId="5" fillId="21" borderId="92" xfId="0" applyFont="1" applyFill="1" applyBorder="1" applyAlignment="1" applyProtection="1">
      <alignment shrinkToFit="1"/>
      <protection locked="0"/>
    </xf>
    <xf numFmtId="200" fontId="17" fillId="12" borderId="92" xfId="0" applyNumberFormat="1" applyFont="1" applyFill="1" applyBorder="1" applyAlignment="1">
      <alignment horizontal="center"/>
    </xf>
    <xf numFmtId="180" fontId="17" fillId="12" borderId="123" xfId="0" applyNumberFormat="1" applyFont="1" applyFill="1" applyBorder="1" applyAlignment="1" applyProtection="1">
      <protection locked="0"/>
    </xf>
    <xf numFmtId="0" fontId="5" fillId="21" borderId="93" xfId="0" applyFont="1" applyFill="1" applyBorder="1" applyAlignment="1" applyProtection="1">
      <alignment shrinkToFit="1"/>
      <protection locked="0"/>
    </xf>
    <xf numFmtId="200" fontId="17" fillId="12" borderId="93" xfId="0" applyNumberFormat="1" applyFont="1" applyFill="1" applyBorder="1" applyAlignment="1">
      <alignment horizontal="center"/>
    </xf>
    <xf numFmtId="0" fontId="5" fillId="21" borderId="94" xfId="0" applyFont="1" applyFill="1" applyBorder="1" applyAlignment="1" applyProtection="1">
      <alignment shrinkToFit="1"/>
      <protection locked="0"/>
    </xf>
    <xf numFmtId="200" fontId="17" fillId="12" borderId="94" xfId="0" applyNumberFormat="1" applyFont="1" applyFill="1" applyBorder="1" applyAlignment="1">
      <alignment horizontal="center"/>
    </xf>
    <xf numFmtId="0" fontId="5" fillId="21" borderId="95" xfId="0" applyFont="1" applyFill="1" applyBorder="1" applyAlignment="1" applyProtection="1">
      <alignment shrinkToFit="1"/>
      <protection locked="0"/>
    </xf>
    <xf numFmtId="200" fontId="17" fillId="12" borderId="95" xfId="0" applyNumberFormat="1" applyFont="1" applyFill="1" applyBorder="1" applyAlignment="1">
      <alignment horizontal="center"/>
    </xf>
    <xf numFmtId="0" fontId="5" fillId="8" borderId="14" xfId="0" applyFont="1" applyFill="1" applyBorder="1" applyAlignment="1" applyProtection="1">
      <protection hidden="1"/>
    </xf>
    <xf numFmtId="0" fontId="5" fillId="8" borderId="96" xfId="0" applyFont="1" applyFill="1" applyBorder="1" applyAlignment="1" applyProtection="1">
      <alignment shrinkToFit="1"/>
      <protection locked="0"/>
    </xf>
    <xf numFmtId="200" fontId="17" fillId="0" borderId="96" xfId="0" applyNumberFormat="1" applyFont="1" applyBorder="1" applyAlignment="1" applyProtection="1">
      <alignment horizontal="right"/>
      <protection locked="0"/>
    </xf>
    <xf numFmtId="0" fontId="5" fillId="22" borderId="57" xfId="0" applyFont="1" applyFill="1" applyBorder="1" applyAlignment="1"/>
    <xf numFmtId="0" fontId="5" fillId="23" borderId="96" xfId="0" applyFont="1" applyFill="1" applyBorder="1" applyAlignment="1">
      <alignment shrinkToFit="1"/>
    </xf>
    <xf numFmtId="180" fontId="17" fillId="23" borderId="88" xfId="0" applyNumberFormat="1" applyFont="1" applyFill="1" applyBorder="1" applyAlignment="1">
      <alignment horizontal="right"/>
    </xf>
    <xf numFmtId="0" fontId="5" fillId="8" borderId="39" xfId="0" applyFont="1" applyFill="1" applyBorder="1" applyAlignment="1" applyProtection="1">
      <protection hidden="1"/>
    </xf>
    <xf numFmtId="0" fontId="5" fillId="8" borderId="94" xfId="0" applyFont="1" applyFill="1" applyBorder="1" applyAlignment="1" applyProtection="1">
      <alignment shrinkToFit="1"/>
      <protection locked="0"/>
    </xf>
    <xf numFmtId="200" fontId="17" fillId="0" borderId="94" xfId="0" applyNumberFormat="1" applyFont="1" applyBorder="1" applyAlignment="1" applyProtection="1">
      <alignment horizontal="right"/>
      <protection locked="0"/>
    </xf>
    <xf numFmtId="0" fontId="5" fillId="22" borderId="45" xfId="0" applyFont="1" applyFill="1" applyBorder="1" applyAlignment="1"/>
    <xf numFmtId="0" fontId="5" fillId="16" borderId="3" xfId="0" applyFont="1" applyFill="1" applyBorder="1" applyAlignment="1" applyProtection="1">
      <alignment shrinkToFit="1"/>
      <protection locked="0"/>
    </xf>
    <xf numFmtId="180" fontId="17" fillId="0" borderId="89" xfId="0" applyNumberFormat="1" applyFont="1" applyBorder="1" applyAlignment="1" applyProtection="1">
      <protection locked="0"/>
    </xf>
    <xf numFmtId="0" fontId="4" fillId="0" borderId="0" xfId="0" applyFont="1" applyAlignment="1" applyProtection="1">
      <alignment horizontal="center"/>
      <protection hidden="1"/>
    </xf>
    <xf numFmtId="0" fontId="5" fillId="8" borderId="97" xfId="0" applyFont="1" applyFill="1" applyBorder="1" applyAlignment="1" applyProtection="1">
      <alignment shrinkToFit="1"/>
      <protection locked="0"/>
    </xf>
    <xf numFmtId="200" fontId="17" fillId="0" borderId="97" xfId="0" applyNumberFormat="1" applyFont="1" applyBorder="1" applyAlignment="1" applyProtection="1">
      <alignment horizontal="right"/>
      <protection locked="0"/>
    </xf>
    <xf numFmtId="0" fontId="5" fillId="8" borderId="93" xfId="0" applyFont="1" applyFill="1" applyBorder="1" applyAlignment="1" applyProtection="1">
      <alignment shrinkToFit="1"/>
      <protection locked="0"/>
    </xf>
    <xf numFmtId="200" fontId="17" fillId="0" borderId="93" xfId="0" applyNumberFormat="1" applyFont="1" applyBorder="1" applyAlignment="1" applyProtection="1">
      <alignment horizontal="right"/>
      <protection locked="0"/>
    </xf>
    <xf numFmtId="0" fontId="5" fillId="22" borderId="122" xfId="0" applyFont="1" applyFill="1" applyBorder="1" applyAlignment="1"/>
    <xf numFmtId="0" fontId="5" fillId="16" borderId="121" xfId="0" applyFont="1" applyFill="1" applyBorder="1" applyAlignment="1" applyProtection="1">
      <alignment shrinkToFit="1"/>
      <protection locked="0"/>
    </xf>
    <xf numFmtId="0" fontId="5" fillId="8" borderId="95" xfId="0" applyFont="1" applyFill="1" applyBorder="1" applyAlignment="1" applyProtection="1">
      <alignment shrinkToFit="1"/>
      <protection locked="0"/>
    </xf>
    <xf numFmtId="200" fontId="17" fillId="0" borderId="95" xfId="0" applyNumberFormat="1" applyFont="1" applyBorder="1" applyAlignment="1" applyProtection="1">
      <alignment horizontal="right"/>
      <protection locked="0"/>
    </xf>
    <xf numFmtId="0" fontId="5" fillId="22" borderId="3" xfId="0" applyFont="1" applyFill="1" applyBorder="1" applyAlignment="1">
      <alignment shrinkToFit="1"/>
    </xf>
    <xf numFmtId="180" fontId="17" fillId="23" borderId="89" xfId="0" applyNumberFormat="1" applyFont="1" applyFill="1" applyBorder="1" applyAlignment="1"/>
    <xf numFmtId="0" fontId="5" fillId="8" borderId="71" xfId="0" applyFont="1" applyFill="1" applyBorder="1" applyAlignment="1" applyProtection="1">
      <alignment shrinkToFit="1"/>
      <protection locked="0"/>
    </xf>
    <xf numFmtId="180" fontId="17" fillId="0" borderId="71" xfId="0" applyNumberFormat="1" applyFont="1" applyBorder="1" applyAlignment="1" applyProtection="1">
      <protection locked="0"/>
    </xf>
    <xf numFmtId="180" fontId="17" fillId="0" borderId="116" xfId="0" applyNumberFormat="1" applyFont="1" applyBorder="1" applyAlignment="1" applyProtection="1">
      <protection locked="0"/>
    </xf>
    <xf numFmtId="0" fontId="5" fillId="8" borderId="3" xfId="0" applyFont="1" applyFill="1" applyBorder="1" applyAlignment="1" applyProtection="1">
      <alignment shrinkToFit="1"/>
      <protection locked="0"/>
    </xf>
    <xf numFmtId="0" fontId="5" fillId="22" borderId="52" xfId="0" applyFont="1" applyFill="1" applyBorder="1" applyAlignment="1"/>
    <xf numFmtId="0" fontId="5" fillId="8" borderId="17" xfId="0" applyFont="1" applyFill="1" applyBorder="1" applyAlignment="1" applyProtection="1">
      <protection hidden="1"/>
    </xf>
    <xf numFmtId="0" fontId="5" fillId="24" borderId="10" xfId="0" applyFont="1" applyFill="1" applyBorder="1" applyAlignment="1" applyProtection="1">
      <protection hidden="1"/>
    </xf>
    <xf numFmtId="0" fontId="5" fillId="24" borderId="134" xfId="0" applyFont="1" applyFill="1" applyBorder="1" applyAlignment="1">
      <alignment shrinkToFit="1"/>
    </xf>
    <xf numFmtId="180" fontId="17" fillId="0" borderId="134" xfId="0" applyNumberFormat="1" applyFont="1" applyBorder="1" applyAlignment="1" applyProtection="1">
      <protection locked="0"/>
    </xf>
    <xf numFmtId="180" fontId="17" fillId="0" borderId="120" xfId="0" applyNumberFormat="1" applyFont="1" applyBorder="1" applyAlignment="1" applyProtection="1">
      <protection locked="0"/>
    </xf>
    <xf numFmtId="0" fontId="5" fillId="25" borderId="57" xfId="0" applyFont="1" applyFill="1" applyBorder="1" applyAlignment="1" applyProtection="1">
      <protection hidden="1"/>
    </xf>
    <xf numFmtId="0" fontId="5" fillId="25" borderId="96" xfId="0" applyFont="1" applyFill="1" applyBorder="1" applyAlignment="1">
      <alignment shrinkToFit="1"/>
    </xf>
    <xf numFmtId="180" fontId="17" fillId="12" borderId="96" xfId="0" applyNumberFormat="1" applyFont="1" applyFill="1" applyBorder="1" applyAlignment="1" applyProtection="1">
      <protection locked="0" hidden="1"/>
    </xf>
    <xf numFmtId="200" fontId="51" fillId="12" borderId="88" xfId="0" applyNumberFormat="1" applyFont="1" applyFill="1" applyBorder="1" applyAlignment="1" applyProtection="1">
      <alignment horizontal="center"/>
      <protection locked="0" hidden="1"/>
    </xf>
    <xf numFmtId="0" fontId="5" fillId="22" borderId="45" xfId="0" applyFont="1" applyFill="1" applyBorder="1" applyAlignment="1" applyProtection="1">
      <protection hidden="1"/>
    </xf>
    <xf numFmtId="180" fontId="17" fillId="0" borderId="3" xfId="0" applyNumberFormat="1" applyFont="1" applyBorder="1" applyAlignment="1"/>
    <xf numFmtId="200" fontId="51" fillId="12" borderId="89" xfId="0" applyNumberFormat="1" applyFont="1" applyFill="1" applyBorder="1" applyAlignment="1" applyProtection="1">
      <alignment horizontal="center"/>
      <protection hidden="1"/>
    </xf>
    <xf numFmtId="0" fontId="5" fillId="2" borderId="55" xfId="0" applyFont="1" applyFill="1" applyBorder="1" applyAlignment="1" applyProtection="1">
      <protection hidden="1"/>
    </xf>
    <xf numFmtId="0" fontId="5" fillId="2" borderId="92" xfId="0" applyFont="1" applyFill="1" applyBorder="1" applyAlignment="1" applyProtection="1">
      <protection hidden="1"/>
    </xf>
    <xf numFmtId="180" fontId="55" fillId="2" borderId="123" xfId="0" applyNumberFormat="1" applyFont="1" applyFill="1" applyBorder="1" applyAlignment="1"/>
    <xf numFmtId="0" fontId="5" fillId="2" borderId="108" xfId="0" applyFont="1" applyFill="1" applyBorder="1" applyAlignment="1" applyProtection="1">
      <protection hidden="1"/>
    </xf>
    <xf numFmtId="0" fontId="5" fillId="2" borderId="97" xfId="0" applyFont="1" applyFill="1" applyBorder="1" applyAlignment="1" applyProtection="1">
      <protection hidden="1"/>
    </xf>
    <xf numFmtId="180" fontId="55" fillId="2" borderId="124" xfId="0" applyNumberFormat="1" applyFont="1" applyFill="1" applyBorder="1" applyAlignment="1"/>
    <xf numFmtId="0" fontId="0" fillId="2" borderId="10" xfId="0" applyFill="1" applyBorder="1" applyAlignment="1" applyProtection="1">
      <protection hidden="1"/>
    </xf>
    <xf numFmtId="0" fontId="5" fillId="22" borderId="52" xfId="0" applyFont="1" applyFill="1" applyBorder="1" applyAlignment="1" applyProtection="1">
      <protection hidden="1"/>
    </xf>
    <xf numFmtId="0" fontId="5" fillId="22" borderId="121" xfId="0" applyFont="1" applyFill="1" applyBorder="1" applyAlignment="1">
      <alignment shrinkToFit="1"/>
    </xf>
    <xf numFmtId="180" fontId="17" fillId="0" borderId="121" xfId="0" applyNumberFormat="1" applyFont="1" applyBorder="1" applyAlignment="1"/>
    <xf numFmtId="200" fontId="51" fillId="12" borderId="91" xfId="0" applyNumberFormat="1" applyFont="1" applyFill="1" applyBorder="1" applyAlignment="1" applyProtection="1">
      <alignment horizontal="center"/>
      <protection hidden="1"/>
    </xf>
    <xf numFmtId="0" fontId="0" fillId="2" borderId="135" xfId="0" applyFill="1" applyBorder="1" applyAlignment="1" applyProtection="1">
      <protection hidden="1"/>
    </xf>
    <xf numFmtId="0" fontId="5" fillId="2" borderId="95" xfId="0" applyFont="1" applyFill="1" applyBorder="1" applyAlignment="1" applyProtection="1">
      <protection hidden="1"/>
    </xf>
    <xf numFmtId="180" fontId="55" fillId="2" borderId="127" xfId="0" applyNumberFormat="1" applyFont="1" applyFill="1" applyBorder="1" applyAlignment="1"/>
    <xf numFmtId="0" fontId="56" fillId="0" borderId="0" xfId="0" applyFont="1" applyAlignment="1" applyProtection="1">
      <protection hidden="1"/>
    </xf>
    <xf numFmtId="180" fontId="34" fillId="0" borderId="0" xfId="0" applyNumberFormat="1" applyFont="1" applyAlignment="1" applyProtection="1">
      <protection hidden="1"/>
    </xf>
    <xf numFmtId="0" fontId="34" fillId="0" borderId="0" xfId="0" applyFont="1" applyAlignment="1" applyProtection="1">
      <protection hidden="1"/>
    </xf>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桁区切り 2" xfId="49"/>
    <cellStyle name="標準 2 2" xfId="50"/>
    <cellStyle name="標準 3" xfId="51"/>
  </cellStyles>
  <tableStyles count="0" defaultTableStyle="TableStyleMedium2" defaultPivotStyle="PivotStyleLight16"/>
  <colors>
    <mruColors>
      <color rgb="009E9093"/>
      <color rgb="0088787B"/>
      <color rgb="006F6164"/>
      <color rgb="00BBB1B3"/>
      <color rgb="00CC99FF"/>
      <color rgb="00FFCC99"/>
      <color rgb="00F8CBA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externalLink" Target="externalLinks/externalLink1.xml"/><Relationship Id="rId15" Type="http://schemas.openxmlformats.org/officeDocument/2006/relationships/customXml" Target="../customXml/item2.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cap="none" baseline="0">
                <a:solidFill>
                  <a:schemeClr val="lt1">
                    <a:lumMod val="85000"/>
                  </a:schemeClr>
                </a:solidFill>
                <a:latin typeface="+mn-lt"/>
                <a:ea typeface="+mn-ea"/>
                <a:cs typeface="+mn-cs"/>
              </a:defRPr>
            </a:pPr>
            <a:r>
              <a:rPr lang="ja-JP"/>
              <a:t>来期</a:t>
            </a:r>
            <a:endParaRPr lang="ja-JP"/>
          </a:p>
        </c:rich>
      </c:tx>
      <c:layout>
        <c:manualLayout>
          <c:xMode val="edge"/>
          <c:yMode val="edge"/>
          <c:x val="0.44949494949495"/>
          <c:y val="0"/>
        </c:manualLayout>
      </c:layout>
      <c:overlay val="0"/>
      <c:spPr>
        <a:noFill/>
        <a:ln>
          <a:noFill/>
        </a:ln>
        <a:effectLst/>
      </c:spPr>
    </c:title>
    <c:autoTitleDeleted val="0"/>
    <c:plotArea>
      <c:layout>
        <c:manualLayout>
          <c:layoutTarget val="inner"/>
          <c:xMode val="edge"/>
          <c:yMode val="edge"/>
          <c:x val="0.0952416506787347"/>
          <c:y val="0.109675628781696"/>
          <c:w val="0.852558215043936"/>
          <c:h val="0.805365138181257"/>
        </c:manualLayout>
      </c:layout>
      <c:scatterChart>
        <c:scatterStyle val="line"/>
        <c:varyColors val="0"/>
        <c:ser>
          <c:idx val="0"/>
          <c:order val="0"/>
          <c:tx>
            <c:strRef>
              <c:f>損益分岐点!$I$2</c:f>
              <c:strCache>
                <c:ptCount val="1"/>
                <c:pt idx="0">
                  <c:v>総費用</c:v>
                </c:pt>
              </c:strCache>
            </c:strRef>
          </c:tx>
          <c:spPr>
            <a:ln w="22225" cap="rnd">
              <a:solidFill>
                <a:schemeClr val="accent1"/>
              </a:solidFill>
            </a:ln>
            <a:effectLst>
              <a:glow rad="139700">
                <a:schemeClr val="accent1">
                  <a:satMod val="175000"/>
                  <a:alpha val="14000"/>
                </a:schemeClr>
              </a:glow>
            </a:effectLst>
          </c:spPr>
          <c:marker>
            <c:symbol val="none"/>
          </c:marker>
          <c:dLbls>
            <c:dLbl>
              <c:idx val="0"/>
              <c:delete val="1"/>
            </c:dLbl>
            <c:dLbl>
              <c:idx val="1"/>
              <c:delete val="1"/>
            </c:dLbl>
            <c:dLbl>
              <c:idx val="2"/>
              <c:delete val="1"/>
            </c:dLbl>
            <c:dLbl>
              <c:idx val="3"/>
              <c:delete val="1"/>
            </c:dLbl>
            <c:dLbl>
              <c:idx val="4"/>
              <c:delete val="1"/>
            </c:dLbl>
            <c:dLbl>
              <c:idx val="5"/>
              <c:layout>
                <c:manualLayout>
                  <c:x val="-0.49433654908418"/>
                  <c:y val="0.0237071808331651"/>
                </c:manualLayout>
              </c:layout>
              <c:tx>
                <c:rich>
                  <a:bodyPr rot="0" spcFirstLastPara="1" vertOverflow="ellipsis" vert="horz" wrap="square" lIns="38100" tIns="19050" rIns="38100" bIns="19050" anchor="ctr" anchorCtr="1"/>
                  <a:lstStyle/>
                  <a:p>
                    <a:pPr>
                      <a:defRPr lang="en-US" sz="900" b="0" i="0" u="none" strike="noStrike" kern="1200" baseline="0">
                        <a:solidFill>
                          <a:schemeClr val="lt1">
                            <a:lumMod val="75000"/>
                          </a:schemeClr>
                        </a:solidFill>
                        <a:latin typeface="+mn-lt"/>
                        <a:ea typeface="+mn-ea"/>
                        <a:cs typeface="+mn-cs"/>
                      </a:defRPr>
                    </a:pPr>
                    <a:r>
                      <a:rPr lang="ja-JP" altLang="en-US"/>
                      <a:t>総費用線</a:t>
                    </a:r>
                    <a:endParaRPr lang="ja-JP" altLang="en-US"/>
                  </a:p>
                </c:rich>
              </c:tx>
              <c:dLblPos val="r"/>
              <c:showLegendKey val="0"/>
              <c:showVal val="1"/>
              <c:showCatName val="0"/>
              <c:showSerName val="0"/>
              <c:showPercent val="0"/>
              <c:showBubbleSize val="0"/>
              <c:extLst>
                <c:ext xmlns:c15="http://schemas.microsoft.com/office/drawing/2012/chart" uri="{CE6537A1-D6FC-4f65-9D91-7224C49458BB}">
                  <c15:layout/>
                </c:ext>
              </c:extLst>
            </c:dLbl>
            <c:dLbl>
              <c:idx val="6"/>
              <c:delete val="1"/>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損益分岐点!$H$3:$H$37</c:f>
              <c:numCache>
                <c:formatCode>General</c:formatCode>
                <c:ptCount val="35"/>
                <c:pt idx="0">
                  <c:v>0</c:v>
                </c:pt>
                <c:pt idx="1">
                  <c:v>0</c:v>
                </c:pt>
                <c:pt idx="2">
                  <c:v>0</c:v>
                </c:pt>
                <c:pt idx="3">
                  <c:v>0</c:v>
                </c:pt>
                <c:pt idx="4">
                  <c:v>0</c:v>
                </c:pt>
                <c:pt idx="5">
                  <c:v>0</c:v>
                </c:pt>
                <c:pt idx="6">
                  <c:v>0</c:v>
                </c:pt>
              </c:numCache>
            </c:numRef>
          </c:xVal>
          <c:yVal>
            <c:numRef>
              <c:f>損益分岐点!$I$3:$I$37</c:f>
              <c:numCache>
                <c:formatCode>#,##0_);[Red]\(#,##0\)</c:formatCode>
                <c:ptCount val="35"/>
                <c:pt idx="0">
                  <c:v>0</c:v>
                </c:pt>
                <c:pt idx="1">
                  <c:v>0</c:v>
                </c:pt>
                <c:pt idx="2">
                  <c:v>0</c:v>
                </c:pt>
                <c:pt idx="3">
                  <c:v>0</c:v>
                </c:pt>
                <c:pt idx="4">
                  <c:v>0</c:v>
                </c:pt>
                <c:pt idx="5">
                  <c:v>0</c:v>
                </c:pt>
                <c:pt idx="6">
                  <c:v>0</c:v>
                </c:pt>
              </c:numCache>
            </c:numRef>
          </c:yVal>
          <c:smooth val="0"/>
        </c:ser>
        <c:ser>
          <c:idx val="1"/>
          <c:order val="1"/>
          <c:tx>
            <c:strRef>
              <c:f>損益分岐点!$H$2</c:f>
              <c:strCache>
                <c:ptCount val="1"/>
                <c:pt idx="0">
                  <c:v>売上高</c:v>
                </c:pt>
              </c:strCache>
            </c:strRef>
          </c:tx>
          <c:spPr>
            <a:ln w="22225" cap="rnd">
              <a:solidFill>
                <a:schemeClr val="accent2"/>
              </a:solidFill>
            </a:ln>
            <a:effectLst>
              <a:glow rad="139700">
                <a:schemeClr val="accent2">
                  <a:satMod val="175000"/>
                  <a:alpha val="14000"/>
                </a:schemeClr>
              </a:glow>
            </a:effectLst>
          </c:spPr>
          <c:marker>
            <c:symbol val="none"/>
          </c:marker>
          <c:dLbls>
            <c:dLbl>
              <c:idx val="0"/>
              <c:delete val="1"/>
            </c:dLbl>
            <c:dLbl>
              <c:idx val="1"/>
              <c:layout>
                <c:manualLayout>
                  <c:x val="0.161643375600479"/>
                  <c:y val="0.037843232364046"/>
                </c:manualLayout>
              </c:layout>
              <c:tx>
                <c:rich>
                  <a:bodyPr rot="0" spcFirstLastPara="1" vertOverflow="ellipsis" vert="horz" wrap="square" lIns="38100" tIns="19050" rIns="38100" bIns="19050" anchor="ctr" anchorCtr="1"/>
                  <a:lstStyle/>
                  <a:p>
                    <a:pPr>
                      <a:defRPr lang="en-US" sz="900" b="0" i="0" u="none" strike="noStrike" kern="1200" baseline="0">
                        <a:solidFill>
                          <a:schemeClr val="lt1">
                            <a:lumMod val="75000"/>
                          </a:schemeClr>
                        </a:solidFill>
                        <a:latin typeface="+mn-lt"/>
                        <a:ea typeface="+mn-ea"/>
                        <a:cs typeface="+mn-cs"/>
                      </a:defRPr>
                    </a:pPr>
                    <a:r>
                      <a:rPr lang="ja-JP" altLang="en-US"/>
                      <a:t>売上高線</a:t>
                    </a:r>
                    <a:endParaRPr lang="ja-JP" altLang="en-US"/>
                  </a:p>
                </c:rich>
              </c:tx>
              <c:dLblPos val="r"/>
              <c:showLegendKey val="0"/>
              <c:showVal val="1"/>
              <c:showCatName val="0"/>
              <c:showSerName val="0"/>
              <c:showPercent val="0"/>
              <c:showBubbleSize val="0"/>
              <c:extLst>
                <c:ext xmlns:c15="http://schemas.microsoft.com/office/drawing/2012/chart" uri="{CE6537A1-D6FC-4f65-9D91-7224C49458BB}">
                  <c15:layout/>
                </c:ext>
              </c:extLst>
            </c:dLbl>
            <c:dLbl>
              <c:idx val="2"/>
              <c:delete val="1"/>
            </c:dLbl>
            <c:dLbl>
              <c:idx val="3"/>
              <c:delete val="1"/>
            </c:dLbl>
            <c:dLbl>
              <c:idx val="4"/>
              <c:delete val="1"/>
            </c:dLbl>
            <c:dLbl>
              <c:idx val="5"/>
              <c:delete val="1"/>
            </c:dLbl>
            <c:dLbl>
              <c:idx val="6"/>
              <c:delete val="1"/>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損益分岐点!$H$3:$H$10</c:f>
              <c:numCache>
                <c:formatCode>General</c:formatCode>
                <c:ptCount val="8"/>
                <c:pt idx="0">
                  <c:v>0</c:v>
                </c:pt>
                <c:pt idx="1">
                  <c:v>0</c:v>
                </c:pt>
                <c:pt idx="2">
                  <c:v>0</c:v>
                </c:pt>
                <c:pt idx="3">
                  <c:v>0</c:v>
                </c:pt>
                <c:pt idx="4">
                  <c:v>0</c:v>
                </c:pt>
                <c:pt idx="5">
                  <c:v>0</c:v>
                </c:pt>
                <c:pt idx="6">
                  <c:v>0</c:v>
                </c:pt>
              </c:numCache>
            </c:numRef>
          </c:xVal>
          <c:yVal>
            <c:numRef>
              <c:f>損益分岐点!$H$3:$H$10</c:f>
              <c:numCache>
                <c:formatCode>General</c:formatCode>
                <c:ptCount val="8"/>
                <c:pt idx="0">
                  <c:v>0</c:v>
                </c:pt>
                <c:pt idx="1">
                  <c:v>0</c:v>
                </c:pt>
                <c:pt idx="2">
                  <c:v>0</c:v>
                </c:pt>
                <c:pt idx="3">
                  <c:v>0</c:v>
                </c:pt>
                <c:pt idx="4">
                  <c:v>0</c:v>
                </c:pt>
                <c:pt idx="5">
                  <c:v>0</c:v>
                </c:pt>
                <c:pt idx="6">
                  <c:v>0</c:v>
                </c:pt>
              </c:numCache>
            </c:numRef>
          </c:yVal>
          <c:smooth val="0"/>
        </c:ser>
        <c:ser>
          <c:idx val="2"/>
          <c:order val="2"/>
          <c:tx>
            <c:strRef>
              <c:f>"損益分岐点"</c:f>
              <c:strCache>
                <c:ptCount val="1"/>
                <c:pt idx="0">
                  <c:v>損益分岐点</c:v>
                </c:pt>
              </c:strCache>
            </c:strRef>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dLbls>
            <c:dLbl>
              <c:idx val="0"/>
              <c:layout>
                <c:manualLayout>
                  <c:x val="-0.030239140683822"/>
                  <c:y val="0.300360051147453"/>
                </c:manualLayout>
              </c:layout>
              <c:tx>
                <c:rich>
                  <a:bodyPr rot="0" spcFirstLastPara="1" vertOverflow="ellipsis" vert="horz" wrap="square" lIns="38100" tIns="19050" rIns="38100" bIns="19050" anchor="ctr" anchorCtr="1"/>
                  <a:lstStyle/>
                  <a:p>
                    <a:fld id="{0e2ba105-0b5c-4dc2-b5d7-93682289b315}" type="VALUE">
                      <a:t>[VALUE]</a:t>
                    </a:fld>
                  </a:p>
                </c:rich>
              </c:tx>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損益分岐点!$B$6</c:f>
              <c:numCache>
                <c:formatCode>"¥"#,##0;"¥"\-#,##0</c:formatCode>
                <c:ptCount val="1"/>
                <c:pt idx="0">
                  <c:v>0</c:v>
                </c:pt>
              </c:numCache>
            </c:numRef>
          </c:xVal>
          <c:yVal>
            <c:numRef>
              <c:f>損益分岐点!$B$6</c:f>
              <c:numCache>
                <c:formatCode>"¥"#,##0;"¥"\-#,##0</c:formatCode>
                <c:ptCount val="1"/>
                <c:pt idx="0">
                  <c:v>0</c:v>
                </c:pt>
              </c:numCache>
            </c:numRef>
          </c:yVal>
          <c:smooth val="0"/>
        </c:ser>
        <c:dLbls>
          <c:showLegendKey val="0"/>
          <c:showVal val="1"/>
          <c:showCatName val="0"/>
          <c:showSerName val="0"/>
          <c:showPercent val="0"/>
          <c:showBubbleSize val="0"/>
        </c:dLbls>
        <c:axId val="1253912000"/>
        <c:axId val="1253912960"/>
      </c:scatterChart>
      <c:valAx>
        <c:axId val="125391200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1253912960"/>
        <c:crosses val="autoZero"/>
        <c:crossBetween val="midCat"/>
      </c:valAx>
      <c:valAx>
        <c:axId val="125391296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1253912000"/>
        <c:crosses val="autoZero"/>
        <c:crossBetween val="midCat"/>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legend>
    <c:plotVisOnly val="1"/>
    <c:dispBlanksAs val="gap"/>
    <c:showDLblsOverMax val="0"/>
    <c:extLst>
      <c:ext uri="{0b15fc19-7d7d-44ad-8c2d-2c3a37ce22c3}">
        <chartProps xmlns="https://web.wps.cn/et/2018/main" chartId="{2af6d96b-5537-477d-8c40-3d1421c32e2f}"/>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cap="none" baseline="0">
                <a:solidFill>
                  <a:schemeClr val="lt1">
                    <a:lumMod val="85000"/>
                  </a:schemeClr>
                </a:solidFill>
                <a:latin typeface="+mn-lt"/>
                <a:ea typeface="+mn-ea"/>
                <a:cs typeface="+mn-cs"/>
              </a:defRPr>
            </a:pPr>
            <a:r>
              <a:rPr lang="ja-JP" altLang="en-US"/>
              <a:t>現状</a:t>
            </a:r>
            <a:endParaRPr lang="ja-JP"/>
          </a:p>
        </c:rich>
      </c:tx>
      <c:layout/>
      <c:overlay val="0"/>
      <c:spPr>
        <a:noFill/>
        <a:ln>
          <a:noFill/>
        </a:ln>
        <a:effectLst/>
      </c:spPr>
    </c:title>
    <c:autoTitleDeleted val="0"/>
    <c:plotArea>
      <c:layout>
        <c:manualLayout>
          <c:layoutTarget val="inner"/>
          <c:xMode val="edge"/>
          <c:yMode val="edge"/>
          <c:x val="0.104872969267826"/>
          <c:y val="0.128682500241403"/>
          <c:w val="0.828173728532995"/>
          <c:h val="0.786138017606566"/>
        </c:manualLayout>
      </c:layout>
      <c:scatterChart>
        <c:scatterStyle val="line"/>
        <c:varyColors val="0"/>
        <c:ser>
          <c:idx val="0"/>
          <c:order val="0"/>
          <c:tx>
            <c:strRef>
              <c:f>損益分岐点!$O$2</c:f>
              <c:strCache>
                <c:ptCount val="1"/>
                <c:pt idx="0">
                  <c:v>総費用</c:v>
                </c:pt>
              </c:strCache>
            </c:strRef>
          </c:tx>
          <c:spPr>
            <a:ln w="22225" cap="rnd">
              <a:solidFill>
                <a:schemeClr val="accent1"/>
              </a:solidFill>
            </a:ln>
            <a:effectLst>
              <a:glow rad="139700">
                <a:schemeClr val="accent1">
                  <a:satMod val="175000"/>
                  <a:alpha val="14000"/>
                </a:schemeClr>
              </a:glow>
            </a:effectLst>
          </c:spPr>
          <c:marker>
            <c:symbol val="none"/>
          </c:marker>
          <c:dLbls>
            <c:dLbl>
              <c:idx val="0"/>
              <c:delete val="1"/>
            </c:dLbl>
            <c:dLbl>
              <c:idx val="1"/>
              <c:delete val="1"/>
            </c:dLbl>
            <c:dLbl>
              <c:idx val="2"/>
              <c:delete val="1"/>
            </c:dLbl>
            <c:dLbl>
              <c:idx val="3"/>
              <c:delete val="1"/>
            </c:dLbl>
            <c:dLbl>
              <c:idx val="4"/>
              <c:layout>
                <c:manualLayout>
                  <c:x val="-0.484255130759258"/>
                  <c:y val="-0.108046884963706"/>
                </c:manualLayout>
              </c:layout>
              <c:tx>
                <c:rich>
                  <a:bodyPr rot="0" spcFirstLastPara="1" vertOverflow="ellipsis" vert="horz" wrap="square" lIns="38100" tIns="19050" rIns="38100" bIns="19050" anchor="ctr" anchorCtr="1"/>
                  <a:lstStyle/>
                  <a:p>
                    <a:pPr>
                      <a:defRPr lang="en-US" sz="900" b="0" i="0" u="none" strike="noStrike" kern="1200" baseline="0">
                        <a:solidFill>
                          <a:schemeClr val="lt1">
                            <a:lumMod val="75000"/>
                          </a:schemeClr>
                        </a:solidFill>
                        <a:latin typeface="+mn-lt"/>
                        <a:ea typeface="+mn-ea"/>
                        <a:cs typeface="+mn-cs"/>
                      </a:defRPr>
                    </a:pPr>
                    <a:r>
                      <a:rPr lang="ja-JP" altLang="en-US"/>
                      <a:t>総費用線</a:t>
                    </a:r>
                    <a:endParaRPr lang="ja-JP" altLang="en-US"/>
                  </a:p>
                </c:rich>
              </c:tx>
              <c:dLblPos val="r"/>
              <c:showLegendKey val="0"/>
              <c:showVal val="1"/>
              <c:showCatName val="0"/>
              <c:showSerName val="0"/>
              <c:showPercent val="0"/>
              <c:showBubbleSize val="0"/>
              <c:extLst>
                <c:ext xmlns:c15="http://schemas.microsoft.com/office/drawing/2012/chart" uri="{CE6537A1-D6FC-4f65-9D91-7224C49458BB}">
                  <c15:layout/>
                </c:ext>
              </c:extLst>
            </c:dLbl>
            <c:dLbl>
              <c:idx val="5"/>
              <c:delete val="1"/>
            </c:dLbl>
            <c:dLbl>
              <c:idx val="6"/>
              <c:delete val="1"/>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損益分岐点!$N$3:$N$9</c:f>
              <c:numCache>
                <c:formatCode>General</c:formatCode>
                <c:ptCount val="7"/>
                <c:pt idx="0">
                  <c:v>0</c:v>
                </c:pt>
                <c:pt idx="1">
                  <c:v>0</c:v>
                </c:pt>
                <c:pt idx="2">
                  <c:v>0</c:v>
                </c:pt>
                <c:pt idx="3">
                  <c:v>0</c:v>
                </c:pt>
                <c:pt idx="4">
                  <c:v>0</c:v>
                </c:pt>
                <c:pt idx="5">
                  <c:v>0</c:v>
                </c:pt>
                <c:pt idx="6">
                  <c:v>0</c:v>
                </c:pt>
              </c:numCache>
            </c:numRef>
          </c:xVal>
          <c:yVal>
            <c:numRef>
              <c:f>損益分岐点!$O$3:$O$9</c:f>
              <c:numCache>
                <c:formatCode>#,##0_);[Red]\(#,##0\)</c:formatCode>
                <c:ptCount val="7"/>
                <c:pt idx="0">
                  <c:v>0</c:v>
                </c:pt>
                <c:pt idx="1">
                  <c:v>0</c:v>
                </c:pt>
                <c:pt idx="2">
                  <c:v>0</c:v>
                </c:pt>
                <c:pt idx="3">
                  <c:v>0</c:v>
                </c:pt>
                <c:pt idx="4">
                  <c:v>0</c:v>
                </c:pt>
                <c:pt idx="5">
                  <c:v>0</c:v>
                </c:pt>
                <c:pt idx="6">
                  <c:v>0</c:v>
                </c:pt>
              </c:numCache>
            </c:numRef>
          </c:yVal>
          <c:smooth val="0"/>
        </c:ser>
        <c:ser>
          <c:idx val="1"/>
          <c:order val="1"/>
          <c:tx>
            <c:strRef>
              <c:f>損益分岐点!$N$2</c:f>
              <c:strCache>
                <c:ptCount val="1"/>
                <c:pt idx="0">
                  <c:v>売上高</c:v>
                </c:pt>
              </c:strCache>
            </c:strRef>
          </c:tx>
          <c:spPr>
            <a:ln w="22225" cap="rnd">
              <a:solidFill>
                <a:schemeClr val="accent2"/>
              </a:solidFill>
            </a:ln>
            <a:effectLst>
              <a:glow rad="139700">
                <a:schemeClr val="accent2">
                  <a:satMod val="175000"/>
                  <a:alpha val="14000"/>
                </a:schemeClr>
              </a:glow>
            </a:effectLst>
          </c:spPr>
          <c:marker>
            <c:symbol val="none"/>
          </c:marker>
          <c:dLbls>
            <c:dLbl>
              <c:idx val="0"/>
              <c:delete val="1"/>
            </c:dLbl>
            <c:dLbl>
              <c:idx val="1"/>
              <c:layout>
                <c:manualLayout>
                  <c:x val="0.171893628402463"/>
                  <c:y val="0.0498247983060181"/>
                </c:manualLayout>
              </c:layout>
              <c:tx>
                <c:rich>
                  <a:bodyPr rot="0" spcFirstLastPara="1" vertOverflow="ellipsis" vert="horz" wrap="square" lIns="38100" tIns="19050" rIns="38100" bIns="19050" anchor="ctr" anchorCtr="1"/>
                  <a:lstStyle/>
                  <a:p>
                    <a:pPr>
                      <a:defRPr lang="en-US" sz="900" b="0" i="0" u="none" strike="noStrike" kern="1200" baseline="0">
                        <a:solidFill>
                          <a:schemeClr val="lt1">
                            <a:lumMod val="75000"/>
                          </a:schemeClr>
                        </a:solidFill>
                        <a:latin typeface="+mn-lt"/>
                        <a:ea typeface="+mn-ea"/>
                        <a:cs typeface="+mn-cs"/>
                      </a:defRPr>
                    </a:pPr>
                    <a:r>
                      <a:rPr lang="ja-JP" altLang="en-US"/>
                      <a:t>売上高線</a:t>
                    </a:r>
                    <a:endParaRPr lang="ja-JP" altLang="en-US"/>
                  </a:p>
                </c:rich>
              </c:tx>
              <c:dLblPos val="r"/>
              <c:showLegendKey val="0"/>
              <c:showVal val="1"/>
              <c:showCatName val="0"/>
              <c:showSerName val="0"/>
              <c:showPercent val="0"/>
              <c:showBubbleSize val="0"/>
              <c:extLst>
                <c:ext xmlns:c15="http://schemas.microsoft.com/office/drawing/2012/chart" uri="{CE6537A1-D6FC-4f65-9D91-7224C49458BB}">
                  <c15:layout/>
                </c:ext>
              </c:extLst>
            </c:dLbl>
            <c:dLbl>
              <c:idx val="2"/>
              <c:delete val="1"/>
            </c:dLbl>
            <c:dLbl>
              <c:idx val="3"/>
              <c:delete val="1"/>
            </c:dLbl>
            <c:dLbl>
              <c:idx val="4"/>
              <c:delete val="1"/>
            </c:dLbl>
            <c:dLbl>
              <c:idx val="5"/>
              <c:delete val="1"/>
            </c:dLbl>
            <c:dLbl>
              <c:idx val="6"/>
              <c:delete val="1"/>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損益分岐点!$N$3:$N$9</c:f>
              <c:numCache>
                <c:formatCode>General</c:formatCode>
                <c:ptCount val="7"/>
                <c:pt idx="0">
                  <c:v>0</c:v>
                </c:pt>
                <c:pt idx="1">
                  <c:v>0</c:v>
                </c:pt>
                <c:pt idx="2">
                  <c:v>0</c:v>
                </c:pt>
                <c:pt idx="3">
                  <c:v>0</c:v>
                </c:pt>
                <c:pt idx="4">
                  <c:v>0</c:v>
                </c:pt>
                <c:pt idx="5">
                  <c:v>0</c:v>
                </c:pt>
                <c:pt idx="6">
                  <c:v>0</c:v>
                </c:pt>
              </c:numCache>
            </c:numRef>
          </c:xVal>
          <c:yVal>
            <c:numRef>
              <c:f>損益分岐点!$N$3:$N$9</c:f>
              <c:numCache>
                <c:formatCode>General</c:formatCode>
                <c:ptCount val="7"/>
                <c:pt idx="0">
                  <c:v>0</c:v>
                </c:pt>
                <c:pt idx="1">
                  <c:v>0</c:v>
                </c:pt>
                <c:pt idx="2">
                  <c:v>0</c:v>
                </c:pt>
                <c:pt idx="3">
                  <c:v>0</c:v>
                </c:pt>
                <c:pt idx="4">
                  <c:v>0</c:v>
                </c:pt>
                <c:pt idx="5">
                  <c:v>0</c:v>
                </c:pt>
                <c:pt idx="6">
                  <c:v>0</c:v>
                </c:pt>
              </c:numCache>
            </c:numRef>
          </c:yVal>
          <c:smooth val="0"/>
        </c:ser>
        <c:ser>
          <c:idx val="2"/>
          <c:order val="2"/>
          <c:tx>
            <c:strRef>
              <c:f>"損益分岐点"</c:f>
              <c:strCache>
                <c:ptCount val="1"/>
                <c:pt idx="0">
                  <c:v>損益分岐点</c:v>
                </c:pt>
              </c:strCache>
            </c:strRef>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dLbls>
            <c:dLbl>
              <c:idx val="0"/>
              <c:layout>
                <c:manualLayout>
                  <c:x val="0.0488220598931158"/>
                  <c:y val="0.211386644035248"/>
                </c:manualLayout>
              </c:layout>
              <c:tx>
                <c:rich>
                  <a:bodyPr rot="0" spcFirstLastPara="1" vertOverflow="ellipsis" vert="horz" wrap="square" lIns="38100" tIns="19050" rIns="38100" bIns="19050" anchor="ctr" anchorCtr="1"/>
                  <a:lstStyle/>
                  <a:p>
                    <a:fld id="{b09df628-8df9-48fb-afcf-03f6e4a4f47d}" type="VALUE">
                      <a:t>[VALUE]</a:t>
                    </a:fld>
                  </a:p>
                </c:rich>
              </c:tx>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xVal>
            <c:numRef>
              <c:f>損益分岐点!$E$6</c:f>
              <c:numCache>
                <c:formatCode>"¥"#,##0;"¥"\-#,##0</c:formatCode>
                <c:ptCount val="1"/>
                <c:pt idx="0">
                  <c:v>0</c:v>
                </c:pt>
              </c:numCache>
            </c:numRef>
          </c:xVal>
          <c:yVal>
            <c:numRef>
              <c:f>損益分岐点!$E$6</c:f>
              <c:numCache>
                <c:formatCode>"¥"#,##0;"¥"\-#,##0</c:formatCode>
                <c:ptCount val="1"/>
                <c:pt idx="0">
                  <c:v>0</c:v>
                </c:pt>
              </c:numCache>
            </c:numRef>
          </c:yVal>
          <c:smooth val="0"/>
        </c:ser>
        <c:dLbls>
          <c:showLegendKey val="0"/>
          <c:showVal val="1"/>
          <c:showCatName val="0"/>
          <c:showSerName val="0"/>
          <c:showPercent val="0"/>
          <c:showBubbleSize val="0"/>
        </c:dLbls>
        <c:axId val="1253912000"/>
        <c:axId val="1253912960"/>
      </c:scatterChart>
      <c:valAx>
        <c:axId val="125391200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1253912960"/>
        <c:crosses val="autoZero"/>
        <c:crossBetween val="midCat"/>
      </c:valAx>
      <c:valAx>
        <c:axId val="125391296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quot;¥&quot;#,##0_);[Red]\(&quot;¥&quot;#,##0\)" sourceLinked="0"/>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crossAx val="1253912000"/>
        <c:crosses val="autoZero"/>
        <c:crossBetween val="midCat"/>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p>
      </c:txPr>
    </c:legend>
    <c:plotVisOnly val="1"/>
    <c:dispBlanksAs val="gap"/>
    <c:showDLblsOverMax val="0"/>
    <c:extLst>
      <c:ext uri="{0b15fc19-7d7d-44ad-8c2d-2c3a37ce22c3}">
        <chartProps xmlns="https://web.wps.cn/et/2018/main" chartId="{784ee41b-420f-49ae-b803-b4369953c100}"/>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1" Type="http://schemas.openxmlformats.org/officeDocument/2006/relationships/image" Target="../media/image1.GIF"/></Relationships>
</file>

<file path=xl/drawings/_rels/drawing8.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1" Type="http://schemas.openxmlformats.org/officeDocument/2006/relationships/image" Target="../media/image1.GIF"/></Relationships>
</file>

<file path=xl/drawings/_rels/drawing10.xml.rels><?xml version="1.0" encoding="UTF-8" standalone="yes"?>
<Relationships xmlns="http://schemas.openxmlformats.org/package/2006/relationships"><Relationship Id="rId3" Type="http://schemas.openxmlformats.org/officeDocument/2006/relationships/image" Target="../media/image1.GIF"/><Relationship Id="rId2" Type="http://schemas.openxmlformats.org/officeDocument/2006/relationships/chart" Target="../charts/chart2.xml"/><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GIF"/></Relationships>
</file>

<file path=xl/drawings/_rels/drawing12.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0</xdr:colOff>
      <xdr:row>46</xdr:row>
      <xdr:rowOff>85725</xdr:rowOff>
    </xdr:from>
    <xdr:to>
      <xdr:col>5</xdr:col>
      <xdr:colOff>0</xdr:colOff>
      <xdr:row>46</xdr:row>
      <xdr:rowOff>85725</xdr:rowOff>
    </xdr:to>
    <xdr:sp>
      <xdr:nvSpPr>
        <xdr:cNvPr id="2" name="Line 4"/>
        <xdr:cNvSpPr>
          <a:spLocks noChangeShapeType="1"/>
        </xdr:cNvSpPr>
      </xdr:nvSpPr>
      <xdr:spPr>
        <a:xfrm flipH="1">
          <a:off x="4999990" y="10770870"/>
          <a:ext cx="793115"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46</xdr:row>
      <xdr:rowOff>85725</xdr:rowOff>
    </xdr:from>
    <xdr:to>
      <xdr:col>4</xdr:col>
      <xdr:colOff>342900</xdr:colOff>
      <xdr:row>47</xdr:row>
      <xdr:rowOff>104775</xdr:rowOff>
    </xdr:to>
    <xdr:sp>
      <xdr:nvSpPr>
        <xdr:cNvPr id="3" name="Freeform 6"/>
        <xdr:cNvSpPr/>
      </xdr:nvSpPr>
      <xdr:spPr>
        <a:xfrm>
          <a:off x="4999990" y="10770870"/>
          <a:ext cx="342900" cy="209550"/>
        </a:xfrm>
        <a:custGeom>
          <a:avLst/>
          <a:gdLst>
            <a:gd name="T0" fmla="*/ 2147483647 w 29"/>
            <a:gd name="T1" fmla="*/ 0 h 20"/>
            <a:gd name="T2" fmla="*/ 2147483647 w 29"/>
            <a:gd name="T3" fmla="*/ 2147483647 h 20"/>
            <a:gd name="T4" fmla="*/ 0 w 29"/>
            <a:gd name="T5" fmla="*/ 2147483647 h 20"/>
            <a:gd name="T6" fmla="*/ 0 60000 65536"/>
            <a:gd name="T7" fmla="*/ 0 60000 65536"/>
            <a:gd name="T8" fmla="*/ 0 60000 65536"/>
            <a:gd name="T9" fmla="*/ 0 w 29"/>
            <a:gd name="T10" fmla="*/ 0 h 20"/>
            <a:gd name="T11" fmla="*/ 29 w 29"/>
            <a:gd name="T12" fmla="*/ 20 h 20"/>
          </a:gdLst>
          <a:ahLst/>
          <a:cxnLst>
            <a:cxn ang="T6">
              <a:pos x="T0" y="T1"/>
            </a:cxn>
            <a:cxn ang="T7">
              <a:pos x="T2" y="T3"/>
            </a:cxn>
            <a:cxn ang="T8">
              <a:pos x="T4" y="T5"/>
            </a:cxn>
          </a:cxnLst>
          <a:rect l="T9" t="T10" r="T11" b="T12"/>
          <a:pathLst>
            <a:path w="29" h="20">
              <a:moveTo>
                <a:pt x="29" y="0"/>
              </a:moveTo>
              <a:lnTo>
                <a:pt x="29" y="20"/>
              </a:lnTo>
              <a:lnTo>
                <a:pt x="0" y="20"/>
              </a:lnTo>
            </a:path>
          </a:pathLst>
        </a:custGeom>
        <a:noFill/>
        <a:ln w="9525">
          <a:solidFill>
            <a:srgbClr val="000000"/>
          </a:solidFill>
          <a:rou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0</xdr:colOff>
      <xdr:row>52</xdr:row>
      <xdr:rowOff>85725</xdr:rowOff>
    </xdr:from>
    <xdr:to>
      <xdr:col>4</xdr:col>
      <xdr:colOff>1181100</xdr:colOff>
      <xdr:row>52</xdr:row>
      <xdr:rowOff>85725</xdr:rowOff>
    </xdr:to>
    <xdr:sp>
      <xdr:nvSpPr>
        <xdr:cNvPr id="4" name="Line 7"/>
        <xdr:cNvSpPr>
          <a:spLocks noChangeShapeType="1"/>
        </xdr:cNvSpPr>
      </xdr:nvSpPr>
      <xdr:spPr>
        <a:xfrm flipH="1">
          <a:off x="4999990" y="11913870"/>
          <a:ext cx="793115" cy="0"/>
        </a:xfrm>
        <a:prstGeom prst="line">
          <a:avLst/>
        </a:prstGeom>
        <a:noFill/>
        <a:ln w="9525">
          <a:solidFill>
            <a:srgbClr val="000000"/>
          </a:solidFill>
          <a:rou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52</xdr:row>
      <xdr:rowOff>85725</xdr:rowOff>
    </xdr:from>
    <xdr:to>
      <xdr:col>4</xdr:col>
      <xdr:colOff>342900</xdr:colOff>
      <xdr:row>53</xdr:row>
      <xdr:rowOff>104775</xdr:rowOff>
    </xdr:to>
    <xdr:sp>
      <xdr:nvSpPr>
        <xdr:cNvPr id="5" name="Freeform 8"/>
        <xdr:cNvSpPr/>
      </xdr:nvSpPr>
      <xdr:spPr>
        <a:xfrm>
          <a:off x="4999990" y="11913870"/>
          <a:ext cx="342900" cy="209550"/>
        </a:xfrm>
        <a:custGeom>
          <a:avLst/>
          <a:gdLst>
            <a:gd name="T0" fmla="*/ 2147483647 w 29"/>
            <a:gd name="T1" fmla="*/ 0 h 20"/>
            <a:gd name="T2" fmla="*/ 2147483647 w 29"/>
            <a:gd name="T3" fmla="*/ 2147483647 h 20"/>
            <a:gd name="T4" fmla="*/ 0 w 29"/>
            <a:gd name="T5" fmla="*/ 2147483647 h 20"/>
            <a:gd name="T6" fmla="*/ 0 60000 65536"/>
            <a:gd name="T7" fmla="*/ 0 60000 65536"/>
            <a:gd name="T8" fmla="*/ 0 60000 65536"/>
            <a:gd name="T9" fmla="*/ 0 w 29"/>
            <a:gd name="T10" fmla="*/ 0 h 20"/>
            <a:gd name="T11" fmla="*/ 29 w 29"/>
            <a:gd name="T12" fmla="*/ 20 h 20"/>
          </a:gdLst>
          <a:ahLst/>
          <a:cxnLst>
            <a:cxn ang="T6">
              <a:pos x="T0" y="T1"/>
            </a:cxn>
            <a:cxn ang="T7">
              <a:pos x="T2" y="T3"/>
            </a:cxn>
            <a:cxn ang="T8">
              <a:pos x="T4" y="T5"/>
            </a:cxn>
          </a:cxnLst>
          <a:rect l="T9" t="T10" r="T11" b="T12"/>
          <a:pathLst>
            <a:path w="29" h="20">
              <a:moveTo>
                <a:pt x="29" y="0"/>
              </a:moveTo>
              <a:lnTo>
                <a:pt x="29" y="20"/>
              </a:lnTo>
              <a:lnTo>
                <a:pt x="0" y="20"/>
              </a:lnTo>
            </a:path>
          </a:pathLst>
        </a:custGeom>
        <a:noFill/>
        <a:ln w="9525">
          <a:solidFill>
            <a:srgbClr val="000000"/>
          </a:solidFill>
          <a:rou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0</xdr:colOff>
      <xdr:row>53</xdr:row>
      <xdr:rowOff>76200</xdr:rowOff>
    </xdr:from>
    <xdr:to>
      <xdr:col>4</xdr:col>
      <xdr:colOff>342900</xdr:colOff>
      <xdr:row>54</xdr:row>
      <xdr:rowOff>104775</xdr:rowOff>
    </xdr:to>
    <xdr:sp>
      <xdr:nvSpPr>
        <xdr:cNvPr id="6" name="Freeform 11"/>
        <xdr:cNvSpPr/>
      </xdr:nvSpPr>
      <xdr:spPr>
        <a:xfrm>
          <a:off x="4999990" y="12094845"/>
          <a:ext cx="342900" cy="219075"/>
        </a:xfrm>
        <a:custGeom>
          <a:avLst/>
          <a:gdLst>
            <a:gd name="T0" fmla="*/ 2147483647 w 29"/>
            <a:gd name="T1" fmla="*/ 0 h 20"/>
            <a:gd name="T2" fmla="*/ 2147483647 w 29"/>
            <a:gd name="T3" fmla="*/ 2147483647 h 20"/>
            <a:gd name="T4" fmla="*/ 0 w 29"/>
            <a:gd name="T5" fmla="*/ 2147483647 h 20"/>
            <a:gd name="T6" fmla="*/ 0 60000 65536"/>
            <a:gd name="T7" fmla="*/ 0 60000 65536"/>
            <a:gd name="T8" fmla="*/ 0 60000 65536"/>
            <a:gd name="T9" fmla="*/ 0 w 29"/>
            <a:gd name="T10" fmla="*/ 0 h 20"/>
            <a:gd name="T11" fmla="*/ 29 w 29"/>
            <a:gd name="T12" fmla="*/ 20 h 20"/>
          </a:gdLst>
          <a:ahLst/>
          <a:cxnLst>
            <a:cxn ang="T6">
              <a:pos x="T0" y="T1"/>
            </a:cxn>
            <a:cxn ang="T7">
              <a:pos x="T2" y="T3"/>
            </a:cxn>
            <a:cxn ang="T8">
              <a:pos x="T4" y="T5"/>
            </a:cxn>
          </a:cxnLst>
          <a:rect l="T9" t="T10" r="T11" b="T12"/>
          <a:pathLst>
            <a:path w="29" h="20">
              <a:moveTo>
                <a:pt x="29" y="0"/>
              </a:moveTo>
              <a:lnTo>
                <a:pt x="29" y="20"/>
              </a:lnTo>
              <a:lnTo>
                <a:pt x="0" y="20"/>
              </a:lnTo>
            </a:path>
          </a:pathLst>
        </a:custGeom>
        <a:noFill/>
        <a:ln w="9525">
          <a:solidFill>
            <a:srgbClr val="000000"/>
          </a:solidFill>
          <a:round/>
          <a:tailEnd type="triangle" w="med" len="med"/>
        </a:ln>
        <a:extLst>
          <a:ext uri="{909E8E84-426E-40DD-AFC4-6F175D3DCCD1}">
            <a14:hiddenFill xmlns:a14="http://schemas.microsoft.com/office/drawing/2010/main">
              <a:solidFill>
                <a:srgbClr val="FFFFFF"/>
              </a:solidFill>
            </a14:hiddenFill>
          </a:ext>
        </a:extLst>
      </xdr:spPr>
    </xdr:sp>
    <xdr:clientData/>
  </xdr:twoCellAnchor>
  <xdr:oneCellAnchor>
    <xdr:from>
      <xdr:col>4</xdr:col>
      <xdr:colOff>766235</xdr:colOff>
      <xdr:row>4</xdr:row>
      <xdr:rowOff>84667</xdr:rowOff>
    </xdr:from>
    <xdr:ext cx="3302000" cy="3015697"/>
    <xdr:sp>
      <xdr:nvSpPr>
        <xdr:cNvPr id="7" name="テキスト ボックス 6"/>
        <xdr:cNvSpPr txBox="1"/>
      </xdr:nvSpPr>
      <xdr:spPr>
        <a:xfrm>
          <a:off x="5765800" y="1762760"/>
          <a:ext cx="3302000" cy="3015615"/>
        </a:xfrm>
        <a:prstGeom prst="rect">
          <a:avLst/>
        </a:prstGeom>
        <a:solidFill>
          <a:srgbClr val="FFFF00"/>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400" kern="1200"/>
            <a:t>決算書を見ながら一つ一つ直近の数字を入力していく。</a:t>
          </a:r>
          <a:endParaRPr kumimoji="1" lang="en-US" altLang="ja-JP" sz="1400" kern="1200"/>
        </a:p>
        <a:p>
          <a:r>
            <a:rPr kumimoji="1" lang="ja-JP" altLang="en-US" sz="1400" kern="1200"/>
            <a:t>製造原価を別に計上していない決算書であれば製造原価には記入しない事。</a:t>
          </a:r>
          <a:endParaRPr kumimoji="1" lang="en-US" altLang="ja-JP" sz="1400" kern="1200"/>
        </a:p>
        <a:p>
          <a:r>
            <a:rPr kumimoji="1" lang="ja-JP" altLang="en-US" sz="1400" kern="1200"/>
            <a:t>ただし今後税理士と打ち合わせを行い、製造原価を作っていく事を推奨します。</a:t>
          </a:r>
          <a:endParaRPr kumimoji="1" lang="en-US" altLang="ja-JP" sz="1400" kern="1200"/>
        </a:p>
        <a:p>
          <a:r>
            <a:rPr kumimoji="1" lang="ja-JP" altLang="en-US" sz="1400" kern="1200"/>
            <a:t>自社工事部などいない場合でも、材料を支給して発注している会社も製造原価を別に作るべき。</a:t>
          </a:r>
          <a:endParaRPr kumimoji="1" lang="en-US" altLang="ja-JP" sz="1400" kern="1200"/>
        </a:p>
        <a:p>
          <a:endParaRPr kumimoji="1" lang="en-US" altLang="ja-JP" sz="1400" kern="1200"/>
        </a:p>
      </xdr:txBody>
    </xdr:sp>
    <xdr:clientData/>
  </xdr:oneCellAnchor>
  <xdr:twoCellAnchor editAs="oneCell">
    <xdr:from>
      <xdr:col>5</xdr:col>
      <xdr:colOff>1075267</xdr:colOff>
      <xdr:row>1</xdr:row>
      <xdr:rowOff>33177</xdr:rowOff>
    </xdr:from>
    <xdr:to>
      <xdr:col>8</xdr:col>
      <xdr:colOff>0</xdr:colOff>
      <xdr:row>3</xdr:row>
      <xdr:rowOff>3176</xdr:rowOff>
    </xdr:to>
    <xdr:pic>
      <xdr:nvPicPr>
        <xdr:cNvPr id="15" name="図 14"/>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868160" y="743585"/>
          <a:ext cx="1691640" cy="747395"/>
        </a:xfrm>
        <a:prstGeom prst="rect">
          <a:avLst/>
        </a:prstGeom>
        <a:effectLst>
          <a:outerShdw blurRad="50800" dist="50800" dir="5400000" algn="ctr" rotWithShape="0">
            <a:srgbClr val="000000">
              <a:alpha val="98000"/>
            </a:srgbClr>
          </a:outerShdw>
        </a:effectLst>
      </xdr:spPr>
    </xdr:pic>
    <xdr:clientData/>
  </xdr:twoCellAnchor>
  <xdr:twoCellAnchor>
    <xdr:from>
      <xdr:col>4</xdr:col>
      <xdr:colOff>237066</xdr:colOff>
      <xdr:row>11</xdr:row>
      <xdr:rowOff>93134</xdr:rowOff>
    </xdr:from>
    <xdr:to>
      <xdr:col>4</xdr:col>
      <xdr:colOff>237066</xdr:colOff>
      <xdr:row>59</xdr:row>
      <xdr:rowOff>110067</xdr:rowOff>
    </xdr:to>
    <xdr:cxnSp>
      <xdr:nvCxnSpPr>
        <xdr:cNvPr id="9" name="直線矢印コネクタ 8"/>
        <xdr:cNvCxnSpPr/>
      </xdr:nvCxnSpPr>
      <xdr:spPr>
        <a:xfrm>
          <a:off x="5236845" y="4110355"/>
          <a:ext cx="0" cy="916114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2108201</xdr:colOff>
      <xdr:row>11</xdr:row>
      <xdr:rowOff>93134</xdr:rowOff>
    </xdr:from>
    <xdr:to>
      <xdr:col>4</xdr:col>
      <xdr:colOff>237067</xdr:colOff>
      <xdr:row>11</xdr:row>
      <xdr:rowOff>93134</xdr:rowOff>
    </xdr:to>
    <xdr:cxnSp>
      <xdr:nvCxnSpPr>
        <xdr:cNvPr id="17" name="直線コネクタ 16"/>
        <xdr:cNvCxnSpPr/>
      </xdr:nvCxnSpPr>
      <xdr:spPr>
        <a:xfrm>
          <a:off x="4999990" y="4110355"/>
          <a:ext cx="23685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2111828</xdr:colOff>
      <xdr:row>59</xdr:row>
      <xdr:rowOff>87085</xdr:rowOff>
    </xdr:from>
    <xdr:to>
      <xdr:col>4</xdr:col>
      <xdr:colOff>261258</xdr:colOff>
      <xdr:row>59</xdr:row>
      <xdr:rowOff>87085</xdr:rowOff>
    </xdr:to>
    <xdr:cxnSp>
      <xdr:nvCxnSpPr>
        <xdr:cNvPr id="22" name="直線矢印コネクタ 21"/>
        <xdr:cNvCxnSpPr/>
      </xdr:nvCxnSpPr>
      <xdr:spPr>
        <a:xfrm flipH="1">
          <a:off x="4999990" y="13248640"/>
          <a:ext cx="260985" cy="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93132</xdr:colOff>
      <xdr:row>2</xdr:row>
      <xdr:rowOff>16933</xdr:rowOff>
    </xdr:from>
    <xdr:ext cx="2048933" cy="531146"/>
    <xdr:sp>
      <xdr:nvSpPr>
        <xdr:cNvPr id="2" name="テキスト ボックス 1"/>
        <xdr:cNvSpPr txBox="1"/>
      </xdr:nvSpPr>
      <xdr:spPr>
        <a:xfrm>
          <a:off x="319405" y="831850"/>
          <a:ext cx="2049145" cy="531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PQ</a:t>
          </a:r>
          <a:r>
            <a:rPr kumimoji="1" lang="ja-JP" altLang="en-US" sz="2400" kern="1200"/>
            <a:t>（売上）</a:t>
          </a:r>
          <a:endParaRPr kumimoji="1" lang="ja-JP" altLang="en-US" sz="2400" kern="1200"/>
        </a:p>
      </xdr:txBody>
    </xdr:sp>
    <xdr:clientData/>
  </xdr:oneCellAnchor>
  <xdr:oneCellAnchor>
    <xdr:from>
      <xdr:col>5</xdr:col>
      <xdr:colOff>0</xdr:colOff>
      <xdr:row>2</xdr:row>
      <xdr:rowOff>0</xdr:rowOff>
    </xdr:from>
    <xdr:ext cx="2362200" cy="531146"/>
    <xdr:sp>
      <xdr:nvSpPr>
        <xdr:cNvPr id="3" name="テキスト ボックス 2"/>
        <xdr:cNvSpPr txBox="1"/>
      </xdr:nvSpPr>
      <xdr:spPr>
        <a:xfrm>
          <a:off x="2626995" y="815340"/>
          <a:ext cx="2362200" cy="530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VQ</a:t>
          </a:r>
          <a:r>
            <a:rPr kumimoji="1" lang="ja-JP" altLang="en-US" sz="2400" kern="1200"/>
            <a:t>（変動費）</a:t>
          </a:r>
          <a:endParaRPr kumimoji="1" lang="ja-JP" altLang="en-US" sz="2400" kern="1200"/>
        </a:p>
      </xdr:txBody>
    </xdr:sp>
    <xdr:clientData/>
  </xdr:oneCellAnchor>
  <xdr:oneCellAnchor>
    <xdr:from>
      <xdr:col>5</xdr:col>
      <xdr:colOff>16934</xdr:colOff>
      <xdr:row>11</xdr:row>
      <xdr:rowOff>169334</xdr:rowOff>
    </xdr:from>
    <xdr:ext cx="1676400" cy="580676"/>
    <xdr:sp>
      <xdr:nvSpPr>
        <xdr:cNvPr id="4" name="テキスト ボックス 3"/>
        <xdr:cNvSpPr txBox="1"/>
      </xdr:nvSpPr>
      <xdr:spPr>
        <a:xfrm>
          <a:off x="2643505" y="2698750"/>
          <a:ext cx="1676400" cy="581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M</a:t>
          </a:r>
          <a:r>
            <a:rPr kumimoji="1" lang="ja-JP" altLang="en-US" sz="2400" kern="1200"/>
            <a:t>（粗利）</a:t>
          </a:r>
          <a:endParaRPr kumimoji="1" lang="ja-JP" altLang="en-US" sz="2400" kern="1200"/>
        </a:p>
      </xdr:txBody>
    </xdr:sp>
    <xdr:clientData/>
  </xdr:oneCellAnchor>
  <xdr:oneCellAnchor>
    <xdr:from>
      <xdr:col>7</xdr:col>
      <xdr:colOff>16932</xdr:colOff>
      <xdr:row>11</xdr:row>
      <xdr:rowOff>186267</xdr:rowOff>
    </xdr:from>
    <xdr:ext cx="1964267" cy="580676"/>
    <xdr:sp>
      <xdr:nvSpPr>
        <xdr:cNvPr id="5" name="テキスト ボックス 4"/>
        <xdr:cNvSpPr txBox="1"/>
      </xdr:nvSpPr>
      <xdr:spPr>
        <a:xfrm>
          <a:off x="4277360" y="2715895"/>
          <a:ext cx="1964055" cy="5803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F</a:t>
          </a:r>
          <a:r>
            <a:rPr kumimoji="1" lang="ja-JP" altLang="en-US" sz="2400" kern="1200"/>
            <a:t>（固定費）</a:t>
          </a:r>
          <a:endParaRPr kumimoji="1" lang="ja-JP" altLang="en-US" sz="2400" kern="1200"/>
        </a:p>
      </xdr:txBody>
    </xdr:sp>
    <xdr:clientData/>
  </xdr:oneCellAnchor>
  <xdr:oneCellAnchor>
    <xdr:from>
      <xdr:col>7</xdr:col>
      <xdr:colOff>25400</xdr:colOff>
      <xdr:row>16</xdr:row>
      <xdr:rowOff>169333</xdr:rowOff>
    </xdr:from>
    <xdr:ext cx="1625600" cy="607346"/>
    <xdr:sp>
      <xdr:nvSpPr>
        <xdr:cNvPr id="6" name="テキスト ボックス 5"/>
        <xdr:cNvSpPr txBox="1"/>
      </xdr:nvSpPr>
      <xdr:spPr>
        <a:xfrm>
          <a:off x="4286250" y="3843655"/>
          <a:ext cx="1625600" cy="6076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G</a:t>
          </a:r>
          <a:r>
            <a:rPr kumimoji="1" lang="ja-JP" altLang="en-US" sz="2400" kern="1200"/>
            <a:t>（利益）</a:t>
          </a:r>
          <a:endParaRPr kumimoji="1" lang="ja-JP" altLang="en-US" sz="2400" kern="1200"/>
        </a:p>
      </xdr:txBody>
    </xdr:sp>
    <xdr:clientData/>
  </xdr:oneCellAnchor>
  <xdr:oneCellAnchor>
    <xdr:from>
      <xdr:col>10</xdr:col>
      <xdr:colOff>263313</xdr:colOff>
      <xdr:row>2</xdr:row>
      <xdr:rowOff>0</xdr:rowOff>
    </xdr:from>
    <xdr:ext cx="2208954" cy="391813"/>
    <xdr:sp>
      <xdr:nvSpPr>
        <xdr:cNvPr id="7" name="テキスト ボックス 6"/>
        <xdr:cNvSpPr txBox="1"/>
      </xdr:nvSpPr>
      <xdr:spPr>
        <a:xfrm>
          <a:off x="6328410" y="815340"/>
          <a:ext cx="2208530"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a:t>
          </a:r>
          <a:r>
            <a:rPr kumimoji="1" lang="ja-JP" altLang="en-US" sz="1000" kern="1200"/>
            <a:t>（プライス）</a:t>
          </a:r>
          <a:r>
            <a:rPr lang="ja-JP" altLang="en-US" sz="1000" b="0" i="0" u="none" strike="noStrike">
              <a:solidFill>
                <a:schemeClr val="tx1"/>
              </a:solidFill>
              <a:effectLst/>
              <a:latin typeface="+mn-lt"/>
              <a:ea typeface="+mn-ea"/>
              <a:cs typeface="+mn-cs"/>
            </a:rPr>
            <a:t>　 </a:t>
          </a:r>
          <a:endParaRPr kumimoji="1" lang="ja-JP" altLang="en-US" sz="1000" kern="1200"/>
        </a:p>
      </xdr:txBody>
    </xdr:sp>
    <xdr:clientData/>
  </xdr:oneCellAnchor>
  <xdr:oneCellAnchor>
    <xdr:from>
      <xdr:col>10</xdr:col>
      <xdr:colOff>263313</xdr:colOff>
      <xdr:row>12</xdr:row>
      <xdr:rowOff>0</xdr:rowOff>
    </xdr:from>
    <xdr:ext cx="2963333" cy="468013"/>
    <xdr:sp>
      <xdr:nvSpPr>
        <xdr:cNvPr id="8" name="テキスト ボックス 7"/>
        <xdr:cNvSpPr txBox="1"/>
      </xdr:nvSpPr>
      <xdr:spPr>
        <a:xfrm>
          <a:off x="6328410" y="2729865"/>
          <a:ext cx="296291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V</a:t>
          </a:r>
          <a:r>
            <a:rPr kumimoji="1" lang="ja-JP" altLang="en-US" sz="1200" kern="1200"/>
            <a:t>（ヴァリアブル）</a:t>
          </a:r>
          <a:endParaRPr kumimoji="1" lang="en-US" altLang="ja-JP" sz="1200" kern="1200"/>
        </a:p>
      </xdr:txBody>
    </xdr:sp>
    <xdr:clientData/>
  </xdr:oneCellAnchor>
  <xdr:oneCellAnchor>
    <xdr:from>
      <xdr:col>15</xdr:col>
      <xdr:colOff>668866</xdr:colOff>
      <xdr:row>2</xdr:row>
      <xdr:rowOff>0</xdr:rowOff>
    </xdr:from>
    <xdr:ext cx="4148668" cy="391813"/>
    <xdr:sp>
      <xdr:nvSpPr>
        <xdr:cNvPr id="9" name="テキスト ボックス 8"/>
        <xdr:cNvSpPr txBox="1"/>
      </xdr:nvSpPr>
      <xdr:spPr>
        <a:xfrm>
          <a:off x="9328785" y="815340"/>
          <a:ext cx="4148455"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b="0" i="0" u="none" strike="noStrike" kern="1200">
              <a:solidFill>
                <a:schemeClr val="tx1"/>
              </a:solidFill>
              <a:effectLst/>
              <a:latin typeface="+mn-lt"/>
              <a:ea typeface="+mn-ea"/>
              <a:cs typeface="+mn-cs"/>
            </a:rPr>
            <a:t>Q</a:t>
          </a:r>
          <a:r>
            <a:rPr kumimoji="1" lang="ja-JP" altLang="en-US" sz="1050" b="0" i="0" u="none" strike="noStrike" kern="1200">
              <a:solidFill>
                <a:schemeClr val="tx1"/>
              </a:solidFill>
              <a:effectLst/>
              <a:latin typeface="+mn-lt"/>
              <a:ea typeface="+mn-ea"/>
              <a:cs typeface="+mn-cs"/>
            </a:rPr>
            <a:t>（クォンティティー）</a:t>
          </a:r>
          <a:r>
            <a:rPr lang="ja-JP" altLang="en-US" sz="1050" b="0" i="0" u="none" strike="noStrike">
              <a:solidFill>
                <a:schemeClr val="tx1"/>
              </a:solidFill>
              <a:effectLst/>
              <a:latin typeface="+mn-lt"/>
              <a:ea typeface="+mn-ea"/>
              <a:cs typeface="+mn-cs"/>
            </a:rPr>
            <a:t>　 </a:t>
          </a:r>
          <a:endParaRPr kumimoji="1" lang="ja-JP" altLang="en-US" sz="1050" kern="1200"/>
        </a:p>
      </xdr:txBody>
    </xdr:sp>
    <xdr:clientData/>
  </xdr:oneCellAnchor>
  <xdr:oneCellAnchor>
    <xdr:from>
      <xdr:col>16</xdr:col>
      <xdr:colOff>0</xdr:colOff>
      <xdr:row>12</xdr:row>
      <xdr:rowOff>0</xdr:rowOff>
    </xdr:from>
    <xdr:ext cx="558800" cy="468013"/>
    <xdr:sp>
      <xdr:nvSpPr>
        <xdr:cNvPr id="10" name="テキスト ボックス 9"/>
        <xdr:cNvSpPr txBox="1"/>
      </xdr:nvSpPr>
      <xdr:spPr>
        <a:xfrm>
          <a:off x="9328785" y="2729865"/>
          <a:ext cx="5588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Q</a:t>
          </a:r>
          <a:endParaRPr kumimoji="1" lang="ja-JP" altLang="en-US" sz="2400" kern="1200"/>
        </a:p>
      </xdr:txBody>
    </xdr:sp>
    <xdr:clientData/>
  </xdr:oneCellAnchor>
  <xdr:twoCellAnchor>
    <xdr:from>
      <xdr:col>10</xdr:col>
      <xdr:colOff>93135</xdr:colOff>
      <xdr:row>0</xdr:row>
      <xdr:rowOff>101601</xdr:rowOff>
    </xdr:from>
    <xdr:to>
      <xdr:col>19</xdr:col>
      <xdr:colOff>626534</xdr:colOff>
      <xdr:row>1</xdr:row>
      <xdr:rowOff>516467</xdr:rowOff>
    </xdr:to>
    <xdr:sp>
      <xdr:nvSpPr>
        <xdr:cNvPr id="11" name="テキスト ボックス 10"/>
        <xdr:cNvSpPr txBox="1"/>
      </xdr:nvSpPr>
      <xdr:spPr>
        <a:xfrm>
          <a:off x="6187440" y="101600"/>
          <a:ext cx="5541645" cy="60515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solidFill>
                <a:sysClr val="windowText" lastClr="000000"/>
              </a:solidFill>
            </a:rPr>
            <a:t>売上に対して現場の稼働が何現場施工したかを平均で割って、</a:t>
          </a:r>
          <a:r>
            <a:rPr kumimoji="1" lang="en-US" altLang="ja-JP" sz="1100" kern="1200">
              <a:solidFill>
                <a:sysClr val="windowText" lastClr="000000"/>
              </a:solidFill>
            </a:rPr>
            <a:t>1</a:t>
          </a:r>
          <a:r>
            <a:rPr kumimoji="1" lang="ja-JP" altLang="en-US" sz="1100" kern="1200">
              <a:solidFill>
                <a:sysClr val="windowText" lastClr="000000"/>
              </a:solidFill>
            </a:rPr>
            <a:t>現場当たりの客単価を知ろう。</a:t>
          </a:r>
          <a:endParaRPr kumimoji="1" lang="en-US" altLang="ja-JP" sz="1100" kern="1200">
            <a:solidFill>
              <a:sysClr val="windowText" lastClr="000000"/>
            </a:solidFill>
          </a:endParaRPr>
        </a:p>
        <a:p>
          <a:r>
            <a:rPr kumimoji="1" lang="en-US" altLang="ja-JP" sz="1100" kern="1200">
              <a:solidFill>
                <a:sysClr val="windowText" lastClr="000000"/>
              </a:solidFill>
            </a:rPr>
            <a:t>P</a:t>
          </a:r>
          <a:r>
            <a:rPr kumimoji="1" lang="ja-JP" altLang="en-US" sz="1100" kern="1200">
              <a:solidFill>
                <a:sysClr val="windowText" lastClr="000000"/>
              </a:solidFill>
            </a:rPr>
            <a:t>には１現場あたりの客単価を。</a:t>
          </a:r>
          <a:r>
            <a:rPr kumimoji="1" lang="en-US" altLang="ja-JP" sz="1100" kern="1200" baseline="0">
              <a:solidFill>
                <a:sysClr val="windowText" lastClr="000000"/>
              </a:solidFill>
            </a:rPr>
            <a:t>    </a:t>
          </a:r>
          <a:r>
            <a:rPr kumimoji="1" lang="en-US" altLang="ja-JP" sz="1100" kern="1200">
              <a:solidFill>
                <a:sysClr val="windowText" lastClr="000000"/>
              </a:solidFill>
            </a:rPr>
            <a:t>Q</a:t>
          </a:r>
          <a:r>
            <a:rPr kumimoji="1" lang="ja-JP" altLang="en-US" sz="1100" kern="1200">
              <a:solidFill>
                <a:sysClr val="windowText" lastClr="000000"/>
              </a:solidFill>
            </a:rPr>
            <a:t>にはその現場の数を入れる。</a:t>
          </a:r>
          <a:endParaRPr kumimoji="1" lang="ja-JP" altLang="en-US" sz="1100" kern="1200">
            <a:solidFill>
              <a:sysClr val="windowText" lastClr="000000"/>
            </a:solidFill>
          </a:endParaRPr>
        </a:p>
      </xdr:txBody>
    </xdr:sp>
    <xdr:clientData/>
  </xdr:twoCellAnchor>
  <xdr:twoCellAnchor>
    <xdr:from>
      <xdr:col>0</xdr:col>
      <xdr:colOff>262466</xdr:colOff>
      <xdr:row>18</xdr:row>
      <xdr:rowOff>93132</xdr:rowOff>
    </xdr:from>
    <xdr:to>
      <xdr:col>4</xdr:col>
      <xdr:colOff>660398</xdr:colOff>
      <xdr:row>22</xdr:row>
      <xdr:rowOff>25399</xdr:rowOff>
    </xdr:to>
    <xdr:sp>
      <xdr:nvSpPr>
        <xdr:cNvPr id="12" name="テキスト ボックス 11"/>
        <xdr:cNvSpPr txBox="1"/>
      </xdr:nvSpPr>
      <xdr:spPr>
        <a:xfrm>
          <a:off x="226695" y="4239895"/>
          <a:ext cx="2400300" cy="876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kern="1200">
              <a:solidFill>
                <a:srgbClr val="FF0000"/>
              </a:solidFill>
            </a:rPr>
            <a:t>P×Q</a:t>
          </a:r>
          <a:r>
            <a:rPr kumimoji="1" lang="ja-JP" altLang="en-US" sz="1100" kern="1200">
              <a:solidFill>
                <a:srgbClr val="FF0000"/>
              </a:solidFill>
            </a:rPr>
            <a:t>を入れるとここに売り上げが反映。</a:t>
          </a:r>
          <a:endParaRPr kumimoji="1" lang="en-US" altLang="ja-JP" sz="1100" kern="1200">
            <a:solidFill>
              <a:srgbClr val="FF0000"/>
            </a:solidFill>
          </a:endParaRPr>
        </a:p>
        <a:p>
          <a:r>
            <a:rPr kumimoji="1" lang="ja-JP" altLang="en-US" sz="1100" kern="1200">
              <a:solidFill>
                <a:srgbClr val="FF0000"/>
              </a:solidFill>
            </a:rPr>
            <a:t>上と同じ数字になるように①と②で調整しましょう。</a:t>
          </a:r>
          <a:endParaRPr kumimoji="1" lang="ja-JP" altLang="en-US" sz="1100" kern="1200">
            <a:solidFill>
              <a:srgbClr val="FF0000"/>
            </a:solidFill>
          </a:endParaRPr>
        </a:p>
      </xdr:txBody>
    </xdr:sp>
    <xdr:clientData/>
  </xdr:twoCellAnchor>
  <xdr:twoCellAnchor>
    <xdr:from>
      <xdr:col>14</xdr:col>
      <xdr:colOff>191346</xdr:colOff>
      <xdr:row>1</xdr:row>
      <xdr:rowOff>625687</xdr:rowOff>
    </xdr:from>
    <xdr:to>
      <xdr:col>14</xdr:col>
      <xdr:colOff>654473</xdr:colOff>
      <xdr:row>4</xdr:row>
      <xdr:rowOff>37254</xdr:rowOff>
    </xdr:to>
    <xdr:sp>
      <xdr:nvSpPr>
        <xdr:cNvPr id="13" name="テキスト ボックス 12"/>
        <xdr:cNvSpPr txBox="1"/>
      </xdr:nvSpPr>
      <xdr:spPr>
        <a:xfrm>
          <a:off x="8319770" y="815340"/>
          <a:ext cx="408940" cy="417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kern="1200">
              <a:solidFill>
                <a:schemeClr val="tx1"/>
              </a:solidFill>
            </a:rPr>
            <a:t>①</a:t>
          </a:r>
          <a:endParaRPr kumimoji="1" lang="ja-JP" altLang="en-US" sz="1600" kern="1200">
            <a:solidFill>
              <a:schemeClr val="tx1"/>
            </a:solidFill>
          </a:endParaRPr>
        </a:p>
      </xdr:txBody>
    </xdr:sp>
    <xdr:clientData/>
  </xdr:twoCellAnchor>
  <xdr:twoCellAnchor>
    <xdr:from>
      <xdr:col>19</xdr:col>
      <xdr:colOff>211666</xdr:colOff>
      <xdr:row>2</xdr:row>
      <xdr:rowOff>42334</xdr:rowOff>
    </xdr:from>
    <xdr:to>
      <xdr:col>20</xdr:col>
      <xdr:colOff>5926</xdr:colOff>
      <xdr:row>4</xdr:row>
      <xdr:rowOff>80434</xdr:rowOff>
    </xdr:to>
    <xdr:sp>
      <xdr:nvSpPr>
        <xdr:cNvPr id="14" name="テキスト ボックス 13"/>
        <xdr:cNvSpPr txBox="1"/>
      </xdr:nvSpPr>
      <xdr:spPr>
        <a:xfrm>
          <a:off x="11340465" y="857250"/>
          <a:ext cx="39433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kern="1200">
              <a:solidFill>
                <a:schemeClr val="tx1"/>
              </a:solidFill>
            </a:rPr>
            <a:t>②</a:t>
          </a:r>
          <a:endParaRPr kumimoji="1" lang="ja-JP" altLang="en-US" sz="1600" kern="1200">
            <a:solidFill>
              <a:schemeClr val="tx1"/>
            </a:solidFill>
          </a:endParaRPr>
        </a:p>
      </xdr:txBody>
    </xdr:sp>
    <xdr:clientData/>
  </xdr:twoCellAnchor>
  <xdr:twoCellAnchor>
    <xdr:from>
      <xdr:col>1</xdr:col>
      <xdr:colOff>42332</xdr:colOff>
      <xdr:row>11</xdr:row>
      <xdr:rowOff>228600</xdr:rowOff>
    </xdr:from>
    <xdr:to>
      <xdr:col>1</xdr:col>
      <xdr:colOff>505459</xdr:colOff>
      <xdr:row>14</xdr:row>
      <xdr:rowOff>12700</xdr:rowOff>
    </xdr:to>
    <xdr:sp>
      <xdr:nvSpPr>
        <xdr:cNvPr id="15" name="テキスト ボックス 14"/>
        <xdr:cNvSpPr txBox="1"/>
      </xdr:nvSpPr>
      <xdr:spPr>
        <a:xfrm>
          <a:off x="268605" y="2729865"/>
          <a:ext cx="462915" cy="485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kern="1200">
              <a:solidFill>
                <a:schemeClr val="tx1"/>
              </a:solidFill>
            </a:rPr>
            <a:t>③</a:t>
          </a:r>
          <a:endParaRPr kumimoji="1" lang="ja-JP" altLang="en-US" sz="1600" kern="1200">
            <a:solidFill>
              <a:schemeClr val="tx1"/>
            </a:solidFill>
          </a:endParaRPr>
        </a:p>
      </xdr:txBody>
    </xdr:sp>
    <xdr:clientData/>
  </xdr:twoCellAnchor>
  <xdr:twoCellAnchor editAs="oneCell">
    <xdr:from>
      <xdr:col>16</xdr:col>
      <xdr:colOff>508000</xdr:colOff>
      <xdr:row>32</xdr:row>
      <xdr:rowOff>16933</xdr:rowOff>
    </xdr:from>
    <xdr:to>
      <xdr:col>19</xdr:col>
      <xdr:colOff>567267</xdr:colOff>
      <xdr:row>35</xdr:row>
      <xdr:rowOff>71599</xdr:rowOff>
    </xdr:to>
    <xdr:pic>
      <xdr:nvPicPr>
        <xdr:cNvPr id="16" name="図 1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9836785" y="7013575"/>
          <a:ext cx="1859280" cy="626110"/>
        </a:xfrm>
        <a:prstGeom prst="rect">
          <a:avLst/>
        </a:prstGeom>
        <a:effectLst>
          <a:outerShdw blurRad="50800" dist="50800" dir="5400000" algn="ctr" rotWithShape="0">
            <a:srgbClr val="000000">
              <a:alpha val="98000"/>
            </a:srgbClr>
          </a:outerShdw>
        </a:effec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7</xdr:col>
      <xdr:colOff>1394460</xdr:colOff>
      <xdr:row>3</xdr:row>
      <xdr:rowOff>685800</xdr:rowOff>
    </xdr:from>
    <xdr:ext cx="558800" cy="407053"/>
    <xdr:sp>
      <xdr:nvSpPr>
        <xdr:cNvPr id="2" name="テキスト ボックス 1"/>
        <xdr:cNvSpPr txBox="1"/>
      </xdr:nvSpPr>
      <xdr:spPr>
        <a:xfrm>
          <a:off x="6073140" y="2228850"/>
          <a:ext cx="558800" cy="407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G</a:t>
          </a:r>
          <a:endParaRPr kumimoji="1" lang="ja-JP" altLang="en-US" sz="2400" kern="1200"/>
        </a:p>
      </xdr:txBody>
    </xdr:sp>
    <xdr:clientData/>
  </xdr:oneCellAnchor>
  <xdr:twoCellAnchor editAs="oneCell">
    <xdr:from>
      <xdr:col>11</xdr:col>
      <xdr:colOff>550334</xdr:colOff>
      <xdr:row>7</xdr:row>
      <xdr:rowOff>609600</xdr:rowOff>
    </xdr:from>
    <xdr:to>
      <xdr:col>15</xdr:col>
      <xdr:colOff>0</xdr:colOff>
      <xdr:row>9</xdr:row>
      <xdr:rowOff>22916</xdr:rowOff>
    </xdr:to>
    <xdr:pic>
      <xdr:nvPicPr>
        <xdr:cNvPr id="3" name="図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8423275" y="4619625"/>
          <a:ext cx="1850390" cy="613410"/>
        </a:xfrm>
        <a:prstGeom prst="rect">
          <a:avLst/>
        </a:prstGeom>
        <a:effectLst>
          <a:outerShdw blurRad="50800" dist="50800" dir="5400000" algn="ctr" rotWithShape="0">
            <a:srgbClr val="000000">
              <a:alpha val="98000"/>
            </a:srgbClr>
          </a:outerShdw>
        </a:effec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93133</xdr:colOff>
      <xdr:row>2</xdr:row>
      <xdr:rowOff>16933</xdr:rowOff>
    </xdr:from>
    <xdr:ext cx="558800" cy="391813"/>
    <xdr:sp>
      <xdr:nvSpPr>
        <xdr:cNvPr id="2" name="テキスト ボックス 1"/>
        <xdr:cNvSpPr txBox="1"/>
      </xdr:nvSpPr>
      <xdr:spPr>
        <a:xfrm>
          <a:off x="339090" y="841375"/>
          <a:ext cx="558800"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PQ</a:t>
          </a:r>
          <a:endParaRPr kumimoji="1" lang="ja-JP" altLang="en-US" sz="2400" kern="1200"/>
        </a:p>
      </xdr:txBody>
    </xdr:sp>
    <xdr:clientData/>
  </xdr:oneCellAnchor>
  <xdr:oneCellAnchor>
    <xdr:from>
      <xdr:col>5</xdr:col>
      <xdr:colOff>0</xdr:colOff>
      <xdr:row>2</xdr:row>
      <xdr:rowOff>0</xdr:rowOff>
    </xdr:from>
    <xdr:ext cx="558800" cy="391813"/>
    <xdr:sp>
      <xdr:nvSpPr>
        <xdr:cNvPr id="4" name="テキスト ボックス 3"/>
        <xdr:cNvSpPr txBox="1"/>
      </xdr:nvSpPr>
      <xdr:spPr>
        <a:xfrm>
          <a:off x="2646680" y="824865"/>
          <a:ext cx="558800"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VQ</a:t>
          </a:r>
          <a:endParaRPr kumimoji="1" lang="ja-JP" altLang="en-US" sz="2400" kern="1200"/>
        </a:p>
      </xdr:txBody>
    </xdr:sp>
    <xdr:clientData/>
  </xdr:oneCellAnchor>
  <xdr:oneCellAnchor>
    <xdr:from>
      <xdr:col>5</xdr:col>
      <xdr:colOff>16934</xdr:colOff>
      <xdr:row>11</xdr:row>
      <xdr:rowOff>169334</xdr:rowOff>
    </xdr:from>
    <xdr:ext cx="558800" cy="431818"/>
    <xdr:sp>
      <xdr:nvSpPr>
        <xdr:cNvPr id="5" name="テキスト ボックス 4"/>
        <xdr:cNvSpPr txBox="1"/>
      </xdr:nvSpPr>
      <xdr:spPr>
        <a:xfrm>
          <a:off x="2663190" y="2765425"/>
          <a:ext cx="558800" cy="431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M</a:t>
          </a:r>
          <a:endParaRPr kumimoji="1" lang="ja-JP" altLang="en-US" sz="2400" kern="1200"/>
        </a:p>
      </xdr:txBody>
    </xdr:sp>
    <xdr:clientData/>
  </xdr:oneCellAnchor>
  <xdr:oneCellAnchor>
    <xdr:from>
      <xdr:col>7</xdr:col>
      <xdr:colOff>16933</xdr:colOff>
      <xdr:row>11</xdr:row>
      <xdr:rowOff>177800</xdr:rowOff>
    </xdr:from>
    <xdr:ext cx="558800" cy="431818"/>
    <xdr:sp>
      <xdr:nvSpPr>
        <xdr:cNvPr id="6" name="テキスト ボックス 5"/>
        <xdr:cNvSpPr txBox="1"/>
      </xdr:nvSpPr>
      <xdr:spPr>
        <a:xfrm>
          <a:off x="4423410" y="2774315"/>
          <a:ext cx="558800" cy="431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F</a:t>
          </a:r>
          <a:endParaRPr kumimoji="1" lang="ja-JP" altLang="en-US" sz="2400" kern="1200"/>
        </a:p>
      </xdr:txBody>
    </xdr:sp>
    <xdr:clientData/>
  </xdr:oneCellAnchor>
  <xdr:oneCellAnchor>
    <xdr:from>
      <xdr:col>6</xdr:col>
      <xdr:colOff>1159932</xdr:colOff>
      <xdr:row>16</xdr:row>
      <xdr:rowOff>186266</xdr:rowOff>
    </xdr:from>
    <xdr:ext cx="558800" cy="468013"/>
    <xdr:sp>
      <xdr:nvSpPr>
        <xdr:cNvPr id="7" name="テキスト ボックス 6"/>
        <xdr:cNvSpPr txBox="1"/>
      </xdr:nvSpPr>
      <xdr:spPr>
        <a:xfrm>
          <a:off x="4406900" y="3927475"/>
          <a:ext cx="5588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G</a:t>
          </a:r>
          <a:endParaRPr kumimoji="1" lang="ja-JP" altLang="en-US" sz="2400" kern="1200"/>
        </a:p>
      </xdr:txBody>
    </xdr:sp>
    <xdr:clientData/>
  </xdr:oneCellAnchor>
  <xdr:oneCellAnchor>
    <xdr:from>
      <xdr:col>11</xdr:col>
      <xdr:colOff>0</xdr:colOff>
      <xdr:row>2</xdr:row>
      <xdr:rowOff>0</xdr:rowOff>
    </xdr:from>
    <xdr:ext cx="558800" cy="391813"/>
    <xdr:sp>
      <xdr:nvSpPr>
        <xdr:cNvPr id="9" name="テキスト ボックス 8"/>
        <xdr:cNvSpPr txBox="1"/>
      </xdr:nvSpPr>
      <xdr:spPr>
        <a:xfrm>
          <a:off x="6747510" y="824865"/>
          <a:ext cx="558800"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P</a:t>
          </a:r>
          <a:r>
            <a:rPr lang="ja-JP" altLang="en-US" sz="1100" b="0" i="0" u="none" strike="noStrike">
              <a:solidFill>
                <a:schemeClr val="tx1"/>
              </a:solidFill>
              <a:effectLst/>
              <a:latin typeface="+mn-lt"/>
              <a:ea typeface="+mn-ea"/>
              <a:cs typeface="+mn-cs"/>
            </a:rPr>
            <a:t>　 </a:t>
          </a:r>
          <a:endParaRPr kumimoji="1" lang="ja-JP" altLang="en-US" sz="2400" kern="1200"/>
        </a:p>
      </xdr:txBody>
    </xdr:sp>
    <xdr:clientData/>
  </xdr:oneCellAnchor>
  <xdr:oneCellAnchor>
    <xdr:from>
      <xdr:col>11</xdr:col>
      <xdr:colOff>0</xdr:colOff>
      <xdr:row>12</xdr:row>
      <xdr:rowOff>0</xdr:rowOff>
    </xdr:from>
    <xdr:ext cx="558800" cy="468013"/>
    <xdr:sp>
      <xdr:nvSpPr>
        <xdr:cNvPr id="12" name="テキスト ボックス 11"/>
        <xdr:cNvSpPr txBox="1"/>
      </xdr:nvSpPr>
      <xdr:spPr>
        <a:xfrm>
          <a:off x="6747510" y="2796540"/>
          <a:ext cx="5588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V</a:t>
          </a:r>
          <a:endParaRPr kumimoji="1" lang="ja-JP" altLang="en-US" sz="2400" kern="1200"/>
        </a:p>
      </xdr:txBody>
    </xdr:sp>
    <xdr:clientData/>
  </xdr:oneCellAnchor>
  <xdr:oneCellAnchor>
    <xdr:from>
      <xdr:col>16</xdr:col>
      <xdr:colOff>0</xdr:colOff>
      <xdr:row>2</xdr:row>
      <xdr:rowOff>0</xdr:rowOff>
    </xdr:from>
    <xdr:ext cx="558800" cy="391813"/>
    <xdr:sp>
      <xdr:nvSpPr>
        <xdr:cNvPr id="13" name="テキスト ボックス 12"/>
        <xdr:cNvSpPr txBox="1"/>
      </xdr:nvSpPr>
      <xdr:spPr>
        <a:xfrm>
          <a:off x="9747885" y="824865"/>
          <a:ext cx="558800" cy="391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b="0" i="0" u="none" strike="noStrike" kern="1200">
              <a:solidFill>
                <a:schemeClr val="tx1"/>
              </a:solidFill>
              <a:effectLst/>
              <a:latin typeface="+mn-lt"/>
              <a:ea typeface="+mn-ea"/>
              <a:cs typeface="+mn-cs"/>
            </a:rPr>
            <a:t>Q</a:t>
          </a:r>
          <a:r>
            <a:rPr lang="ja-JP" altLang="en-US" sz="1100" b="0" i="0" u="none" strike="noStrike">
              <a:solidFill>
                <a:schemeClr val="tx1"/>
              </a:solidFill>
              <a:effectLst/>
              <a:latin typeface="+mn-lt"/>
              <a:ea typeface="+mn-ea"/>
              <a:cs typeface="+mn-cs"/>
            </a:rPr>
            <a:t>　 </a:t>
          </a:r>
          <a:endParaRPr kumimoji="1" lang="ja-JP" altLang="en-US" sz="2400" kern="1200"/>
        </a:p>
      </xdr:txBody>
    </xdr:sp>
    <xdr:clientData/>
  </xdr:oneCellAnchor>
  <xdr:oneCellAnchor>
    <xdr:from>
      <xdr:col>16</xdr:col>
      <xdr:colOff>0</xdr:colOff>
      <xdr:row>12</xdr:row>
      <xdr:rowOff>0</xdr:rowOff>
    </xdr:from>
    <xdr:ext cx="558800" cy="468013"/>
    <xdr:sp>
      <xdr:nvSpPr>
        <xdr:cNvPr id="14" name="テキスト ボックス 13"/>
        <xdr:cNvSpPr txBox="1"/>
      </xdr:nvSpPr>
      <xdr:spPr>
        <a:xfrm>
          <a:off x="9747885" y="2796540"/>
          <a:ext cx="558800" cy="467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2400" kern="1200"/>
            <a:t>Q</a:t>
          </a:r>
          <a:endParaRPr kumimoji="1" lang="ja-JP" altLang="en-US" sz="2400" kern="1200"/>
        </a:p>
      </xdr:txBody>
    </xdr:sp>
    <xdr:clientData/>
  </xdr:oneCellAnchor>
  <xdr:oneCellAnchor>
    <xdr:from>
      <xdr:col>1</xdr:col>
      <xdr:colOff>524932</xdr:colOff>
      <xdr:row>2</xdr:row>
      <xdr:rowOff>67735</xdr:rowOff>
    </xdr:from>
    <xdr:ext cx="618067" cy="330199"/>
    <xdr:sp>
      <xdr:nvSpPr>
        <xdr:cNvPr id="15" name="テキスト ボックス 14"/>
        <xdr:cNvSpPr txBox="1"/>
      </xdr:nvSpPr>
      <xdr:spPr>
        <a:xfrm>
          <a:off x="770890" y="892175"/>
          <a:ext cx="617855" cy="330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7</xdr:col>
      <xdr:colOff>211667</xdr:colOff>
      <xdr:row>16</xdr:row>
      <xdr:rowOff>211667</xdr:rowOff>
    </xdr:from>
    <xdr:ext cx="618067" cy="406399"/>
    <xdr:sp>
      <xdr:nvSpPr>
        <xdr:cNvPr id="20" name="テキスト ボックス 19"/>
        <xdr:cNvSpPr txBox="1"/>
      </xdr:nvSpPr>
      <xdr:spPr>
        <a:xfrm>
          <a:off x="4618355" y="3952875"/>
          <a:ext cx="617855" cy="406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7</xdr:col>
      <xdr:colOff>186267</xdr:colOff>
      <xdr:row>11</xdr:row>
      <xdr:rowOff>203200</xdr:rowOff>
    </xdr:from>
    <xdr:ext cx="618067" cy="373379"/>
    <xdr:sp>
      <xdr:nvSpPr>
        <xdr:cNvPr id="21" name="テキスト ボックス 20"/>
        <xdr:cNvSpPr txBox="1"/>
      </xdr:nvSpPr>
      <xdr:spPr>
        <a:xfrm>
          <a:off x="4592955" y="2796540"/>
          <a:ext cx="617855" cy="3727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5</xdr:col>
      <xdr:colOff>287867</xdr:colOff>
      <xdr:row>11</xdr:row>
      <xdr:rowOff>203200</xdr:rowOff>
    </xdr:from>
    <xdr:ext cx="618067" cy="373379"/>
    <xdr:sp>
      <xdr:nvSpPr>
        <xdr:cNvPr id="22" name="テキスト ボックス 21"/>
        <xdr:cNvSpPr txBox="1"/>
      </xdr:nvSpPr>
      <xdr:spPr>
        <a:xfrm>
          <a:off x="2934335" y="2796540"/>
          <a:ext cx="617855" cy="3727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5</xdr:col>
      <xdr:colOff>406400</xdr:colOff>
      <xdr:row>2</xdr:row>
      <xdr:rowOff>42334</xdr:rowOff>
    </xdr:from>
    <xdr:ext cx="618067" cy="368299"/>
    <xdr:sp>
      <xdr:nvSpPr>
        <xdr:cNvPr id="23" name="テキスト ボックス 22"/>
        <xdr:cNvSpPr txBox="1"/>
      </xdr:nvSpPr>
      <xdr:spPr>
        <a:xfrm>
          <a:off x="3053080" y="866775"/>
          <a:ext cx="617855" cy="368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結果</a:t>
          </a:r>
          <a:endParaRPr kumimoji="1" lang="ja-JP" altLang="en-US" sz="1600" b="1" kern="1200"/>
        </a:p>
      </xdr:txBody>
    </xdr:sp>
    <xdr:clientData/>
  </xdr:oneCellAnchor>
  <xdr:oneCellAnchor>
    <xdr:from>
      <xdr:col>4</xdr:col>
      <xdr:colOff>584200</xdr:colOff>
      <xdr:row>17</xdr:row>
      <xdr:rowOff>67734</xdr:rowOff>
    </xdr:from>
    <xdr:ext cx="3361267" cy="804332"/>
    <xdr:sp>
      <xdr:nvSpPr>
        <xdr:cNvPr id="3" name="テキスト ボックス 2"/>
        <xdr:cNvSpPr txBox="1"/>
      </xdr:nvSpPr>
      <xdr:spPr>
        <a:xfrm>
          <a:off x="2630805" y="4044950"/>
          <a:ext cx="3361055" cy="8045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kern="1200"/>
            <a:t>差額</a:t>
          </a:r>
          <a:endParaRPr kumimoji="1" lang="en-US" altLang="ja-JP" sz="1600" b="1" kern="1200"/>
        </a:p>
        <a:p>
          <a:r>
            <a:rPr kumimoji="1" lang="ja-JP" altLang="en-US" sz="1200" b="1" kern="1200"/>
            <a:t>０になるまで⑦を修正</a:t>
          </a:r>
          <a:endParaRPr kumimoji="1" lang="ja-JP" altLang="en-US" sz="1200" b="1" kern="1200"/>
        </a:p>
      </xdr:txBody>
    </xdr:sp>
    <xdr:clientData/>
  </xdr:oneCellAnchor>
  <xdr:twoCellAnchor editAs="oneCell">
    <xdr:from>
      <xdr:col>17</xdr:col>
      <xdr:colOff>473075</xdr:colOff>
      <xdr:row>35</xdr:row>
      <xdr:rowOff>70908</xdr:rowOff>
    </xdr:from>
    <xdr:to>
      <xdr:col>20</xdr:col>
      <xdr:colOff>535517</xdr:colOff>
      <xdr:row>38</xdr:row>
      <xdr:rowOff>125574</xdr:rowOff>
    </xdr:to>
    <xdr:pic>
      <xdr:nvPicPr>
        <xdr:cNvPr id="8" name="図 7"/>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0821035" y="7715250"/>
          <a:ext cx="1862455" cy="626110"/>
        </a:xfrm>
        <a:prstGeom prst="rect">
          <a:avLst/>
        </a:prstGeom>
        <a:effectLst>
          <a:outerShdw blurRad="50800" dist="50800" dir="5400000" algn="ctr" rotWithShape="0">
            <a:srgbClr val="000000">
              <a:alpha val="98000"/>
            </a:srgbClr>
          </a:outerShdw>
        </a:effec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6</xdr:col>
      <xdr:colOff>0</xdr:colOff>
      <xdr:row>17</xdr:row>
      <xdr:rowOff>106680</xdr:rowOff>
    </xdr:from>
    <xdr:to>
      <xdr:col>12</xdr:col>
      <xdr:colOff>114300</xdr:colOff>
      <xdr:row>21</xdr:row>
      <xdr:rowOff>175260</xdr:rowOff>
    </xdr:to>
    <xdr:sp>
      <xdr:nvSpPr>
        <xdr:cNvPr id="2" name="テキスト ボックス 1"/>
        <xdr:cNvSpPr txBox="1"/>
      </xdr:nvSpPr>
      <xdr:spPr>
        <a:xfrm>
          <a:off x="3086735" y="6082665"/>
          <a:ext cx="3841115" cy="115062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前期よりも２％～１０％以上の昇給、増員の計画を入れる事。</a:t>
          </a:r>
          <a:endParaRPr kumimoji="1" lang="en-US" altLang="ja-JP" sz="1100" kern="1200"/>
        </a:p>
        <a:p>
          <a:r>
            <a:rPr kumimoji="1" lang="ja-JP" altLang="en-US" sz="1100" kern="1200"/>
            <a:t>アバウトでも良い。この社長の採用と昇給の意思決定が有無で会社の未来は大きく変わります！ </a:t>
          </a:r>
          <a:endParaRPr kumimoji="1" lang="en-US" altLang="ja-JP" sz="1100" kern="1200"/>
        </a:p>
        <a:p>
          <a:r>
            <a:rPr kumimoji="1" lang="ja-JP" altLang="en-US" sz="1100" kern="1200"/>
            <a:t>上昇率が１００％以上になる事が望ましい。</a:t>
          </a:r>
          <a:endParaRPr kumimoji="1" lang="ja-JP" altLang="en-US" sz="1100" kern="1200"/>
        </a:p>
      </xdr:txBody>
    </xdr:sp>
    <xdr:clientData/>
  </xdr:twoCellAnchor>
  <xdr:oneCellAnchor>
    <xdr:from>
      <xdr:col>11</xdr:col>
      <xdr:colOff>274320</xdr:colOff>
      <xdr:row>1</xdr:row>
      <xdr:rowOff>266700</xdr:rowOff>
    </xdr:from>
    <xdr:ext cx="2723823" cy="564514"/>
    <xdr:sp>
      <xdr:nvSpPr>
        <xdr:cNvPr id="3" name="テキスト ボックス 2"/>
        <xdr:cNvSpPr txBox="1"/>
      </xdr:nvSpPr>
      <xdr:spPr>
        <a:xfrm>
          <a:off x="6241415" y="457200"/>
          <a:ext cx="2723515" cy="563880"/>
        </a:xfrm>
        <a:prstGeom prst="rect">
          <a:avLst/>
        </a:prstGeom>
        <a:solidFill>
          <a:srgbClr val="FF0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kern="1200">
              <a:solidFill>
                <a:sysClr val="windowText" lastClr="000000"/>
              </a:solidFill>
            </a:rPr>
            <a:t>ここの数字は百万円単位で記入する事！</a:t>
          </a:r>
          <a:endParaRPr kumimoji="1" lang="en-US" altLang="ja-JP" sz="1100" kern="1200">
            <a:solidFill>
              <a:sysClr val="windowText" lastClr="000000"/>
            </a:solidFill>
          </a:endParaRPr>
        </a:p>
        <a:p>
          <a:r>
            <a:rPr kumimoji="1" lang="ja-JP" altLang="en-US" sz="1100" kern="1200">
              <a:solidFill>
                <a:sysClr val="windowText" lastClr="000000"/>
              </a:solidFill>
            </a:rPr>
            <a:t>５３０万円（年収）の場合</a:t>
          </a:r>
          <a:r>
            <a:rPr kumimoji="1" lang="en-US" altLang="ja-JP" sz="1100" kern="1200">
              <a:solidFill>
                <a:sysClr val="windowText" lastClr="000000"/>
              </a:solidFill>
            </a:rPr>
            <a:t>5.3</a:t>
          </a:r>
          <a:r>
            <a:rPr kumimoji="1" lang="ja-JP" altLang="en-US" sz="1100" kern="1200">
              <a:solidFill>
                <a:sysClr val="windowText" lastClr="000000"/>
              </a:solidFill>
            </a:rPr>
            <a:t>と記入</a:t>
          </a:r>
          <a:endParaRPr kumimoji="1" lang="en-US" altLang="ja-JP" sz="1100" kern="1200">
            <a:solidFill>
              <a:sysClr val="windowText" lastClr="000000"/>
            </a:solidFill>
          </a:endParaRPr>
        </a:p>
      </xdr:txBody>
    </xdr:sp>
    <xdr:clientData/>
  </xdr:oneCellAnchor>
  <xdr:twoCellAnchor>
    <xdr:from>
      <xdr:col>6</xdr:col>
      <xdr:colOff>30480</xdr:colOff>
      <xdr:row>15</xdr:row>
      <xdr:rowOff>53340</xdr:rowOff>
    </xdr:from>
    <xdr:to>
      <xdr:col>9</xdr:col>
      <xdr:colOff>121920</xdr:colOff>
      <xdr:row>17</xdr:row>
      <xdr:rowOff>83820</xdr:rowOff>
    </xdr:to>
    <xdr:sp>
      <xdr:nvSpPr>
        <xdr:cNvPr id="4" name="テキスト ボックス 3"/>
        <xdr:cNvSpPr txBox="1"/>
      </xdr:nvSpPr>
      <xdr:spPr>
        <a:xfrm>
          <a:off x="3117215" y="5488305"/>
          <a:ext cx="2138045" cy="5715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現状の内部社員数を入力する</a:t>
          </a:r>
          <a:endParaRPr kumimoji="1" lang="en-US" altLang="ja-JP" sz="1100" kern="1200"/>
        </a:p>
        <a:p>
          <a:r>
            <a:rPr kumimoji="1" lang="ja-JP" altLang="en-US" sz="1100" kern="1200"/>
            <a:t>役員は含まない。</a:t>
          </a:r>
          <a:endParaRPr kumimoji="1" lang="en-US" altLang="ja-JP" sz="1100" kern="1200"/>
        </a:p>
      </xdr:txBody>
    </xdr:sp>
    <xdr:clientData/>
  </xdr:twoCellAnchor>
  <xdr:twoCellAnchor>
    <xdr:from>
      <xdr:col>4</xdr:col>
      <xdr:colOff>0</xdr:colOff>
      <xdr:row>14</xdr:row>
      <xdr:rowOff>419100</xdr:rowOff>
    </xdr:from>
    <xdr:to>
      <xdr:col>6</xdr:col>
      <xdr:colOff>30480</xdr:colOff>
      <xdr:row>16</xdr:row>
      <xdr:rowOff>129540</xdr:rowOff>
    </xdr:to>
    <xdr:cxnSp>
      <xdr:nvCxnSpPr>
        <xdr:cNvPr id="5" name="直線矢印コネクタ 4"/>
        <xdr:cNvCxnSpPr>
          <a:stCxn id="4" idx="1"/>
        </xdr:cNvCxnSpPr>
      </xdr:nvCxnSpPr>
      <xdr:spPr>
        <a:xfrm flipH="1" flipV="1">
          <a:off x="2193290" y="5410200"/>
          <a:ext cx="923925" cy="34480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121920</xdr:colOff>
      <xdr:row>15</xdr:row>
      <xdr:rowOff>15240</xdr:rowOff>
    </xdr:from>
    <xdr:to>
      <xdr:col>13</xdr:col>
      <xdr:colOff>0</xdr:colOff>
      <xdr:row>16</xdr:row>
      <xdr:rowOff>129540</xdr:rowOff>
    </xdr:to>
    <xdr:cxnSp>
      <xdr:nvCxnSpPr>
        <xdr:cNvPr id="7" name="直線矢印コネクタ 6"/>
        <xdr:cNvCxnSpPr>
          <a:stCxn id="4" idx="3"/>
        </xdr:cNvCxnSpPr>
      </xdr:nvCxnSpPr>
      <xdr:spPr>
        <a:xfrm flipV="1">
          <a:off x="5255260" y="5450205"/>
          <a:ext cx="2158365" cy="30480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262890</xdr:colOff>
      <xdr:row>14</xdr:row>
      <xdr:rowOff>403860</xdr:rowOff>
    </xdr:from>
    <xdr:to>
      <xdr:col>8</xdr:col>
      <xdr:colOff>30480</xdr:colOff>
      <xdr:row>15</xdr:row>
      <xdr:rowOff>53340</xdr:rowOff>
    </xdr:to>
    <xdr:cxnSp>
      <xdr:nvCxnSpPr>
        <xdr:cNvPr id="10" name="直線矢印コネクタ 9"/>
        <xdr:cNvCxnSpPr>
          <a:stCxn id="4" idx="0"/>
        </xdr:cNvCxnSpPr>
      </xdr:nvCxnSpPr>
      <xdr:spPr>
        <a:xfrm flipV="1">
          <a:off x="4196080" y="5394960"/>
          <a:ext cx="367665" cy="9334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487680</xdr:colOff>
      <xdr:row>24</xdr:row>
      <xdr:rowOff>30480</xdr:rowOff>
    </xdr:from>
    <xdr:to>
      <xdr:col>15</xdr:col>
      <xdr:colOff>541867</xdr:colOff>
      <xdr:row>27</xdr:row>
      <xdr:rowOff>85146</xdr:rowOff>
    </xdr:to>
    <xdr:pic>
      <xdr:nvPicPr>
        <xdr:cNvPr id="6" name="図 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301230" y="7660005"/>
          <a:ext cx="1854200" cy="626110"/>
        </a:xfrm>
        <a:prstGeom prst="rect">
          <a:avLst/>
        </a:prstGeom>
        <a:effectLst>
          <a:outerShdw blurRad="50800" dist="50800" dir="5400000" algn="ctr" rotWithShape="0">
            <a:srgbClr val="000000">
              <a:alpha val="98000"/>
            </a:srgbClr>
          </a:outerShdw>
        </a:effectLst>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364067</xdr:colOff>
      <xdr:row>42</xdr:row>
      <xdr:rowOff>93134</xdr:rowOff>
    </xdr:from>
    <xdr:to>
      <xdr:col>11</xdr:col>
      <xdr:colOff>567268</xdr:colOff>
      <xdr:row>43</xdr:row>
      <xdr:rowOff>325600</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070725" y="13831570"/>
          <a:ext cx="1849755" cy="742950"/>
        </a:xfrm>
        <a:prstGeom prst="rect">
          <a:avLst/>
        </a:prstGeom>
        <a:effectLst>
          <a:outerShdw blurRad="50800" dist="50800" dir="5400000" algn="ctr" rotWithShape="0">
            <a:srgbClr val="000000">
              <a:alpha val="98000"/>
            </a:srgbClr>
          </a:outerShdw>
        </a:effectLst>
      </xdr:spPr>
    </xdr:pic>
    <xdr:clientData/>
  </xdr:twoCellAnchor>
  <xdr:twoCellAnchor>
    <xdr:from>
      <xdr:col>4</xdr:col>
      <xdr:colOff>406400</xdr:colOff>
      <xdr:row>25</xdr:row>
      <xdr:rowOff>84667</xdr:rowOff>
    </xdr:from>
    <xdr:to>
      <xdr:col>9</xdr:col>
      <xdr:colOff>397933</xdr:colOff>
      <xdr:row>30</xdr:row>
      <xdr:rowOff>245534</xdr:rowOff>
    </xdr:to>
    <xdr:sp>
      <xdr:nvSpPr>
        <xdr:cNvPr id="3" name="テキスト ボックス 2"/>
        <xdr:cNvSpPr txBox="1"/>
      </xdr:nvSpPr>
      <xdr:spPr>
        <a:xfrm>
          <a:off x="3266440" y="8382635"/>
          <a:ext cx="3837940" cy="176085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✅売上が増えれば経費も人件費も増えます。</a:t>
          </a:r>
          <a:endParaRPr kumimoji="1" lang="en-US" altLang="ja-JP" sz="1100" kern="1200"/>
        </a:p>
        <a:p>
          <a:r>
            <a:rPr kumimoji="1" lang="ja-JP" altLang="en-US" sz="1100" kern="1200"/>
            <a:t>必要な経費は使い、無駄な費用は圧縮させます。</a:t>
          </a:r>
          <a:endParaRPr kumimoji="1" lang="en-US" altLang="ja-JP" sz="1100" kern="1200"/>
        </a:p>
        <a:p>
          <a:r>
            <a:rPr kumimoji="1" lang="ja-JP" altLang="en-US" sz="1100" kern="1200"/>
            <a:t>基本的には前年度よりも多く経費を記入する事です。</a:t>
          </a:r>
          <a:endParaRPr kumimoji="1" lang="en-US" altLang="ja-JP" sz="1100" kern="1200"/>
        </a:p>
        <a:p>
          <a:r>
            <a:rPr kumimoji="1" lang="ja-JP" altLang="en-US" sz="1100" kern="1200"/>
            <a:t>１０５％～１１５％が望ましい。</a:t>
          </a:r>
          <a:endParaRPr kumimoji="1" lang="en-US" altLang="ja-JP" sz="1100" kern="1200"/>
        </a:p>
        <a:p>
          <a:endParaRPr kumimoji="1" lang="en-US" altLang="ja-JP" sz="1100" kern="1200"/>
        </a:p>
        <a:p>
          <a:r>
            <a:rPr kumimoji="1" lang="en-US" altLang="ja-JP" sz="1100" kern="1200"/>
            <a:t>※</a:t>
          </a:r>
          <a:r>
            <a:rPr kumimoji="1" lang="ja-JP" altLang="en-US" sz="1100" kern="1200"/>
            <a:t>項目は自由に書き足し、訂正可能。</a:t>
          </a:r>
          <a:endParaRPr kumimoji="1" lang="en-US" altLang="ja-JP" sz="1100" kern="1200"/>
        </a:p>
        <a:p>
          <a:r>
            <a:rPr kumimoji="1" lang="ja-JP" altLang="en-US" sz="1100" kern="1200"/>
            <a:t>現状よりも必ず上げるように調整しましょう。</a:t>
          </a:r>
          <a:endParaRPr kumimoji="1" lang="ja-JP" altLang="en-US" sz="1100" kern="1200"/>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11</xdr:col>
      <xdr:colOff>211666</xdr:colOff>
      <xdr:row>1</xdr:row>
      <xdr:rowOff>203200</xdr:rowOff>
    </xdr:from>
    <xdr:ext cx="2723823" cy="564514"/>
    <xdr:sp>
      <xdr:nvSpPr>
        <xdr:cNvPr id="3" name="テキスト ボックス 2"/>
        <xdr:cNvSpPr txBox="1"/>
      </xdr:nvSpPr>
      <xdr:spPr>
        <a:xfrm>
          <a:off x="6178550" y="393700"/>
          <a:ext cx="2723515" cy="563880"/>
        </a:xfrm>
        <a:prstGeom prst="rect">
          <a:avLst/>
        </a:prstGeom>
        <a:solidFill>
          <a:srgbClr val="FF0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kern="1200">
              <a:solidFill>
                <a:sysClr val="windowText" lastClr="000000"/>
              </a:solidFill>
            </a:rPr>
            <a:t>ここの数字は百万円単位で記入する事！</a:t>
          </a:r>
          <a:endParaRPr kumimoji="1" lang="en-US" altLang="ja-JP" sz="1100" kern="1200">
            <a:solidFill>
              <a:sysClr val="windowText" lastClr="000000"/>
            </a:solidFill>
          </a:endParaRPr>
        </a:p>
        <a:p>
          <a:r>
            <a:rPr kumimoji="1" lang="ja-JP" altLang="en-US" sz="1100" kern="1200">
              <a:solidFill>
                <a:sysClr val="windowText" lastClr="000000"/>
              </a:solidFill>
            </a:rPr>
            <a:t>５３０万円（年収）の場合</a:t>
          </a:r>
          <a:r>
            <a:rPr kumimoji="1" lang="en-US" altLang="ja-JP" sz="1100" kern="1200">
              <a:solidFill>
                <a:sysClr val="windowText" lastClr="000000"/>
              </a:solidFill>
            </a:rPr>
            <a:t>5.3</a:t>
          </a:r>
          <a:r>
            <a:rPr kumimoji="1" lang="ja-JP" altLang="en-US" sz="1100" kern="1200">
              <a:solidFill>
                <a:sysClr val="windowText" lastClr="000000"/>
              </a:solidFill>
            </a:rPr>
            <a:t>と記入</a:t>
          </a:r>
          <a:endParaRPr kumimoji="1" lang="en-US" altLang="ja-JP" sz="1100" kern="1200">
            <a:solidFill>
              <a:sysClr val="windowText" lastClr="000000"/>
            </a:solidFill>
          </a:endParaRPr>
        </a:p>
      </xdr:txBody>
    </xdr:sp>
    <xdr:clientData/>
  </xdr:oneCellAnchor>
  <xdr:twoCellAnchor>
    <xdr:from>
      <xdr:col>6</xdr:col>
      <xdr:colOff>50800</xdr:colOff>
      <xdr:row>17</xdr:row>
      <xdr:rowOff>228598</xdr:rowOff>
    </xdr:from>
    <xdr:to>
      <xdr:col>12</xdr:col>
      <xdr:colOff>169334</xdr:colOff>
      <xdr:row>22</xdr:row>
      <xdr:rowOff>75352</xdr:rowOff>
    </xdr:to>
    <xdr:sp>
      <xdr:nvSpPr>
        <xdr:cNvPr id="4" name="テキスト ボックス 3"/>
        <xdr:cNvSpPr txBox="1"/>
      </xdr:nvSpPr>
      <xdr:spPr>
        <a:xfrm>
          <a:off x="3137535" y="6196330"/>
          <a:ext cx="3844925" cy="110426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前期よりも２％～１０％以上の昇給、増員の計画を入れる事。</a:t>
          </a:r>
          <a:endParaRPr kumimoji="1" lang="en-US" altLang="ja-JP" sz="1100" kern="1200"/>
        </a:p>
        <a:p>
          <a:r>
            <a:rPr kumimoji="1" lang="ja-JP" altLang="en-US" sz="1100" kern="1200"/>
            <a:t>アバウトでも良い。この社長の採用と昇給の意思決定が有無で会社の未来は大きく変わります！ </a:t>
          </a:r>
          <a:endParaRPr kumimoji="1" lang="en-US" altLang="ja-JP" sz="1100" kern="1200"/>
        </a:p>
        <a:p>
          <a:r>
            <a:rPr kumimoji="1" lang="ja-JP" altLang="en-US" sz="1100" kern="1200"/>
            <a:t>上昇率が１００％以上になる事が望ましい。</a:t>
          </a:r>
          <a:endParaRPr kumimoji="1" lang="ja-JP" altLang="en-US" sz="1100" kern="1200"/>
        </a:p>
      </xdr:txBody>
    </xdr:sp>
    <xdr:clientData/>
  </xdr:twoCellAnchor>
  <xdr:twoCellAnchor>
    <xdr:from>
      <xdr:col>3</xdr:col>
      <xdr:colOff>651933</xdr:colOff>
      <xdr:row>14</xdr:row>
      <xdr:rowOff>414866</xdr:rowOff>
    </xdr:from>
    <xdr:to>
      <xdr:col>6</xdr:col>
      <xdr:colOff>59266</xdr:colOff>
      <xdr:row>16</xdr:row>
      <xdr:rowOff>238760</xdr:rowOff>
    </xdr:to>
    <xdr:cxnSp>
      <xdr:nvCxnSpPr>
        <xdr:cNvPr id="7" name="直線矢印コネクタ 6"/>
        <xdr:cNvCxnSpPr/>
      </xdr:nvCxnSpPr>
      <xdr:spPr>
        <a:xfrm flipH="1" flipV="1">
          <a:off x="2193290" y="5405755"/>
          <a:ext cx="952500" cy="45847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541020</xdr:colOff>
      <xdr:row>14</xdr:row>
      <xdr:rowOff>363220</xdr:rowOff>
    </xdr:from>
    <xdr:to>
      <xdr:col>8</xdr:col>
      <xdr:colOff>168486</xdr:colOff>
      <xdr:row>15</xdr:row>
      <xdr:rowOff>185420</xdr:rowOff>
    </xdr:to>
    <xdr:cxnSp>
      <xdr:nvCxnSpPr>
        <xdr:cNvPr id="11" name="直線矢印コネクタ 10"/>
        <xdr:cNvCxnSpPr/>
      </xdr:nvCxnSpPr>
      <xdr:spPr>
        <a:xfrm flipV="1">
          <a:off x="4474210" y="5354320"/>
          <a:ext cx="227330" cy="26606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184573</xdr:colOff>
      <xdr:row>15</xdr:row>
      <xdr:rowOff>16934</xdr:rowOff>
    </xdr:from>
    <xdr:to>
      <xdr:col>13</xdr:col>
      <xdr:colOff>143933</xdr:colOff>
      <xdr:row>16</xdr:row>
      <xdr:rowOff>238760</xdr:rowOff>
    </xdr:to>
    <xdr:cxnSp>
      <xdr:nvCxnSpPr>
        <xdr:cNvPr id="13" name="直線矢印コネクタ 12"/>
        <xdr:cNvCxnSpPr/>
      </xdr:nvCxnSpPr>
      <xdr:spPr>
        <a:xfrm flipV="1">
          <a:off x="4717415" y="5451475"/>
          <a:ext cx="2839720" cy="41275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518160</xdr:colOff>
      <xdr:row>25</xdr:row>
      <xdr:rowOff>15240</xdr:rowOff>
    </xdr:from>
    <xdr:to>
      <xdr:col>15</xdr:col>
      <xdr:colOff>572347</xdr:colOff>
      <xdr:row>28</xdr:row>
      <xdr:rowOff>69906</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7331710" y="7812405"/>
          <a:ext cx="1854200" cy="626110"/>
        </a:xfrm>
        <a:prstGeom prst="rect">
          <a:avLst/>
        </a:prstGeom>
        <a:effectLst>
          <a:outerShdw blurRad="50800" dist="50800" dir="5400000" algn="ctr" rotWithShape="0">
            <a:srgbClr val="000000">
              <a:alpha val="98000"/>
            </a:srgbClr>
          </a:outerShdw>
        </a:effectLst>
      </xdr:spPr>
    </xdr:pic>
    <xdr:clientData/>
  </xdr:twoCellAnchor>
  <xdr:twoCellAnchor>
    <xdr:from>
      <xdr:col>6</xdr:col>
      <xdr:colOff>68580</xdr:colOff>
      <xdr:row>15</xdr:row>
      <xdr:rowOff>167640</xdr:rowOff>
    </xdr:from>
    <xdr:to>
      <xdr:col>9</xdr:col>
      <xdr:colOff>160020</xdr:colOff>
      <xdr:row>17</xdr:row>
      <xdr:rowOff>205740</xdr:rowOff>
    </xdr:to>
    <xdr:sp>
      <xdr:nvSpPr>
        <xdr:cNvPr id="6" name="テキスト ボックス 5"/>
        <xdr:cNvSpPr txBox="1"/>
      </xdr:nvSpPr>
      <xdr:spPr>
        <a:xfrm>
          <a:off x="3155315" y="5602605"/>
          <a:ext cx="2138045" cy="5715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現状の内部社員数を入力する</a:t>
          </a:r>
          <a:endParaRPr kumimoji="1" lang="en-US" altLang="ja-JP" sz="1100" kern="1200"/>
        </a:p>
        <a:p>
          <a:r>
            <a:rPr kumimoji="1" lang="ja-JP" altLang="en-US" sz="1100" kern="1200"/>
            <a:t>役員は含まない。</a:t>
          </a:r>
          <a:endParaRPr kumimoji="1" lang="en-US" altLang="ja-JP" sz="1100" kern="1200"/>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965200</xdr:colOff>
      <xdr:row>41</xdr:row>
      <xdr:rowOff>143933</xdr:rowOff>
    </xdr:from>
    <xdr:to>
      <xdr:col>13</xdr:col>
      <xdr:colOff>499533</xdr:colOff>
      <xdr:row>43</xdr:row>
      <xdr:rowOff>215532</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8272145" y="13448030"/>
          <a:ext cx="1780540" cy="742315"/>
        </a:xfrm>
        <a:prstGeom prst="rect">
          <a:avLst/>
        </a:prstGeom>
        <a:effectLst>
          <a:outerShdw blurRad="50800" dist="50800" dir="5400000" algn="ctr" rotWithShape="0">
            <a:srgbClr val="000000">
              <a:alpha val="98000"/>
            </a:srgbClr>
          </a:outerShdw>
        </a:effectLst>
      </xdr:spPr>
    </xdr:pic>
    <xdr:clientData/>
  </xdr:twoCellAnchor>
  <xdr:twoCellAnchor>
    <xdr:from>
      <xdr:col>4</xdr:col>
      <xdr:colOff>127001</xdr:colOff>
      <xdr:row>18</xdr:row>
      <xdr:rowOff>8466</xdr:rowOff>
    </xdr:from>
    <xdr:to>
      <xdr:col>9</xdr:col>
      <xdr:colOff>118534</xdr:colOff>
      <xdr:row>23</xdr:row>
      <xdr:rowOff>169333</xdr:rowOff>
    </xdr:to>
    <xdr:sp>
      <xdr:nvSpPr>
        <xdr:cNvPr id="4" name="テキスト ボックス 3"/>
        <xdr:cNvSpPr txBox="1"/>
      </xdr:nvSpPr>
      <xdr:spPr>
        <a:xfrm>
          <a:off x="2987040" y="5951855"/>
          <a:ext cx="3837940" cy="176085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✅売上が増えれば経費も人件費も増えます。</a:t>
          </a:r>
          <a:endParaRPr kumimoji="1" lang="en-US" altLang="ja-JP" sz="1100" kern="1200"/>
        </a:p>
        <a:p>
          <a:r>
            <a:rPr kumimoji="1" lang="ja-JP" altLang="en-US" sz="1100" kern="1200"/>
            <a:t>必要な経費は使い、無駄な費用は圧縮させます。</a:t>
          </a:r>
          <a:endParaRPr kumimoji="1" lang="en-US" altLang="ja-JP" sz="1100" kern="1200"/>
        </a:p>
        <a:p>
          <a:r>
            <a:rPr kumimoji="1" lang="ja-JP" altLang="en-US" sz="1100" kern="1200"/>
            <a:t>基本的には前年度よりも多く経費を記入する事です。</a:t>
          </a:r>
          <a:endParaRPr kumimoji="1" lang="en-US" altLang="ja-JP" sz="1100" kern="1200"/>
        </a:p>
        <a:p>
          <a:r>
            <a:rPr kumimoji="1" lang="ja-JP" altLang="en-US" sz="1100" kern="1200"/>
            <a:t>１０５％～１１５％が望ましい。</a:t>
          </a:r>
          <a:endParaRPr kumimoji="1" lang="en-US" altLang="ja-JP" sz="1100" kern="1200"/>
        </a:p>
        <a:p>
          <a:endParaRPr kumimoji="1" lang="en-US" altLang="ja-JP" sz="1100" kern="1200"/>
        </a:p>
        <a:p>
          <a:r>
            <a:rPr kumimoji="1" lang="en-US" altLang="ja-JP" sz="1100" kern="1200"/>
            <a:t>※</a:t>
          </a:r>
          <a:r>
            <a:rPr kumimoji="1" lang="ja-JP" altLang="en-US" sz="1100" kern="1200"/>
            <a:t>項目は自由に書き足し、訂正可能。</a:t>
          </a:r>
          <a:endParaRPr kumimoji="1" lang="en-US" altLang="ja-JP" sz="1100" kern="1200"/>
        </a:p>
        <a:p>
          <a:r>
            <a:rPr kumimoji="1" lang="ja-JP" altLang="en-US" sz="1100" kern="1200"/>
            <a:t>現状よりも必ず上げるように調整しましょう。</a:t>
          </a:r>
          <a:endParaRPr kumimoji="1" lang="ja-JP" altLang="en-US" sz="1100" kern="1200"/>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7</xdr:col>
      <xdr:colOff>42334</xdr:colOff>
      <xdr:row>3</xdr:row>
      <xdr:rowOff>220134</xdr:rowOff>
    </xdr:from>
    <xdr:to>
      <xdr:col>9</xdr:col>
      <xdr:colOff>643467</xdr:colOff>
      <xdr:row>7</xdr:row>
      <xdr:rowOff>220134</xdr:rowOff>
    </xdr:to>
    <xdr:sp>
      <xdr:nvSpPr>
        <xdr:cNvPr id="2" name="テキスト ボックス 1"/>
        <xdr:cNvSpPr txBox="1"/>
      </xdr:nvSpPr>
      <xdr:spPr>
        <a:xfrm>
          <a:off x="7024370" y="1162050"/>
          <a:ext cx="1710690" cy="7620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①業種、種別、商品名など商品群として並べたいものを任意で追記して良い</a:t>
          </a:r>
          <a:endParaRPr kumimoji="1" lang="ja-JP" altLang="en-US" sz="1100" kern="1200"/>
        </a:p>
      </xdr:txBody>
    </xdr:sp>
    <xdr:clientData/>
  </xdr:twoCellAnchor>
  <xdr:twoCellAnchor>
    <xdr:from>
      <xdr:col>0</xdr:col>
      <xdr:colOff>999067</xdr:colOff>
      <xdr:row>5</xdr:row>
      <xdr:rowOff>220134</xdr:rowOff>
    </xdr:from>
    <xdr:to>
      <xdr:col>7</xdr:col>
      <xdr:colOff>42334</xdr:colOff>
      <xdr:row>6</xdr:row>
      <xdr:rowOff>194733</xdr:rowOff>
    </xdr:to>
    <xdr:cxnSp>
      <xdr:nvCxnSpPr>
        <xdr:cNvPr id="4" name="直線矢印コネクタ 3"/>
        <xdr:cNvCxnSpPr>
          <a:stCxn id="2" idx="1"/>
        </xdr:cNvCxnSpPr>
      </xdr:nvCxnSpPr>
      <xdr:spPr>
        <a:xfrm flipH="1">
          <a:off x="998855" y="1543050"/>
          <a:ext cx="6025515" cy="1905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6</xdr:col>
      <xdr:colOff>973667</xdr:colOff>
      <xdr:row>36</xdr:row>
      <xdr:rowOff>67733</xdr:rowOff>
    </xdr:from>
    <xdr:to>
      <xdr:col>10</xdr:col>
      <xdr:colOff>0</xdr:colOff>
      <xdr:row>39</xdr:row>
      <xdr:rowOff>122399</xdr:rowOff>
    </xdr:to>
    <xdr:pic>
      <xdr:nvPicPr>
        <xdr:cNvPr id="3" name="図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982460" y="7401560"/>
          <a:ext cx="1752600" cy="626110"/>
        </a:xfrm>
        <a:prstGeom prst="rect">
          <a:avLst/>
        </a:prstGeom>
        <a:effectLst>
          <a:outerShdw blurRad="50800" dist="50800" dir="5400000" algn="ctr" rotWithShape="0">
            <a:srgbClr val="000000">
              <a:alpha val="98000"/>
            </a:srgbClr>
          </a:outerShdw>
        </a:effectLst>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9</xdr:row>
      <xdr:rowOff>182880</xdr:rowOff>
    </xdr:from>
    <xdr:to>
      <xdr:col>3</xdr:col>
      <xdr:colOff>1363980</xdr:colOff>
      <xdr:row>22</xdr:row>
      <xdr:rowOff>182880</xdr:rowOff>
    </xdr:to>
    <xdr:graphicFrame>
      <xdr:nvGraphicFramePr>
        <xdr:cNvPr id="2" name="グラフ 1"/>
        <xdr:cNvGraphicFramePr/>
      </xdr:nvGraphicFramePr>
      <xdr:xfrm>
        <a:off x="0" y="2125980"/>
        <a:ext cx="5384800" cy="24765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1897380</xdr:colOff>
      <xdr:row>9</xdr:row>
      <xdr:rowOff>205154</xdr:rowOff>
    </xdr:from>
    <xdr:to>
      <xdr:col>9</xdr:col>
      <xdr:colOff>617220</xdr:colOff>
      <xdr:row>23</xdr:row>
      <xdr:rowOff>0</xdr:rowOff>
    </xdr:to>
    <xdr:graphicFrame>
      <xdr:nvGraphicFramePr>
        <xdr:cNvPr id="3" name="グラフ 2"/>
        <xdr:cNvGraphicFramePr/>
      </xdr:nvGraphicFramePr>
      <xdr:xfrm>
        <a:off x="5918200" y="2133600"/>
        <a:ext cx="4912995" cy="24765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342265</xdr:colOff>
      <xdr:row>0</xdr:row>
      <xdr:rowOff>0</xdr:rowOff>
    </xdr:from>
    <xdr:to>
      <xdr:col>9</xdr:col>
      <xdr:colOff>822325</xdr:colOff>
      <xdr:row>8</xdr:row>
      <xdr:rowOff>213360</xdr:rowOff>
    </xdr:to>
    <xdr:sp>
      <xdr:nvSpPr>
        <xdr:cNvPr id="4" name="正方形/長方形 3"/>
        <xdr:cNvSpPr/>
      </xdr:nvSpPr>
      <xdr:spPr>
        <a:xfrm>
          <a:off x="8036560" y="0"/>
          <a:ext cx="2924175" cy="19431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xdr:col>
      <xdr:colOff>551180</xdr:colOff>
      <xdr:row>23</xdr:row>
      <xdr:rowOff>215900</xdr:rowOff>
    </xdr:from>
    <xdr:to>
      <xdr:col>9</xdr:col>
      <xdr:colOff>401319</xdr:colOff>
      <xdr:row>27</xdr:row>
      <xdr:rowOff>41966</xdr:rowOff>
    </xdr:to>
    <xdr:pic>
      <xdr:nvPicPr>
        <xdr:cNvPr id="5" name="図 4"/>
        <xdr:cNvPicPr>
          <a:picLocks noChangeAspect="1"/>
        </xdr:cNvPicPr>
      </xdr:nvPicPr>
      <xdr:blipFill>
        <a:blip r:embed="rId3" cstate="print">
          <a:extLst>
            <a:ext uri="{28A0092B-C50C-407E-A947-70E740481C1C}">
              <a14:useLocalDpi xmlns:a14="http://schemas.microsoft.com/office/drawing/2010/main" val="0"/>
            </a:ext>
          </a:extLst>
        </a:blip>
        <a:stretch>
          <a:fillRect/>
        </a:stretch>
      </xdr:blipFill>
      <xdr:spPr>
        <a:xfrm>
          <a:off x="8825230" y="4800600"/>
          <a:ext cx="1789430" cy="613410"/>
        </a:xfrm>
        <a:prstGeom prst="rect">
          <a:avLst/>
        </a:prstGeom>
        <a:effectLst>
          <a:outerShdw blurRad="50800" dist="50800" dir="5400000" algn="ctr" rotWithShape="0">
            <a:srgbClr val="000000">
              <a:alpha val="98000"/>
            </a:srgbClr>
          </a:outerShdw>
        </a:effectLst>
      </xdr:spPr>
    </xdr:pic>
    <xdr:clientData/>
  </xdr:twoCellAnchor>
  <xdr:twoCellAnchor>
    <xdr:from>
      <xdr:col>10</xdr:col>
      <xdr:colOff>38100</xdr:colOff>
      <xdr:row>0</xdr:row>
      <xdr:rowOff>85725</xdr:rowOff>
    </xdr:from>
    <xdr:to>
      <xdr:col>18</xdr:col>
      <xdr:colOff>355600</xdr:colOff>
      <xdr:row>9</xdr:row>
      <xdr:rowOff>210185</xdr:rowOff>
    </xdr:to>
    <xdr:sp>
      <xdr:nvSpPr>
        <xdr:cNvPr id="6" name="正方形/長方形 5"/>
        <xdr:cNvSpPr/>
      </xdr:nvSpPr>
      <xdr:spPr>
        <a:xfrm>
          <a:off x="10998835" y="85725"/>
          <a:ext cx="5055870" cy="2047875"/>
        </a:xfrm>
        <a:prstGeom prst="rect">
          <a:avLst/>
        </a:prstGeom>
        <a:solidFill>
          <a:srgbClr val="9E909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oneCellAnchor>
    <xdr:from>
      <xdr:col>12</xdr:col>
      <xdr:colOff>313267</xdr:colOff>
      <xdr:row>47</xdr:row>
      <xdr:rowOff>118534</xdr:rowOff>
    </xdr:from>
    <xdr:ext cx="184731" cy="264560"/>
    <xdr:sp>
      <xdr:nvSpPr>
        <xdr:cNvPr id="3" name="テキスト ボックス 2"/>
        <xdr:cNvSpPr txBox="1"/>
      </xdr:nvSpPr>
      <xdr:spPr>
        <a:xfrm>
          <a:off x="8620760" y="14622780"/>
          <a:ext cx="184785" cy="2647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kern="1200"/>
        </a:p>
      </xdr:txBody>
    </xdr:sp>
    <xdr:clientData/>
  </xdr:oneCellAnchor>
  <xdr:twoCellAnchor>
    <xdr:from>
      <xdr:col>10</xdr:col>
      <xdr:colOff>376766</xdr:colOff>
      <xdr:row>52</xdr:row>
      <xdr:rowOff>173566</xdr:rowOff>
    </xdr:from>
    <xdr:to>
      <xdr:col>15</xdr:col>
      <xdr:colOff>431800</xdr:colOff>
      <xdr:row>57</xdr:row>
      <xdr:rowOff>127000</xdr:rowOff>
    </xdr:to>
    <xdr:sp>
      <xdr:nvSpPr>
        <xdr:cNvPr id="4" name="テキスト ボックス 3"/>
        <xdr:cNvSpPr txBox="1"/>
      </xdr:nvSpPr>
      <xdr:spPr>
        <a:xfrm>
          <a:off x="6877685" y="16202025"/>
          <a:ext cx="2681605" cy="1477645"/>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毎月の試算表が届き次第、実績を加算していく。その際に目標より高くなればその項目は目標よりオーバーしている事になり、注意が必要。経費が掛かりすぎてないか、</a:t>
          </a:r>
          <a:endParaRPr kumimoji="1" lang="ja-JP" altLang="en-US" sz="1100" kern="1200"/>
        </a:p>
      </xdr:txBody>
    </xdr:sp>
    <xdr:clientData/>
  </xdr:twoCellAnchor>
  <xdr:twoCellAnchor editAs="oneCell">
    <xdr:from>
      <xdr:col>15</xdr:col>
      <xdr:colOff>406400</xdr:colOff>
      <xdr:row>57</xdr:row>
      <xdr:rowOff>266700</xdr:rowOff>
    </xdr:from>
    <xdr:to>
      <xdr:col>17</xdr:col>
      <xdr:colOff>668867</xdr:colOff>
      <xdr:row>60</xdr:row>
      <xdr:rowOff>92766</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9533890" y="17819370"/>
          <a:ext cx="1835785" cy="740410"/>
        </a:xfrm>
        <a:prstGeom prst="rect">
          <a:avLst/>
        </a:prstGeom>
        <a:effectLst>
          <a:outerShdw blurRad="50800" dist="50800" dir="5400000" algn="ctr" rotWithShape="0">
            <a:srgbClr val="000000">
              <a:alpha val="98000"/>
            </a:srgbClr>
          </a:outerShdw>
        </a:effectLst>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994834</xdr:colOff>
      <xdr:row>20</xdr:row>
      <xdr:rowOff>207433</xdr:rowOff>
    </xdr:from>
    <xdr:to>
      <xdr:col>11</xdr:col>
      <xdr:colOff>867833</xdr:colOff>
      <xdr:row>24</xdr:row>
      <xdr:rowOff>33499</xdr:rowOff>
    </xdr:to>
    <xdr:pic>
      <xdr:nvPicPr>
        <xdr:cNvPr id="2" name="図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9214485" y="4821555"/>
          <a:ext cx="1827530" cy="604520"/>
        </a:xfrm>
        <a:prstGeom prst="rect">
          <a:avLst/>
        </a:prstGeom>
        <a:effectLst>
          <a:outerShdw blurRad="50800" dist="50800" dir="5400000" algn="ctr" rotWithShape="0">
            <a:srgbClr val="000000">
              <a:alpha val="98000"/>
            </a:srgbClr>
          </a:outerShdw>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12510;&#12452;&#12489;&#12521;&#12452;&#12502;\&#12422;&#12358;&#12365;&#32207;&#26989;&#12849;\&#21508;&#33258;&#12501;&#12457;&#12523;&#12480;\&#20280;\&#27494;&#34101;&#37326;\13&#26399;&#30446;\&#30701;&#26399;&#35069;&#36896;_2023100820303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はじめに"/>
      <sheetName val="直近データ (印刷用)"/>
      <sheetName val="直近データ (損益)"/>
      <sheetName val="直近データ (製造原価)"/>
      <sheetName val="直近データ"/>
      <sheetName val="勘定科目コード表"/>
      <sheetName val="計画表(転記用)"/>
      <sheetName val="計画表(現状）"/>
      <sheetName val="計画表(試算１）"/>
      <sheetName val="計画表(試算２）"/>
      <sheetName val="計画表(試算３）"/>
      <sheetName val="計画表(試算４）"/>
      <sheetName val="計画表(試算５）"/>
      <sheetName val="計画表(試算６）"/>
      <sheetName val="計画表(決定版）"/>
      <sheetName val="計画表(増減 決定-現状）"/>
      <sheetName val="計画表(増減 フリー）"/>
      <sheetName val="利益計画検討表"/>
      <sheetName val="売上構成比表"/>
      <sheetName val="部門別販売計画"/>
      <sheetName val="商品別販売計画(売上）"/>
      <sheetName val="商品別販売計画(数量）"/>
      <sheetName val="月別利益計画"/>
      <sheetName val="月別利益計画 (変動用)"/>
      <sheetName val="月別利益計画 (チェック用)"/>
      <sheetName val="年計表"/>
      <sheetName val="年計グラフ(売上)"/>
      <sheetName val="年計グラフ(経常益)"/>
      <sheetName val="資金運用編用デー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J120"/>
  <sheetViews>
    <sheetView tabSelected="1" view="pageBreakPreview" zoomScaleNormal="100" workbookViewId="0">
      <selection activeCell="C7" sqref="C7"/>
    </sheetView>
  </sheetViews>
  <sheetFormatPr defaultColWidth="8.09523809523809" defaultRowHeight="15" customHeight="1"/>
  <cols>
    <col min="1" max="1" width="8.69523809523809" style="485" customWidth="1"/>
    <col min="2" max="2" width="17.2" style="485" customWidth="1"/>
    <col min="3" max="3" width="21.4" style="485" customWidth="1"/>
    <col min="4" max="4" width="27.6952380952381" style="485" customWidth="1"/>
    <col min="5" max="5" width="11.8952380952381" style="485" customWidth="1"/>
    <col min="6" max="6" width="17.2" style="485" customWidth="1"/>
    <col min="7" max="7" width="16.2" style="485" customWidth="1"/>
    <col min="8" max="16384" width="8.09523809523809" style="485"/>
  </cols>
  <sheetData>
    <row r="1" ht="55.95" customHeight="1" spans="1:9">
      <c r="A1" s="486" t="s">
        <v>0</v>
      </c>
      <c r="B1" s="487"/>
      <c r="C1" s="488"/>
      <c r="D1" s="488"/>
      <c r="E1" s="488"/>
      <c r="F1" s="486" t="s">
        <v>1</v>
      </c>
      <c r="G1" s="488"/>
      <c r="H1" s="486" t="s">
        <v>2</v>
      </c>
      <c r="I1" s="485" t="s">
        <v>3</v>
      </c>
    </row>
    <row r="2" ht="30.6" customHeight="1" spans="1:3">
      <c r="A2" s="489" t="s">
        <v>4</v>
      </c>
      <c r="B2" s="490">
        <v>45170</v>
      </c>
      <c r="C2" s="485" t="s">
        <v>5</v>
      </c>
    </row>
    <row r="3" ht="30.6" customHeight="1" spans="1:7">
      <c r="A3" s="491" t="s">
        <v>6</v>
      </c>
      <c r="B3" s="492">
        <v>45505</v>
      </c>
      <c r="C3" s="493" t="s">
        <v>7</v>
      </c>
      <c r="D3" s="494" t="s">
        <v>8</v>
      </c>
      <c r="E3" s="485" t="s">
        <v>9</v>
      </c>
      <c r="F3" s="15"/>
      <c r="G3" s="15"/>
    </row>
    <row r="4" customHeight="1" spans="3:4">
      <c r="C4" s="495"/>
      <c r="D4" s="496">
        <v>1</v>
      </c>
    </row>
    <row r="5" s="484" customFormat="1" ht="38.4" customHeight="1" spans="1:10">
      <c r="A5" s="497" t="s">
        <v>10</v>
      </c>
      <c r="B5" s="498" t="s">
        <v>11</v>
      </c>
      <c r="C5" s="498" t="s">
        <v>12</v>
      </c>
      <c r="D5" s="499" t="s">
        <v>13</v>
      </c>
      <c r="E5" s="500"/>
      <c r="J5" s="615"/>
    </row>
    <row r="6" ht="33" customHeight="1" spans="1:10">
      <c r="A6" s="501" t="s">
        <v>14</v>
      </c>
      <c r="B6" s="502" t="s">
        <v>15</v>
      </c>
      <c r="C6" s="503"/>
      <c r="D6" s="504"/>
      <c r="E6" s="505" t="s">
        <v>16</v>
      </c>
      <c r="J6" s="615"/>
    </row>
    <row r="7" ht="32.4" customHeight="1" spans="1:10">
      <c r="A7" s="506" t="s">
        <v>17</v>
      </c>
      <c r="B7" s="507" t="s">
        <v>18</v>
      </c>
      <c r="C7" s="508">
        <f>C6-G102</f>
        <v>0</v>
      </c>
      <c r="D7" s="509"/>
      <c r="E7" s="505" t="s">
        <v>18</v>
      </c>
      <c r="J7" s="615"/>
    </row>
    <row r="8" ht="35.4" customHeight="1" spans="1:10">
      <c r="A8" s="510" t="s">
        <v>19</v>
      </c>
      <c r="B8" s="511" t="s">
        <v>20</v>
      </c>
      <c r="C8" s="512" t="str">
        <f>IFERROR(C7/C6,"")</f>
        <v/>
      </c>
      <c r="D8" s="513"/>
      <c r="E8" s="505" t="s">
        <v>21</v>
      </c>
      <c r="J8" s="615"/>
    </row>
    <row r="9" customHeight="1" spans="1:10">
      <c r="A9" s="514"/>
      <c r="B9" s="515"/>
      <c r="C9" s="516"/>
      <c r="D9" s="517"/>
      <c r="E9" s="505" t="s">
        <v>22</v>
      </c>
      <c r="F9" s="518"/>
      <c r="J9" s="615"/>
    </row>
    <row r="10" customHeight="1" spans="1:5">
      <c r="A10" s="519"/>
      <c r="B10" s="520"/>
      <c r="C10" s="521"/>
      <c r="D10" s="522"/>
      <c r="E10" s="505" t="s">
        <v>23</v>
      </c>
    </row>
    <row r="11" customHeight="1" spans="1:5">
      <c r="A11" s="523"/>
      <c r="B11" s="524"/>
      <c r="C11" s="525"/>
      <c r="D11" s="526"/>
      <c r="E11" s="505" t="s">
        <v>24</v>
      </c>
    </row>
    <row r="12" customHeight="1" spans="1:5">
      <c r="A12" s="527" t="s">
        <v>25</v>
      </c>
      <c r="B12" s="528" t="s">
        <v>26</v>
      </c>
      <c r="C12" s="529"/>
      <c r="D12" s="530"/>
      <c r="E12" s="505" t="s">
        <v>26</v>
      </c>
    </row>
    <row r="13" customHeight="1" spans="1:5">
      <c r="A13" s="527" t="s">
        <v>27</v>
      </c>
      <c r="B13" s="531" t="s">
        <v>28</v>
      </c>
      <c r="C13" s="532"/>
      <c r="D13" s="533"/>
      <c r="E13" s="505" t="s">
        <v>28</v>
      </c>
    </row>
    <row r="14" customHeight="1" spans="1:5">
      <c r="A14" s="527" t="s">
        <v>29</v>
      </c>
      <c r="B14" s="531" t="s">
        <v>30</v>
      </c>
      <c r="C14" s="532"/>
      <c r="D14" s="533"/>
      <c r="E14" s="505" t="s">
        <v>30</v>
      </c>
    </row>
    <row r="15" customHeight="1" spans="1:5">
      <c r="A15" s="527" t="s">
        <v>31</v>
      </c>
      <c r="B15" s="534" t="s">
        <v>32</v>
      </c>
      <c r="C15" s="535"/>
      <c r="D15" s="536"/>
      <c r="E15" s="505" t="s">
        <v>32</v>
      </c>
    </row>
    <row r="16" customHeight="1" spans="1:5">
      <c r="A16" s="527" t="s">
        <v>33</v>
      </c>
      <c r="B16" s="537" t="s">
        <v>34</v>
      </c>
      <c r="C16" s="538"/>
      <c r="D16" s="539"/>
      <c r="E16" s="505" t="s">
        <v>34</v>
      </c>
    </row>
    <row r="17" customHeight="1" spans="1:5">
      <c r="A17" s="527" t="s">
        <v>35</v>
      </c>
      <c r="B17" s="540" t="s">
        <v>36</v>
      </c>
      <c r="C17" s="541"/>
      <c r="D17" s="542"/>
      <c r="E17" s="505" t="s">
        <v>36</v>
      </c>
    </row>
    <row r="18" customHeight="1" spans="1:5">
      <c r="A18" s="527" t="s">
        <v>37</v>
      </c>
      <c r="B18" s="531" t="s">
        <v>38</v>
      </c>
      <c r="C18" s="532"/>
      <c r="D18" s="543"/>
      <c r="E18" s="505" t="s">
        <v>38</v>
      </c>
    </row>
    <row r="19" customHeight="1" spans="1:5">
      <c r="A19" s="527" t="s">
        <v>39</v>
      </c>
      <c r="B19" s="534" t="s">
        <v>40</v>
      </c>
      <c r="C19" s="535"/>
      <c r="D19" s="544"/>
      <c r="E19" s="505" t="s">
        <v>40</v>
      </c>
    </row>
    <row r="20" customHeight="1" spans="1:5">
      <c r="A20" s="527" t="s">
        <v>41</v>
      </c>
      <c r="B20" s="537" t="s">
        <v>42</v>
      </c>
      <c r="C20" s="538"/>
      <c r="D20" s="539"/>
      <c r="E20" s="505" t="s">
        <v>42</v>
      </c>
    </row>
    <row r="21" customHeight="1" spans="1:5">
      <c r="A21" s="527" t="s">
        <v>43</v>
      </c>
      <c r="B21" s="537" t="s">
        <v>44</v>
      </c>
      <c r="C21" s="538"/>
      <c r="D21" s="539"/>
      <c r="E21" s="505" t="s">
        <v>44</v>
      </c>
    </row>
    <row r="22" customHeight="1" spans="1:5">
      <c r="A22" s="527" t="s">
        <v>45</v>
      </c>
      <c r="B22" s="540" t="s">
        <v>46</v>
      </c>
      <c r="C22" s="541"/>
      <c r="D22" s="545"/>
      <c r="E22" s="505" t="s">
        <v>46</v>
      </c>
    </row>
    <row r="23" customHeight="1" spans="1:5">
      <c r="A23" s="527" t="s">
        <v>47</v>
      </c>
      <c r="B23" s="531" t="s">
        <v>48</v>
      </c>
      <c r="C23" s="532"/>
      <c r="D23" s="546"/>
      <c r="E23" s="505" t="s">
        <v>48</v>
      </c>
    </row>
    <row r="24" customHeight="1" spans="1:5">
      <c r="A24" s="527" t="s">
        <v>49</v>
      </c>
      <c r="B24" s="531" t="s">
        <v>50</v>
      </c>
      <c r="C24" s="532"/>
      <c r="D24" s="546"/>
      <c r="E24" s="505" t="s">
        <v>50</v>
      </c>
    </row>
    <row r="25" customHeight="1" spans="1:5">
      <c r="A25" s="527" t="s">
        <v>51</v>
      </c>
      <c r="B25" s="531" t="s">
        <v>52</v>
      </c>
      <c r="C25" s="532"/>
      <c r="D25" s="546"/>
      <c r="E25" s="505" t="s">
        <v>53</v>
      </c>
    </row>
    <row r="26" customHeight="1" spans="1:5">
      <c r="A26" s="527" t="s">
        <v>54</v>
      </c>
      <c r="B26" s="534" t="s">
        <v>52</v>
      </c>
      <c r="C26" s="535"/>
      <c r="D26" s="536"/>
      <c r="E26" s="505" t="s">
        <v>55</v>
      </c>
    </row>
    <row r="27" customHeight="1" spans="1:5">
      <c r="A27" s="527" t="s">
        <v>56</v>
      </c>
      <c r="B27" s="540" t="s">
        <v>57</v>
      </c>
      <c r="C27" s="541"/>
      <c r="D27" s="547"/>
      <c r="E27" s="505" t="s">
        <v>57</v>
      </c>
    </row>
    <row r="28" customHeight="1" spans="1:5">
      <c r="A28" s="527" t="s">
        <v>58</v>
      </c>
      <c r="B28" s="548" t="s">
        <v>59</v>
      </c>
      <c r="C28" s="549"/>
      <c r="D28" s="550"/>
      <c r="E28" s="505" t="s">
        <v>59</v>
      </c>
    </row>
    <row r="29" customHeight="1" spans="1:6">
      <c r="A29" s="551" t="s">
        <v>60</v>
      </c>
      <c r="B29" s="552" t="s">
        <v>61</v>
      </c>
      <c r="C29" s="503"/>
      <c r="D29" s="553"/>
      <c r="E29" s="505" t="s">
        <v>62</v>
      </c>
      <c r="F29" s="552" t="s">
        <v>61</v>
      </c>
    </row>
    <row r="30" customHeight="1" spans="1:6">
      <c r="A30" s="551" t="s">
        <v>63</v>
      </c>
      <c r="B30" s="554" t="s">
        <v>64</v>
      </c>
      <c r="C30" s="541"/>
      <c r="D30" s="542"/>
      <c r="E30" s="505" t="s">
        <v>42</v>
      </c>
      <c r="F30" s="554" t="s">
        <v>64</v>
      </c>
    </row>
    <row r="31" customHeight="1" spans="1:6">
      <c r="A31" s="551" t="s">
        <v>65</v>
      </c>
      <c r="B31" s="555" t="s">
        <v>66</v>
      </c>
      <c r="C31" s="556"/>
      <c r="D31" s="557"/>
      <c r="E31" s="505" t="s">
        <v>67</v>
      </c>
      <c r="F31" s="555" t="s">
        <v>66</v>
      </c>
    </row>
    <row r="32" customHeight="1" spans="1:6">
      <c r="A32" s="551" t="s">
        <v>68</v>
      </c>
      <c r="B32" s="558" t="s">
        <v>69</v>
      </c>
      <c r="C32" s="559"/>
      <c r="D32" s="560"/>
      <c r="E32" s="505" t="s">
        <v>70</v>
      </c>
      <c r="F32" s="558" t="s">
        <v>69</v>
      </c>
    </row>
    <row r="33" customHeight="1" spans="1:6">
      <c r="A33" s="551" t="s">
        <v>71</v>
      </c>
      <c r="B33" s="561" t="s">
        <v>72</v>
      </c>
      <c r="C33" s="562"/>
      <c r="D33" s="563"/>
      <c r="E33" s="505" t="s">
        <v>72</v>
      </c>
      <c r="F33" s="564" t="s">
        <v>73</v>
      </c>
    </row>
    <row r="34" customHeight="1" spans="1:6">
      <c r="A34" s="551" t="s">
        <v>74</v>
      </c>
      <c r="B34" s="565" t="s">
        <v>75</v>
      </c>
      <c r="C34" s="535"/>
      <c r="D34" s="544"/>
      <c r="E34" s="505" t="s">
        <v>76</v>
      </c>
      <c r="F34" s="566" t="s">
        <v>75</v>
      </c>
    </row>
    <row r="35" customHeight="1" spans="1:6">
      <c r="A35" s="551" t="s">
        <v>77</v>
      </c>
      <c r="B35" s="554" t="s">
        <v>78</v>
      </c>
      <c r="C35" s="541"/>
      <c r="D35" s="542"/>
      <c r="E35" s="505" t="s">
        <v>78</v>
      </c>
      <c r="F35" s="567" t="s">
        <v>67</v>
      </c>
    </row>
    <row r="36" customHeight="1" spans="1:6">
      <c r="A36" s="551" t="s">
        <v>79</v>
      </c>
      <c r="B36" s="565" t="s">
        <v>80</v>
      </c>
      <c r="C36" s="535"/>
      <c r="D36" s="544"/>
      <c r="E36" s="505" t="s">
        <v>80</v>
      </c>
      <c r="F36" s="566" t="s">
        <v>70</v>
      </c>
    </row>
    <row r="37" customHeight="1" spans="1:6">
      <c r="A37" s="568" t="s">
        <v>81</v>
      </c>
      <c r="B37" s="554" t="s">
        <v>73</v>
      </c>
      <c r="C37" s="541"/>
      <c r="D37" s="542"/>
      <c r="E37" s="505" t="s">
        <v>82</v>
      </c>
      <c r="F37" s="567" t="s">
        <v>72</v>
      </c>
    </row>
    <row r="38" customHeight="1" spans="1:6">
      <c r="A38" s="568" t="s">
        <v>83</v>
      </c>
      <c r="B38" s="569" t="s">
        <v>82</v>
      </c>
      <c r="C38" s="532"/>
      <c r="D38" s="543"/>
      <c r="E38" s="505"/>
      <c r="F38" s="570" t="s">
        <v>84</v>
      </c>
    </row>
    <row r="39" customHeight="1" spans="1:6">
      <c r="A39" s="568" t="s">
        <v>85</v>
      </c>
      <c r="B39" s="569" t="s">
        <v>86</v>
      </c>
      <c r="C39" s="532"/>
      <c r="D39" s="543"/>
      <c r="E39" s="505"/>
      <c r="F39" s="570" t="s">
        <v>78</v>
      </c>
    </row>
    <row r="40" customHeight="1" spans="1:6">
      <c r="A40" s="568" t="s">
        <v>87</v>
      </c>
      <c r="B40" s="569" t="s">
        <v>84</v>
      </c>
      <c r="C40" s="532"/>
      <c r="D40" s="543"/>
      <c r="E40" s="505"/>
      <c r="F40" s="569" t="s">
        <v>80</v>
      </c>
    </row>
    <row r="41" customHeight="1" spans="1:6">
      <c r="A41" s="568" t="s">
        <v>88</v>
      </c>
      <c r="B41" s="569" t="s">
        <v>67</v>
      </c>
      <c r="C41" s="532"/>
      <c r="D41" s="543"/>
      <c r="E41" s="505"/>
      <c r="F41" s="569" t="s">
        <v>82</v>
      </c>
    </row>
    <row r="42" customHeight="1" spans="1:6">
      <c r="A42" s="568" t="s">
        <v>89</v>
      </c>
      <c r="B42" s="571" t="s">
        <v>90</v>
      </c>
      <c r="C42" s="572"/>
      <c r="D42" s="573"/>
      <c r="E42" s="505" t="s">
        <v>90</v>
      </c>
      <c r="F42" s="574" t="s">
        <v>90</v>
      </c>
    </row>
    <row r="43" customHeight="1" spans="1:5">
      <c r="A43" s="575" t="s">
        <v>91</v>
      </c>
      <c r="B43" s="276" t="s">
        <v>92</v>
      </c>
      <c r="C43" s="576"/>
      <c r="D43" s="577"/>
      <c r="E43" s="505" t="s">
        <v>92</v>
      </c>
    </row>
    <row r="44" customHeight="1" spans="1:5">
      <c r="A44" s="578" t="s">
        <v>93</v>
      </c>
      <c r="B44" s="280" t="s">
        <v>94</v>
      </c>
      <c r="C44" s="579"/>
      <c r="D44" s="580"/>
      <c r="E44" s="505" t="s">
        <v>94</v>
      </c>
    </row>
    <row r="45" customHeight="1" spans="1:5">
      <c r="A45" s="578" t="s">
        <v>95</v>
      </c>
      <c r="B45" s="283" t="s">
        <v>96</v>
      </c>
      <c r="C45" s="581"/>
      <c r="D45" s="547"/>
      <c r="E45" s="505" t="s">
        <v>96</v>
      </c>
    </row>
    <row r="46" customHeight="1" spans="1:5">
      <c r="A46" s="578" t="s">
        <v>97</v>
      </c>
      <c r="B46" s="280" t="s">
        <v>98</v>
      </c>
      <c r="C46" s="579"/>
      <c r="D46" s="580"/>
      <c r="E46" s="505" t="s">
        <v>98</v>
      </c>
    </row>
    <row r="47" customHeight="1" spans="1:6">
      <c r="A47" s="578" t="s">
        <v>99</v>
      </c>
      <c r="B47" s="283" t="s">
        <v>100</v>
      </c>
      <c r="C47" s="581"/>
      <c r="D47" s="547"/>
      <c r="E47" s="505" t="s">
        <v>100</v>
      </c>
      <c r="F47" s="582" t="s">
        <v>101</v>
      </c>
    </row>
    <row r="48" customHeight="1" spans="1:6">
      <c r="A48" s="578" t="s">
        <v>102</v>
      </c>
      <c r="B48" s="284" t="s">
        <v>103</v>
      </c>
      <c r="C48" s="583"/>
      <c r="D48" s="550"/>
      <c r="E48" s="505" t="s">
        <v>103</v>
      </c>
      <c r="F48" s="582" t="s">
        <v>104</v>
      </c>
    </row>
    <row r="49" customHeight="1" spans="1:6">
      <c r="A49" s="578" t="s">
        <v>105</v>
      </c>
      <c r="B49" s="285" t="s">
        <v>106</v>
      </c>
      <c r="C49" s="584"/>
      <c r="D49" s="585"/>
      <c r="E49" s="505" t="s">
        <v>106</v>
      </c>
      <c r="F49" s="582" t="s">
        <v>107</v>
      </c>
    </row>
    <row r="50" customHeight="1" spans="1:5">
      <c r="A50" s="578" t="s">
        <v>108</v>
      </c>
      <c r="B50" s="287" t="s">
        <v>109</v>
      </c>
      <c r="C50" s="581"/>
      <c r="D50" s="547"/>
      <c r="E50" s="505" t="s">
        <v>109</v>
      </c>
    </row>
    <row r="51" customHeight="1" spans="1:5">
      <c r="A51" s="578" t="s">
        <v>110</v>
      </c>
      <c r="B51" s="288" t="s">
        <v>111</v>
      </c>
      <c r="C51" s="586"/>
      <c r="D51" s="533"/>
      <c r="E51" s="505" t="s">
        <v>111</v>
      </c>
    </row>
    <row r="52" customHeight="1" spans="1:5">
      <c r="A52" s="578" t="s">
        <v>112</v>
      </c>
      <c r="B52" s="289" t="s">
        <v>113</v>
      </c>
      <c r="C52" s="579"/>
      <c r="D52" s="580"/>
      <c r="E52" s="505" t="s">
        <v>113</v>
      </c>
    </row>
    <row r="53" customHeight="1" spans="1:6">
      <c r="A53" s="578" t="s">
        <v>114</v>
      </c>
      <c r="B53" s="287" t="s">
        <v>115</v>
      </c>
      <c r="C53" s="581"/>
      <c r="D53" s="547"/>
      <c r="E53" s="505" t="s">
        <v>115</v>
      </c>
      <c r="F53" s="582" t="s">
        <v>116</v>
      </c>
    </row>
    <row r="54" customHeight="1" spans="1:6">
      <c r="A54" s="578" t="s">
        <v>117</v>
      </c>
      <c r="B54" s="288" t="s">
        <v>118</v>
      </c>
      <c r="C54" s="586"/>
      <c r="D54" s="587"/>
      <c r="E54" s="505" t="s">
        <v>118</v>
      </c>
      <c r="F54" s="582" t="s">
        <v>104</v>
      </c>
    </row>
    <row r="55" customHeight="1" spans="1:6">
      <c r="A55" s="578" t="s">
        <v>119</v>
      </c>
      <c r="B55" s="289" t="s">
        <v>120</v>
      </c>
      <c r="C55" s="579"/>
      <c r="D55" s="580"/>
      <c r="E55" s="505" t="s">
        <v>120</v>
      </c>
      <c r="F55" s="582" t="s">
        <v>107</v>
      </c>
    </row>
    <row r="56" customHeight="1" spans="1:5">
      <c r="A56" s="578" t="s">
        <v>121</v>
      </c>
      <c r="B56" s="287" t="s">
        <v>122</v>
      </c>
      <c r="C56" s="581"/>
      <c r="D56" s="547"/>
      <c r="E56" s="505" t="s">
        <v>122</v>
      </c>
    </row>
    <row r="57" customHeight="1" spans="1:5">
      <c r="A57" s="578" t="s">
        <v>123</v>
      </c>
      <c r="B57" s="289" t="s">
        <v>124</v>
      </c>
      <c r="C57" s="579"/>
      <c r="D57" s="588">
        <f>SUM(D60:D62)</f>
        <v>0</v>
      </c>
      <c r="E57" s="505" t="s">
        <v>125</v>
      </c>
    </row>
    <row r="58" customHeight="1" spans="1:5">
      <c r="A58" s="589" t="s">
        <v>126</v>
      </c>
      <c r="B58" s="590" t="s">
        <v>78</v>
      </c>
      <c r="C58" s="591"/>
      <c r="D58" s="592"/>
      <c r="E58" s="505" t="s">
        <v>78</v>
      </c>
    </row>
    <row r="59" customHeight="1" spans="1:5">
      <c r="A59" s="593" t="s">
        <v>127</v>
      </c>
      <c r="B59" s="594" t="s">
        <v>128</v>
      </c>
      <c r="C59" s="595"/>
      <c r="D59" s="596"/>
      <c r="E59" s="505" t="s">
        <v>36</v>
      </c>
    </row>
    <row r="60" customHeight="1" spans="1:5">
      <c r="A60" s="593" t="s">
        <v>127</v>
      </c>
      <c r="B60" s="597" t="s">
        <v>26</v>
      </c>
      <c r="C60" s="598"/>
      <c r="D60" s="580"/>
      <c r="E60" s="505" t="s">
        <v>38</v>
      </c>
    </row>
    <row r="61" customHeight="1" spans="1:5">
      <c r="A61" s="593" t="s">
        <v>127</v>
      </c>
      <c r="B61" s="599" t="s">
        <v>34</v>
      </c>
      <c r="C61" s="600"/>
      <c r="D61" s="547"/>
      <c r="E61" s="505" t="s">
        <v>129</v>
      </c>
    </row>
    <row r="62" customHeight="1" spans="1:5">
      <c r="A62" s="593" t="s">
        <v>127</v>
      </c>
      <c r="B62" s="601" t="s">
        <v>38</v>
      </c>
      <c r="C62" s="602"/>
      <c r="D62" s="550"/>
      <c r="E62" s="505" t="s">
        <v>40</v>
      </c>
    </row>
    <row r="63" customHeight="1" spans="1:7">
      <c r="A63" s="603" t="s">
        <v>130</v>
      </c>
      <c r="B63" s="604" t="s">
        <v>131</v>
      </c>
      <c r="C63" s="605"/>
      <c r="D63" s="585"/>
      <c r="E63" s="606"/>
      <c r="F63" s="607" t="s">
        <v>132</v>
      </c>
      <c r="G63" s="608" t="s">
        <v>133</v>
      </c>
    </row>
    <row r="64" customHeight="1" spans="1:7">
      <c r="A64" s="609" t="s">
        <v>134</v>
      </c>
      <c r="B64" s="610" t="s">
        <v>135</v>
      </c>
      <c r="C64" s="611"/>
      <c r="D64" s="547"/>
      <c r="E64" s="612" t="s">
        <v>136</v>
      </c>
      <c r="F64" s="613" t="s">
        <v>137</v>
      </c>
      <c r="G64" s="614"/>
    </row>
    <row r="65" customHeight="1" spans="1:7">
      <c r="A65" s="609" t="s">
        <v>138</v>
      </c>
      <c r="B65" s="616" t="s">
        <v>139</v>
      </c>
      <c r="C65" s="617"/>
      <c r="D65" s="533"/>
      <c r="E65" s="612" t="s">
        <v>140</v>
      </c>
      <c r="F65" s="613" t="s">
        <v>141</v>
      </c>
      <c r="G65" s="614"/>
    </row>
    <row r="66" customHeight="1" spans="1:7">
      <c r="A66" s="609" t="s">
        <v>142</v>
      </c>
      <c r="B66" s="618" t="s">
        <v>143</v>
      </c>
      <c r="C66" s="619"/>
      <c r="D66" s="580"/>
      <c r="E66" s="612" t="s">
        <v>144</v>
      </c>
      <c r="F66" s="613"/>
      <c r="G66" s="614"/>
    </row>
    <row r="67" customHeight="1" spans="1:7">
      <c r="A67" s="609" t="s">
        <v>145</v>
      </c>
      <c r="B67" s="610" t="s">
        <v>146</v>
      </c>
      <c r="C67" s="611"/>
      <c r="D67" s="547"/>
      <c r="E67" s="620" t="s">
        <v>147</v>
      </c>
      <c r="F67" s="621"/>
      <c r="G67" s="592"/>
    </row>
    <row r="68" customHeight="1" spans="1:7">
      <c r="A68" s="609" t="s">
        <v>148</v>
      </c>
      <c r="B68" s="622" t="s">
        <v>149</v>
      </c>
      <c r="C68" s="623"/>
      <c r="D68" s="550"/>
      <c r="E68" s="606"/>
      <c r="F68" s="624" t="s">
        <v>150</v>
      </c>
      <c r="G68" s="625"/>
    </row>
    <row r="69" customHeight="1" spans="1:7">
      <c r="A69" s="609" t="s">
        <v>151</v>
      </c>
      <c r="B69" s="626" t="s">
        <v>152</v>
      </c>
      <c r="C69" s="627"/>
      <c r="D69" s="628"/>
      <c r="E69" s="612" t="s">
        <v>136</v>
      </c>
      <c r="F69" s="613" t="s">
        <v>153</v>
      </c>
      <c r="G69" s="614"/>
    </row>
    <row r="70" customHeight="1" spans="1:7">
      <c r="A70" s="609" t="s">
        <v>154</v>
      </c>
      <c r="B70" s="610" t="s">
        <v>155</v>
      </c>
      <c r="C70" s="541"/>
      <c r="D70" s="547"/>
      <c r="E70" s="612" t="s">
        <v>140</v>
      </c>
      <c r="F70" s="613"/>
      <c r="G70" s="614"/>
    </row>
    <row r="71" customHeight="1" spans="1:7">
      <c r="A71" s="609" t="s">
        <v>156</v>
      </c>
      <c r="B71" s="618" t="s">
        <v>157</v>
      </c>
      <c r="C71" s="535"/>
      <c r="D71" s="580"/>
      <c r="E71" s="612" t="s">
        <v>144</v>
      </c>
      <c r="F71" s="613"/>
      <c r="G71" s="614"/>
    </row>
    <row r="72" customHeight="1" spans="1:7">
      <c r="A72" s="609" t="s">
        <v>158</v>
      </c>
      <c r="B72" s="610" t="s">
        <v>159</v>
      </c>
      <c r="C72" s="541"/>
      <c r="D72" s="547"/>
      <c r="E72" s="620" t="s">
        <v>147</v>
      </c>
      <c r="F72" s="621"/>
      <c r="G72" s="592"/>
    </row>
    <row r="73" customHeight="1" spans="1:7">
      <c r="A73" s="609" t="s">
        <v>160</v>
      </c>
      <c r="B73" s="618" t="s">
        <v>161</v>
      </c>
      <c r="C73" s="535"/>
      <c r="D73" s="580"/>
      <c r="E73" s="606"/>
      <c r="F73" s="624" t="s">
        <v>162</v>
      </c>
      <c r="G73" s="625"/>
    </row>
    <row r="74" customHeight="1" spans="1:7">
      <c r="A74" s="609" t="s">
        <v>163</v>
      </c>
      <c r="B74" s="629" t="s">
        <v>164</v>
      </c>
      <c r="C74" s="538"/>
      <c r="D74" s="614"/>
      <c r="E74" s="612" t="s">
        <v>136</v>
      </c>
      <c r="F74" s="613" t="s">
        <v>137</v>
      </c>
      <c r="G74" s="614"/>
    </row>
    <row r="75" customHeight="1" spans="1:7">
      <c r="A75" s="609" t="s">
        <v>165</v>
      </c>
      <c r="B75" s="629" t="s">
        <v>166</v>
      </c>
      <c r="C75" s="538"/>
      <c r="D75" s="614"/>
      <c r="E75" s="612" t="s">
        <v>140</v>
      </c>
      <c r="F75" s="613" t="s">
        <v>167</v>
      </c>
      <c r="G75" s="614"/>
    </row>
    <row r="76" customHeight="1" spans="1:7">
      <c r="A76" s="609" t="s">
        <v>168</v>
      </c>
      <c r="B76" s="610" t="s">
        <v>169</v>
      </c>
      <c r="C76" s="541"/>
      <c r="D76" s="547"/>
      <c r="E76" s="612" t="s">
        <v>144</v>
      </c>
      <c r="F76" s="613"/>
      <c r="G76" s="614"/>
    </row>
    <row r="77" customHeight="1" spans="1:7">
      <c r="A77" s="609" t="s">
        <v>170</v>
      </c>
      <c r="B77" s="618" t="s">
        <v>171</v>
      </c>
      <c r="C77" s="535"/>
      <c r="D77" s="580"/>
      <c r="E77" s="620" t="s">
        <v>147</v>
      </c>
      <c r="F77" s="621"/>
      <c r="G77" s="592"/>
    </row>
    <row r="78" customHeight="1" spans="1:7">
      <c r="A78" s="609" t="s">
        <v>172</v>
      </c>
      <c r="B78" s="629" t="s">
        <v>173</v>
      </c>
      <c r="C78" s="538"/>
      <c r="D78" s="614"/>
      <c r="E78" s="606"/>
      <c r="F78" s="624" t="s">
        <v>174</v>
      </c>
      <c r="G78" s="625"/>
    </row>
    <row r="79" customHeight="1" spans="1:7">
      <c r="A79" s="609" t="s">
        <v>175</v>
      </c>
      <c r="B79" s="610" t="s">
        <v>176</v>
      </c>
      <c r="C79" s="541"/>
      <c r="D79" s="547"/>
      <c r="E79" s="612" t="s">
        <v>136</v>
      </c>
      <c r="F79" s="613" t="s">
        <v>177</v>
      </c>
      <c r="G79" s="614"/>
    </row>
    <row r="80" customHeight="1" spans="1:7">
      <c r="A80" s="609" t="s">
        <v>178</v>
      </c>
      <c r="B80" s="618" t="s">
        <v>179</v>
      </c>
      <c r="C80" s="535"/>
      <c r="D80" s="580"/>
      <c r="E80" s="612" t="s">
        <v>140</v>
      </c>
      <c r="F80" s="613"/>
      <c r="G80" s="614"/>
    </row>
    <row r="81" customHeight="1" spans="1:7">
      <c r="A81" s="609" t="s">
        <v>180</v>
      </c>
      <c r="B81" s="610" t="s">
        <v>181</v>
      </c>
      <c r="C81" s="541"/>
      <c r="D81" s="547"/>
      <c r="E81" s="612" t="s">
        <v>144</v>
      </c>
      <c r="F81" s="613"/>
      <c r="G81" s="614"/>
    </row>
    <row r="82" customHeight="1" spans="1:7">
      <c r="A82" s="609" t="s">
        <v>182</v>
      </c>
      <c r="B82" s="618" t="s">
        <v>183</v>
      </c>
      <c r="C82" s="535"/>
      <c r="D82" s="580"/>
      <c r="E82" s="630" t="s">
        <v>147</v>
      </c>
      <c r="F82" s="621"/>
      <c r="G82" s="592"/>
    </row>
    <row r="83" customHeight="1" spans="1:5">
      <c r="A83" s="609" t="s">
        <v>184</v>
      </c>
      <c r="B83" s="610" t="s">
        <v>185</v>
      </c>
      <c r="C83" s="541"/>
      <c r="D83" s="547"/>
      <c r="E83" s="505" t="s">
        <v>185</v>
      </c>
    </row>
    <row r="84" customHeight="1" spans="1:5">
      <c r="A84" s="609" t="s">
        <v>186</v>
      </c>
      <c r="B84" s="616" t="s">
        <v>187</v>
      </c>
      <c r="C84" s="532"/>
      <c r="D84" s="533"/>
      <c r="E84" s="505" t="s">
        <v>187</v>
      </c>
    </row>
    <row r="85" customHeight="1" spans="1:5">
      <c r="A85" s="609" t="s">
        <v>188</v>
      </c>
      <c r="B85" s="616" t="s">
        <v>189</v>
      </c>
      <c r="C85" s="532"/>
      <c r="D85" s="533"/>
      <c r="E85" s="505" t="s">
        <v>189</v>
      </c>
    </row>
    <row r="86" customHeight="1" spans="1:5">
      <c r="A86" s="609" t="s">
        <v>190</v>
      </c>
      <c r="B86" s="616" t="s">
        <v>191</v>
      </c>
      <c r="C86" s="532"/>
      <c r="D86" s="533"/>
      <c r="E86" s="505" t="s">
        <v>191</v>
      </c>
    </row>
    <row r="87" customHeight="1" spans="1:5">
      <c r="A87" s="609" t="s">
        <v>192</v>
      </c>
      <c r="B87" s="616" t="s">
        <v>76</v>
      </c>
      <c r="C87" s="532"/>
      <c r="D87" s="533"/>
      <c r="E87" s="505" t="s">
        <v>76</v>
      </c>
    </row>
    <row r="88" customHeight="1" spans="1:5">
      <c r="A88" s="609" t="s">
        <v>193</v>
      </c>
      <c r="B88" s="616" t="s">
        <v>194</v>
      </c>
      <c r="C88" s="532"/>
      <c r="D88" s="533"/>
      <c r="E88" s="505" t="s">
        <v>194</v>
      </c>
    </row>
    <row r="89" customHeight="1" spans="1:5">
      <c r="A89" s="609" t="s">
        <v>195</v>
      </c>
      <c r="B89" s="616" t="s">
        <v>196</v>
      </c>
      <c r="C89" s="532"/>
      <c r="D89" s="533"/>
      <c r="E89" s="505" t="s">
        <v>196</v>
      </c>
    </row>
    <row r="90" customHeight="1" spans="1:5">
      <c r="A90" s="609" t="s">
        <v>197</v>
      </c>
      <c r="B90" s="616" t="s">
        <v>198</v>
      </c>
      <c r="C90" s="532"/>
      <c r="D90" s="533"/>
      <c r="E90" s="505" t="s">
        <v>198</v>
      </c>
    </row>
    <row r="91" customHeight="1" spans="1:5">
      <c r="A91" s="609" t="s">
        <v>199</v>
      </c>
      <c r="B91" s="616" t="s">
        <v>200</v>
      </c>
      <c r="C91" s="532"/>
      <c r="D91" s="533"/>
      <c r="E91" s="505" t="s">
        <v>200</v>
      </c>
    </row>
    <row r="92" customHeight="1" spans="1:5">
      <c r="A92" s="609" t="s">
        <v>201</v>
      </c>
      <c r="B92" s="616" t="s">
        <v>202</v>
      </c>
      <c r="C92" s="532"/>
      <c r="D92" s="533"/>
      <c r="E92" s="505" t="s">
        <v>202</v>
      </c>
    </row>
    <row r="93" customHeight="1" spans="1:5">
      <c r="A93" s="609" t="s">
        <v>203</v>
      </c>
      <c r="B93" s="616" t="s">
        <v>204</v>
      </c>
      <c r="C93" s="532"/>
      <c r="D93" s="533"/>
      <c r="E93" s="505" t="s">
        <v>204</v>
      </c>
    </row>
    <row r="94" customHeight="1" spans="1:5">
      <c r="A94" s="609" t="s">
        <v>205</v>
      </c>
      <c r="B94" s="616" t="s">
        <v>206</v>
      </c>
      <c r="C94" s="532"/>
      <c r="D94" s="533"/>
      <c r="E94" s="505" t="s">
        <v>206</v>
      </c>
    </row>
    <row r="95" customHeight="1" spans="1:5">
      <c r="A95" s="609" t="s">
        <v>207</v>
      </c>
      <c r="B95" s="616" t="s">
        <v>208</v>
      </c>
      <c r="C95" s="532"/>
      <c r="D95" s="533"/>
      <c r="E95" s="505" t="s">
        <v>208</v>
      </c>
    </row>
    <row r="96" customHeight="1" spans="1:5">
      <c r="A96" s="609" t="s">
        <v>209</v>
      </c>
      <c r="B96" s="616" t="s">
        <v>210</v>
      </c>
      <c r="C96" s="532"/>
      <c r="D96" s="533"/>
      <c r="E96" s="505" t="s">
        <v>210</v>
      </c>
    </row>
    <row r="97" customHeight="1" spans="1:5">
      <c r="A97" s="609" t="s">
        <v>211</v>
      </c>
      <c r="B97" s="616" t="s">
        <v>212</v>
      </c>
      <c r="C97" s="532"/>
      <c r="D97" s="533"/>
      <c r="E97" s="505" t="s">
        <v>212</v>
      </c>
    </row>
    <row r="98" customHeight="1" spans="1:5">
      <c r="A98" s="609" t="s">
        <v>213</v>
      </c>
      <c r="B98" s="616" t="s">
        <v>129</v>
      </c>
      <c r="C98" s="532"/>
      <c r="D98" s="533"/>
      <c r="E98" s="505" t="s">
        <v>129</v>
      </c>
    </row>
    <row r="99" customHeight="1" spans="1:5">
      <c r="A99" s="631" t="s">
        <v>214</v>
      </c>
      <c r="B99" s="622" t="s">
        <v>215</v>
      </c>
      <c r="C99" s="549"/>
      <c r="D99" s="550"/>
      <c r="E99" s="505" t="s">
        <v>215</v>
      </c>
    </row>
    <row r="100" customHeight="1" spans="1:5">
      <c r="A100" s="632" t="s">
        <v>216</v>
      </c>
      <c r="B100" s="633" t="s">
        <v>217</v>
      </c>
      <c r="C100" s="634"/>
      <c r="D100" s="635"/>
      <c r="E100" s="505" t="s">
        <v>217</v>
      </c>
    </row>
    <row r="101" customHeight="1" spans="1:5">
      <c r="A101" s="636" t="s">
        <v>218</v>
      </c>
      <c r="B101" s="637" t="s">
        <v>219</v>
      </c>
      <c r="C101" s="638"/>
      <c r="D101" s="639"/>
      <c r="E101" s="505" t="s">
        <v>220</v>
      </c>
    </row>
    <row r="102" customHeight="1" spans="1:7">
      <c r="A102" s="640" t="s">
        <v>136</v>
      </c>
      <c r="B102" s="624" t="s">
        <v>220</v>
      </c>
      <c r="C102" s="641">
        <f>SUM(G64:G67)</f>
        <v>0</v>
      </c>
      <c r="D102" s="642"/>
      <c r="E102" s="643" t="s">
        <v>221</v>
      </c>
      <c r="F102" s="644" t="s">
        <v>222</v>
      </c>
      <c r="G102" s="645">
        <f>SUM(D12:D58)+SUM(D63:D100)</f>
        <v>0</v>
      </c>
    </row>
    <row r="103" ht="19.95" customHeight="1" spans="1:7">
      <c r="A103" s="640" t="s">
        <v>140</v>
      </c>
      <c r="B103" s="624" t="s">
        <v>223</v>
      </c>
      <c r="C103" s="641">
        <f>SUM(G69:G72)</f>
        <v>0</v>
      </c>
      <c r="D103" s="642"/>
      <c r="E103" s="646"/>
      <c r="F103" s="647" t="s">
        <v>224</v>
      </c>
      <c r="G103" s="648">
        <f>SUM(C12:C100)</f>
        <v>0</v>
      </c>
    </row>
    <row r="104" ht="18" customHeight="1" spans="1:7">
      <c r="A104" s="640" t="s">
        <v>144</v>
      </c>
      <c r="B104" s="624" t="s">
        <v>225</v>
      </c>
      <c r="C104" s="641">
        <f>G105+C102-C103</f>
        <v>0</v>
      </c>
      <c r="D104" s="642"/>
      <c r="E104" s="649"/>
      <c r="F104" s="647"/>
      <c r="G104" s="648"/>
    </row>
    <row r="105" customHeight="1" spans="1:7">
      <c r="A105" s="640" t="s">
        <v>147</v>
      </c>
      <c r="B105" s="624" t="s">
        <v>226</v>
      </c>
      <c r="C105" s="641">
        <f>SUM(G74:G77)</f>
        <v>0</v>
      </c>
      <c r="D105" s="642"/>
      <c r="E105" s="649"/>
      <c r="F105" s="647" t="s">
        <v>227</v>
      </c>
      <c r="G105" s="648">
        <f>C7-G103</f>
        <v>0</v>
      </c>
    </row>
    <row r="106" ht="15.75" customHeight="1" spans="1:7">
      <c r="A106" s="650" t="s">
        <v>228</v>
      </c>
      <c r="B106" s="651" t="s">
        <v>229</v>
      </c>
      <c r="C106" s="652">
        <f>SUM(G79:G82)</f>
        <v>0</v>
      </c>
      <c r="D106" s="653"/>
      <c r="E106" s="654"/>
      <c r="F106" s="655" t="s">
        <v>230</v>
      </c>
      <c r="G106" s="656">
        <f>C104+C105-C106</f>
        <v>0</v>
      </c>
    </row>
    <row r="108" customHeight="1" spans="1:3">
      <c r="A108" s="657"/>
      <c r="B108" s="657"/>
      <c r="C108" s="658"/>
    </row>
    <row r="109" customHeight="1" spans="1:3">
      <c r="A109" s="657"/>
      <c r="B109" s="657"/>
      <c r="C109" s="658"/>
    </row>
    <row r="110" customHeight="1" spans="1:3">
      <c r="A110" s="659"/>
      <c r="B110" s="657"/>
      <c r="C110" s="658"/>
    </row>
    <row r="111" customHeight="1" spans="1:3">
      <c r="A111" s="659"/>
      <c r="B111" s="657"/>
      <c r="C111" s="658"/>
    </row>
    <row r="112" customHeight="1" spans="1:3">
      <c r="A112" s="659"/>
      <c r="B112" s="657"/>
      <c r="C112" s="658"/>
    </row>
    <row r="116" customHeight="1" spans="5:5">
      <c r="E116" s="505"/>
    </row>
    <row r="117" customHeight="1" spans="5:5">
      <c r="E117" s="505"/>
    </row>
    <row r="118" customHeight="1" spans="5:5">
      <c r="E118" s="505"/>
    </row>
    <row r="119" customHeight="1" spans="5:5">
      <c r="E119" s="505"/>
    </row>
    <row r="120" customHeight="1" spans="5:5">
      <c r="E120" s="505"/>
    </row>
  </sheetData>
  <sheetProtection algorithmName="SHA-512" hashValue="wnDEO8xH12Hf6rOICT44r3qYff2JlzvZ2e5GvjbFfsd+Jwn2ooFsT9e5R/YQ8Jpxd1VDUQ3XYc4n9Z5//zkjfA==" saltValue="yNyFxVVUrl43SkiPyD5jGA==" spinCount="100000" sheet="1" objects="1" scenarios="1"/>
  <mergeCells count="3">
    <mergeCell ref="A1:B1"/>
    <mergeCell ref="C1:E1"/>
    <mergeCell ref="E3:G3"/>
  </mergeCells>
  <dataValidations count="2">
    <dataValidation type="list" allowBlank="1" showInputMessage="1" showErrorMessage="1" sqref="E5">
      <formula1>単位</formula1>
    </dataValidation>
    <dataValidation type="decimal" operator="between" allowBlank="1" showInputMessage="1" showErrorMessage="1" errorTitle="粗利益率は、小数点以下3桁で入力してください" error="＜例＞&#10;粗利益率55.5％の場合「0.555」と入力" sqref="C8 D9:D11" errorStyle="warning">
      <formula1>0.001</formula1>
      <formula2>1.001</formula2>
    </dataValidation>
  </dataValidations>
  <pageMargins left="0.7" right="0.7" top="0.75" bottom="0.75" header="0.3" footer="0.3"/>
  <pageSetup paperSize="8" scale="63"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B1:U36"/>
  <sheetViews>
    <sheetView view="pageBreakPreview" zoomScale="90" zoomScaleNormal="90" workbookViewId="0">
      <selection activeCell="F3" sqref="F3:I12"/>
    </sheetView>
  </sheetViews>
  <sheetFormatPr defaultColWidth="9" defaultRowHeight="15"/>
  <cols>
    <col min="1" max="1" width="3.4" customWidth="1"/>
    <col min="7" max="7" width="15.5047619047619" customWidth="1"/>
    <col min="9" max="9" width="15" customWidth="1"/>
    <col min="10" max="11" width="3.5047619047619" customWidth="1"/>
  </cols>
  <sheetData>
    <row r="1" spans="2:2">
      <c r="B1">
        <f>スタート!C1</f>
        <v>0</v>
      </c>
    </row>
    <row r="2" ht="49.2" customHeight="1" spans="2:21">
      <c r="B2" s="350" t="s">
        <v>231</v>
      </c>
      <c r="C2" s="350"/>
      <c r="D2" s="350"/>
      <c r="E2" s="350"/>
      <c r="F2" s="350"/>
      <c r="G2" s="350"/>
      <c r="H2" s="350"/>
      <c r="I2" s="350"/>
      <c r="U2" t="s">
        <v>3</v>
      </c>
    </row>
    <row r="3" spans="2:20">
      <c r="B3" s="351">
        <f>スタート!C6</f>
        <v>0</v>
      </c>
      <c r="C3" s="436"/>
      <c r="D3" s="436"/>
      <c r="E3" s="437"/>
      <c r="F3" s="438">
        <f>スタート!G102</f>
        <v>0</v>
      </c>
      <c r="G3" s="439"/>
      <c r="H3" s="439"/>
      <c r="I3" s="460"/>
      <c r="L3" s="461"/>
      <c r="M3" s="462"/>
      <c r="N3" s="462"/>
      <c r="O3" s="463"/>
      <c r="P3" s="464" t="s">
        <v>232</v>
      </c>
      <c r="Q3" s="461"/>
      <c r="R3" s="462"/>
      <c r="S3" s="462"/>
      <c r="T3" s="463"/>
    </row>
    <row r="4" spans="2:20">
      <c r="B4" s="440"/>
      <c r="C4" s="441"/>
      <c r="D4" s="441"/>
      <c r="E4" s="442"/>
      <c r="F4" s="443"/>
      <c r="G4" s="444"/>
      <c r="H4" s="444"/>
      <c r="I4" s="465"/>
      <c r="L4" s="466"/>
      <c r="M4" s="467"/>
      <c r="N4" s="467"/>
      <c r="O4" s="468"/>
      <c r="P4" s="469"/>
      <c r="Q4" s="466"/>
      <c r="R4" s="467"/>
      <c r="S4" s="467"/>
      <c r="T4" s="468"/>
    </row>
    <row r="5" spans="2:20">
      <c r="B5" s="440"/>
      <c r="C5" s="441"/>
      <c r="D5" s="441"/>
      <c r="E5" s="442"/>
      <c r="F5" s="443"/>
      <c r="G5" s="444"/>
      <c r="H5" s="444"/>
      <c r="I5" s="465"/>
      <c r="L5" s="466"/>
      <c r="M5" s="467"/>
      <c r="N5" s="467"/>
      <c r="O5" s="468"/>
      <c r="P5" s="469"/>
      <c r="Q5" s="466"/>
      <c r="R5" s="467"/>
      <c r="S5" s="467"/>
      <c r="T5" s="468"/>
    </row>
    <row r="6" spans="2:20">
      <c r="B6" s="440"/>
      <c r="C6" s="441"/>
      <c r="D6" s="441"/>
      <c r="E6" s="442"/>
      <c r="F6" s="443"/>
      <c r="G6" s="444"/>
      <c r="H6" s="444"/>
      <c r="I6" s="465"/>
      <c r="L6" s="466"/>
      <c r="M6" s="467"/>
      <c r="N6" s="467"/>
      <c r="O6" s="468"/>
      <c r="P6" s="469"/>
      <c r="Q6" s="466"/>
      <c r="R6" s="467"/>
      <c r="S6" s="467"/>
      <c r="T6" s="468"/>
    </row>
    <row r="7" spans="2:20">
      <c r="B7" s="440"/>
      <c r="C7" s="441"/>
      <c r="D7" s="441"/>
      <c r="E7" s="442"/>
      <c r="F7" s="443"/>
      <c r="G7" s="444"/>
      <c r="H7" s="444"/>
      <c r="I7" s="465"/>
      <c r="L7" s="466"/>
      <c r="M7" s="467"/>
      <c r="N7" s="467"/>
      <c r="O7" s="468"/>
      <c r="P7" s="469"/>
      <c r="Q7" s="466"/>
      <c r="R7" s="467"/>
      <c r="S7" s="467"/>
      <c r="T7" s="468"/>
    </row>
    <row r="8" spans="2:20">
      <c r="B8" s="440"/>
      <c r="C8" s="441"/>
      <c r="D8" s="441"/>
      <c r="E8" s="442"/>
      <c r="F8" s="443"/>
      <c r="G8" s="444"/>
      <c r="H8" s="444"/>
      <c r="I8" s="465"/>
      <c r="L8" s="466"/>
      <c r="M8" s="467"/>
      <c r="N8" s="467"/>
      <c r="O8" s="468"/>
      <c r="P8" s="469"/>
      <c r="Q8" s="466"/>
      <c r="R8" s="467"/>
      <c r="S8" s="467"/>
      <c r="T8" s="468"/>
    </row>
    <row r="9" spans="2:20">
      <c r="B9" s="440"/>
      <c r="C9" s="441"/>
      <c r="D9" s="441"/>
      <c r="E9" s="442"/>
      <c r="F9" s="443"/>
      <c r="G9" s="444"/>
      <c r="H9" s="444"/>
      <c r="I9" s="465"/>
      <c r="L9" s="466"/>
      <c r="M9" s="467"/>
      <c r="N9" s="467"/>
      <c r="O9" s="468"/>
      <c r="P9" s="469"/>
      <c r="Q9" s="466"/>
      <c r="R9" s="467"/>
      <c r="S9" s="467"/>
      <c r="T9" s="468"/>
    </row>
    <row r="10" spans="2:20">
      <c r="B10" s="440"/>
      <c r="C10" s="441"/>
      <c r="D10" s="441"/>
      <c r="E10" s="442"/>
      <c r="F10" s="443"/>
      <c r="G10" s="444"/>
      <c r="H10" s="444"/>
      <c r="I10" s="465"/>
      <c r="L10" s="466"/>
      <c r="M10" s="467"/>
      <c r="N10" s="467"/>
      <c r="O10" s="468"/>
      <c r="P10" s="469"/>
      <c r="Q10" s="466"/>
      <c r="R10" s="467"/>
      <c r="S10" s="467"/>
      <c r="T10" s="468"/>
    </row>
    <row r="11" spans="2:20">
      <c r="B11" s="440"/>
      <c r="C11" s="441"/>
      <c r="D11" s="441"/>
      <c r="E11" s="442"/>
      <c r="F11" s="443"/>
      <c r="G11" s="444"/>
      <c r="H11" s="444"/>
      <c r="I11" s="465"/>
      <c r="L11" s="466"/>
      <c r="M11" s="467"/>
      <c r="N11" s="467"/>
      <c r="O11" s="468"/>
      <c r="P11" s="469"/>
      <c r="Q11" s="466"/>
      <c r="R11" s="467"/>
      <c r="S11" s="467"/>
      <c r="T11" s="468"/>
    </row>
    <row r="12" ht="15.75" spans="2:20">
      <c r="B12" s="440"/>
      <c r="C12" s="441"/>
      <c r="D12" s="441"/>
      <c r="E12" s="442"/>
      <c r="F12" s="445"/>
      <c r="G12" s="446"/>
      <c r="H12" s="446"/>
      <c r="I12" s="470"/>
      <c r="L12" s="471"/>
      <c r="M12" s="472"/>
      <c r="N12" s="472"/>
      <c r="O12" s="473"/>
      <c r="P12" s="474"/>
      <c r="Q12" s="471"/>
      <c r="R12" s="472"/>
      <c r="S12" s="472"/>
      <c r="T12" s="473"/>
    </row>
    <row r="13" ht="18.6" customHeight="1" spans="2:20">
      <c r="B13" s="447">
        <f>L3*Q3</f>
        <v>0</v>
      </c>
      <c r="C13" s="448"/>
      <c r="D13" s="448"/>
      <c r="E13" s="449"/>
      <c r="F13" s="450">
        <f>スタート!C7</f>
        <v>0</v>
      </c>
      <c r="G13" s="450"/>
      <c r="H13" s="450">
        <f>スタート!G103</f>
        <v>0</v>
      </c>
      <c r="I13" s="450"/>
      <c r="L13" s="475"/>
      <c r="M13" s="476"/>
      <c r="N13" s="476"/>
      <c r="O13" s="477"/>
      <c r="P13" s="464" t="s">
        <v>232</v>
      </c>
      <c r="Q13" s="461"/>
      <c r="R13" s="462"/>
      <c r="S13" s="462"/>
      <c r="T13" s="463"/>
    </row>
    <row r="14" ht="18.6" customHeight="1" spans="2:20">
      <c r="B14" s="451"/>
      <c r="C14" s="452"/>
      <c r="D14" s="452"/>
      <c r="E14" s="453"/>
      <c r="F14" s="450"/>
      <c r="G14" s="450"/>
      <c r="H14" s="450"/>
      <c r="I14" s="450"/>
      <c r="L14" s="478"/>
      <c r="M14" s="479"/>
      <c r="N14" s="479"/>
      <c r="O14" s="480"/>
      <c r="P14" s="469"/>
      <c r="Q14" s="466"/>
      <c r="R14" s="467"/>
      <c r="S14" s="467"/>
      <c r="T14" s="468"/>
    </row>
    <row r="15" ht="18.6" customHeight="1" spans="2:20">
      <c r="B15" s="451"/>
      <c r="C15" s="452"/>
      <c r="D15" s="452"/>
      <c r="E15" s="453"/>
      <c r="F15" s="450"/>
      <c r="G15" s="450"/>
      <c r="H15" s="450"/>
      <c r="I15" s="450"/>
      <c r="L15" s="478"/>
      <c r="M15" s="479"/>
      <c r="N15" s="479"/>
      <c r="O15" s="480"/>
      <c r="P15" s="469"/>
      <c r="Q15" s="466"/>
      <c r="R15" s="467"/>
      <c r="S15" s="467"/>
      <c r="T15" s="468"/>
    </row>
    <row r="16" ht="18.6" customHeight="1" spans="2:20">
      <c r="B16" s="451"/>
      <c r="C16" s="452"/>
      <c r="D16" s="452"/>
      <c r="E16" s="453"/>
      <c r="F16" s="450"/>
      <c r="G16" s="450"/>
      <c r="H16" s="450"/>
      <c r="I16" s="450"/>
      <c r="L16" s="478"/>
      <c r="M16" s="479"/>
      <c r="N16" s="479"/>
      <c r="O16" s="480"/>
      <c r="P16" s="469"/>
      <c r="Q16" s="466"/>
      <c r="R16" s="467"/>
      <c r="S16" s="467"/>
      <c r="T16" s="468"/>
    </row>
    <row r="17" ht="18.6" customHeight="1" spans="2:20">
      <c r="B17" s="451"/>
      <c r="C17" s="452"/>
      <c r="D17" s="452"/>
      <c r="E17" s="453"/>
      <c r="F17" s="450"/>
      <c r="G17" s="450"/>
      <c r="H17" s="450"/>
      <c r="I17" s="450"/>
      <c r="L17" s="478"/>
      <c r="M17" s="479"/>
      <c r="N17" s="479"/>
      <c r="O17" s="480"/>
      <c r="P17" s="469"/>
      <c r="Q17" s="466"/>
      <c r="R17" s="467"/>
      <c r="S17" s="467"/>
      <c r="T17" s="468"/>
    </row>
    <row r="18" ht="18.6" customHeight="1" spans="2:20">
      <c r="B18" s="451"/>
      <c r="C18" s="452"/>
      <c r="D18" s="452"/>
      <c r="E18" s="453"/>
      <c r="F18" s="450"/>
      <c r="G18" s="450"/>
      <c r="H18" s="450">
        <f>スタート!G105+スタート!C102-スタート!C103+スタート!C105-スタート!C106</f>
        <v>0</v>
      </c>
      <c r="I18" s="450"/>
      <c r="L18" s="478"/>
      <c r="M18" s="479"/>
      <c r="N18" s="479"/>
      <c r="O18" s="480"/>
      <c r="P18" s="469"/>
      <c r="Q18" s="466"/>
      <c r="R18" s="467"/>
      <c r="S18" s="467"/>
      <c r="T18" s="468"/>
    </row>
    <row r="19" ht="18.6" customHeight="1" spans="2:20">
      <c r="B19" s="451"/>
      <c r="C19" s="452"/>
      <c r="D19" s="452"/>
      <c r="E19" s="453"/>
      <c r="F19" s="450"/>
      <c r="G19" s="450"/>
      <c r="H19" s="450"/>
      <c r="I19" s="450"/>
      <c r="L19" s="478"/>
      <c r="M19" s="479"/>
      <c r="N19" s="479"/>
      <c r="O19" s="480"/>
      <c r="P19" s="469"/>
      <c r="Q19" s="466"/>
      <c r="R19" s="467"/>
      <c r="S19" s="467"/>
      <c r="T19" s="468"/>
    </row>
    <row r="20" ht="18.6" customHeight="1" spans="2:20">
      <c r="B20" s="451"/>
      <c r="C20" s="452"/>
      <c r="D20" s="452"/>
      <c r="E20" s="453"/>
      <c r="F20" s="450"/>
      <c r="G20" s="450"/>
      <c r="H20" s="450"/>
      <c r="I20" s="450"/>
      <c r="L20" s="478"/>
      <c r="M20" s="479"/>
      <c r="N20" s="479"/>
      <c r="O20" s="480"/>
      <c r="P20" s="469"/>
      <c r="Q20" s="466"/>
      <c r="R20" s="467"/>
      <c r="S20" s="467"/>
      <c r="T20" s="468"/>
    </row>
    <row r="21" ht="18.6" customHeight="1" spans="2:20">
      <c r="B21" s="451"/>
      <c r="C21" s="452"/>
      <c r="D21" s="452"/>
      <c r="E21" s="453"/>
      <c r="F21" s="450"/>
      <c r="G21" s="450"/>
      <c r="H21" s="450"/>
      <c r="I21" s="450"/>
      <c r="L21" s="478"/>
      <c r="M21" s="479"/>
      <c r="N21" s="479"/>
      <c r="O21" s="480"/>
      <c r="P21" s="469"/>
      <c r="Q21" s="466"/>
      <c r="R21" s="467"/>
      <c r="S21" s="467"/>
      <c r="T21" s="468"/>
    </row>
    <row r="22" ht="18.6" customHeight="1" spans="2:20">
      <c r="B22" s="454"/>
      <c r="C22" s="455"/>
      <c r="D22" s="455"/>
      <c r="E22" s="456"/>
      <c r="F22" s="450"/>
      <c r="G22" s="450"/>
      <c r="H22" s="450"/>
      <c r="I22" s="450"/>
      <c r="L22" s="481"/>
      <c r="M22" s="482"/>
      <c r="N22" s="482"/>
      <c r="O22" s="483"/>
      <c r="P22" s="474"/>
      <c r="Q22" s="471"/>
      <c r="R22" s="472"/>
      <c r="S22" s="472"/>
      <c r="T22" s="473"/>
    </row>
    <row r="24" spans="2:20">
      <c r="B24" s="457" t="s">
        <v>233</v>
      </c>
      <c r="C24" s="12"/>
      <c r="D24" s="12"/>
      <c r="E24" s="12"/>
      <c r="F24" s="12"/>
      <c r="G24" s="12"/>
      <c r="H24" s="12"/>
      <c r="I24" s="12"/>
      <c r="J24" s="12"/>
      <c r="K24" s="12"/>
      <c r="L24" s="12"/>
      <c r="M24" s="12"/>
      <c r="N24" s="12"/>
      <c r="O24" s="12"/>
      <c r="P24" s="12"/>
      <c r="Q24" s="12"/>
      <c r="R24" s="12"/>
      <c r="S24" s="12"/>
      <c r="T24" s="407"/>
    </row>
    <row r="25" spans="2:20">
      <c r="B25" s="458"/>
      <c r="C25" s="13"/>
      <c r="D25" s="13"/>
      <c r="E25" s="13"/>
      <c r="F25" s="13"/>
      <c r="G25" s="13"/>
      <c r="H25" s="13"/>
      <c r="I25" s="13"/>
      <c r="J25" s="13"/>
      <c r="K25" s="13"/>
      <c r="L25" s="13"/>
      <c r="M25" s="13"/>
      <c r="N25" s="13"/>
      <c r="O25" s="13"/>
      <c r="P25" s="13"/>
      <c r="Q25" s="13"/>
      <c r="R25" s="13"/>
      <c r="S25" s="13"/>
      <c r="T25" s="408"/>
    </row>
    <row r="26" spans="2:20">
      <c r="B26" s="458"/>
      <c r="C26" s="13"/>
      <c r="D26" s="13"/>
      <c r="E26" s="13"/>
      <c r="F26" s="13"/>
      <c r="G26" s="13"/>
      <c r="H26" s="13"/>
      <c r="I26" s="13"/>
      <c r="J26" s="13"/>
      <c r="K26" s="13"/>
      <c r="L26" s="13"/>
      <c r="M26" s="13"/>
      <c r="N26" s="13"/>
      <c r="O26" s="13"/>
      <c r="P26" s="13"/>
      <c r="Q26" s="13"/>
      <c r="R26" s="13"/>
      <c r="S26" s="13"/>
      <c r="T26" s="408"/>
    </row>
    <row r="27" spans="2:20">
      <c r="B27" s="458"/>
      <c r="C27" s="13"/>
      <c r="D27" s="13"/>
      <c r="E27" s="13"/>
      <c r="F27" s="13"/>
      <c r="G27" s="13"/>
      <c r="H27" s="13"/>
      <c r="I27" s="13"/>
      <c r="J27" s="13"/>
      <c r="K27" s="13"/>
      <c r="L27" s="13"/>
      <c r="M27" s="13"/>
      <c r="N27" s="13"/>
      <c r="O27" s="13"/>
      <c r="P27" s="13"/>
      <c r="Q27" s="13"/>
      <c r="R27" s="13"/>
      <c r="S27" s="13"/>
      <c r="T27" s="408"/>
    </row>
    <row r="28" spans="2:20">
      <c r="B28" s="458"/>
      <c r="C28" s="13"/>
      <c r="D28" s="13"/>
      <c r="E28" s="13"/>
      <c r="F28" s="13"/>
      <c r="G28" s="13"/>
      <c r="H28" s="13"/>
      <c r="I28" s="13"/>
      <c r="J28" s="13"/>
      <c r="K28" s="13"/>
      <c r="L28" s="13"/>
      <c r="M28" s="13"/>
      <c r="N28" s="13"/>
      <c r="O28" s="13"/>
      <c r="P28" s="13"/>
      <c r="Q28" s="13"/>
      <c r="R28" s="13"/>
      <c r="S28" s="13"/>
      <c r="T28" s="408"/>
    </row>
    <row r="29" spans="2:20">
      <c r="B29" s="458"/>
      <c r="C29" s="13"/>
      <c r="D29" s="13"/>
      <c r="E29" s="13"/>
      <c r="F29" s="13"/>
      <c r="G29" s="13"/>
      <c r="H29" s="13"/>
      <c r="I29" s="13"/>
      <c r="J29" s="13"/>
      <c r="K29" s="13"/>
      <c r="L29" s="13"/>
      <c r="M29" s="13"/>
      <c r="N29" s="13"/>
      <c r="O29" s="13"/>
      <c r="P29" s="13"/>
      <c r="Q29" s="13"/>
      <c r="R29" s="13"/>
      <c r="S29" s="13"/>
      <c r="T29" s="408"/>
    </row>
    <row r="30" spans="2:20">
      <c r="B30" s="458"/>
      <c r="C30" s="13"/>
      <c r="D30" s="13"/>
      <c r="E30" s="13"/>
      <c r="F30" s="13"/>
      <c r="G30" s="13"/>
      <c r="H30" s="13"/>
      <c r="I30" s="13"/>
      <c r="J30" s="13"/>
      <c r="K30" s="13"/>
      <c r="L30" s="13"/>
      <c r="M30" s="13"/>
      <c r="N30" s="13"/>
      <c r="O30" s="13"/>
      <c r="P30" s="13"/>
      <c r="Q30" s="13"/>
      <c r="R30" s="13"/>
      <c r="S30" s="13"/>
      <c r="T30" s="408"/>
    </row>
    <row r="31" spans="2:20">
      <c r="B31" s="458"/>
      <c r="C31" s="13"/>
      <c r="D31" s="13"/>
      <c r="E31" s="13"/>
      <c r="F31" s="13"/>
      <c r="G31" s="13"/>
      <c r="H31" s="13"/>
      <c r="I31" s="13"/>
      <c r="J31" s="13"/>
      <c r="K31" s="13"/>
      <c r="L31" s="13"/>
      <c r="M31" s="13"/>
      <c r="N31" s="13"/>
      <c r="O31" s="13"/>
      <c r="P31" s="13"/>
      <c r="Q31" s="13"/>
      <c r="R31" s="13"/>
      <c r="S31" s="13"/>
      <c r="T31" s="408"/>
    </row>
    <row r="32" spans="2:20">
      <c r="B32" s="458"/>
      <c r="C32" s="13"/>
      <c r="D32" s="13"/>
      <c r="E32" s="13"/>
      <c r="F32" s="13"/>
      <c r="G32" s="13"/>
      <c r="H32" s="13"/>
      <c r="I32" s="13"/>
      <c r="J32" s="13"/>
      <c r="K32" s="13"/>
      <c r="L32" s="13"/>
      <c r="M32" s="13"/>
      <c r="N32" s="13"/>
      <c r="O32" s="13"/>
      <c r="P32" s="13"/>
      <c r="Q32" s="13"/>
      <c r="R32" s="13"/>
      <c r="S32" s="13"/>
      <c r="T32" s="408"/>
    </row>
    <row r="33" spans="2:20">
      <c r="B33" s="458"/>
      <c r="C33" s="13"/>
      <c r="D33" s="13"/>
      <c r="E33" s="13"/>
      <c r="F33" s="13"/>
      <c r="G33" s="13"/>
      <c r="H33" s="13"/>
      <c r="I33" s="13"/>
      <c r="J33" s="13"/>
      <c r="K33" s="13"/>
      <c r="L33" s="13"/>
      <c r="M33" s="13"/>
      <c r="N33" s="13"/>
      <c r="O33" s="13"/>
      <c r="P33" s="13"/>
      <c r="Q33" s="13"/>
      <c r="R33" s="13"/>
      <c r="S33" s="13"/>
      <c r="T33" s="408"/>
    </row>
    <row r="34" spans="2:20">
      <c r="B34" s="458"/>
      <c r="C34" s="13"/>
      <c r="D34" s="13"/>
      <c r="E34" s="13"/>
      <c r="F34" s="13"/>
      <c r="G34" s="13"/>
      <c r="H34" s="13"/>
      <c r="I34" s="13"/>
      <c r="J34" s="13"/>
      <c r="K34" s="13"/>
      <c r="L34" s="13"/>
      <c r="M34" s="13"/>
      <c r="N34" s="13"/>
      <c r="O34" s="13"/>
      <c r="P34" s="13"/>
      <c r="Q34" s="13"/>
      <c r="R34" s="13"/>
      <c r="S34" s="13"/>
      <c r="T34" s="408"/>
    </row>
    <row r="35" spans="2:20">
      <c r="B35" s="458"/>
      <c r="C35" s="13"/>
      <c r="D35" s="13"/>
      <c r="E35" s="13"/>
      <c r="F35" s="13"/>
      <c r="G35" s="13"/>
      <c r="H35" s="13"/>
      <c r="I35" s="13"/>
      <c r="J35" s="13"/>
      <c r="K35" s="13"/>
      <c r="L35" s="13"/>
      <c r="M35" s="13"/>
      <c r="N35" s="13"/>
      <c r="O35" s="13"/>
      <c r="P35" s="13"/>
      <c r="Q35" s="13"/>
      <c r="R35" s="13"/>
      <c r="S35" s="13"/>
      <c r="T35" s="408"/>
    </row>
    <row r="36" spans="2:20">
      <c r="B36" s="459"/>
      <c r="C36" s="406"/>
      <c r="D36" s="406"/>
      <c r="E36" s="406"/>
      <c r="F36" s="406"/>
      <c r="G36" s="406"/>
      <c r="H36" s="406"/>
      <c r="I36" s="406"/>
      <c r="J36" s="406"/>
      <c r="K36" s="406"/>
      <c r="L36" s="406"/>
      <c r="M36" s="406"/>
      <c r="N36" s="406"/>
      <c r="O36" s="406"/>
      <c r="P36" s="406"/>
      <c r="Q36" s="406"/>
      <c r="R36" s="406"/>
      <c r="S36" s="406"/>
      <c r="T36" s="409"/>
    </row>
  </sheetData>
  <sheetProtection algorithmName="SHA-512" hashValue="AmdMrWwwKJ2tX8/Y7+n8xbQpEO3ZfholejRvsYSKEAowx8oSVwMMZ9+CvVb6lp2UzafVuZRTX1VmDeQbAfQFlw==" saltValue="Pmmq5wONH5qJaqfYfM2mfg==" spinCount="100000" sheet="1" objects="1" scenarios="1"/>
  <mergeCells count="16">
    <mergeCell ref="B1:H1"/>
    <mergeCell ref="B2:I2"/>
    <mergeCell ref="B24:B36"/>
    <mergeCell ref="P3:P12"/>
    <mergeCell ref="P13:P22"/>
    <mergeCell ref="C24:T36"/>
    <mergeCell ref="Q13:T22"/>
    <mergeCell ref="H18:I22"/>
    <mergeCell ref="B3:E12"/>
    <mergeCell ref="F3:I12"/>
    <mergeCell ref="B13:E22"/>
    <mergeCell ref="L3:O12"/>
    <mergeCell ref="Q3:T12"/>
    <mergeCell ref="F13:G22"/>
    <mergeCell ref="H13:I17"/>
    <mergeCell ref="L13:O22"/>
  </mergeCells>
  <pageMargins left="0.7" right="0.7" top="0.75" bottom="0.75" header="0.3" footer="0.3"/>
  <pageSetup paperSize="8" orientation="landscape"/>
  <headerFooter/>
  <colBreaks count="1" manualBreakCount="1">
    <brk id="10" max="1048575" man="1"/>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P12"/>
  <sheetViews>
    <sheetView view="pageBreakPreview" zoomScale="90" zoomScaleNormal="100" workbookViewId="0">
      <selection activeCell="I7" sqref="I7:L7"/>
    </sheetView>
  </sheetViews>
  <sheetFormatPr defaultColWidth="9" defaultRowHeight="15"/>
  <cols>
    <col min="1" max="1" width="18.6952380952381" customWidth="1"/>
    <col min="6" max="6" width="8.69523809523809" customWidth="1"/>
    <col min="8" max="8" width="18.6952380952381" customWidth="1"/>
  </cols>
  <sheetData>
    <row r="1" spans="1:1">
      <c r="A1">
        <f>スタート!C1</f>
        <v>0</v>
      </c>
    </row>
    <row r="2" ht="66" customHeight="1" spans="1:16">
      <c r="A2" s="182" t="s">
        <v>234</v>
      </c>
      <c r="B2" s="182"/>
      <c r="C2" s="182"/>
      <c r="D2" s="182"/>
      <c r="E2" s="182"/>
      <c r="F2" s="182"/>
      <c r="G2" s="182"/>
      <c r="H2" s="182"/>
      <c r="I2" s="182"/>
      <c r="J2" s="182"/>
      <c r="K2" s="182"/>
      <c r="L2" s="182"/>
      <c r="M2" s="182"/>
      <c r="N2" s="182"/>
      <c r="O2" s="182"/>
      <c r="P2" t="s">
        <v>3</v>
      </c>
    </row>
    <row r="3" ht="47.25" spans="1:13">
      <c r="A3" s="410" t="s">
        <v>227</v>
      </c>
      <c r="B3" s="411"/>
      <c r="C3" s="412"/>
      <c r="D3" s="412"/>
      <c r="E3" s="413"/>
      <c r="F3" s="414" t="s">
        <v>235</v>
      </c>
      <c r="H3" s="415" t="s">
        <v>236</v>
      </c>
      <c r="I3" s="417"/>
      <c r="J3" s="418"/>
      <c r="K3" s="418"/>
      <c r="L3" s="419"/>
      <c r="M3" s="414" t="s">
        <v>235</v>
      </c>
    </row>
    <row r="4" ht="47.25" spans="1:13">
      <c r="A4" s="416" t="s">
        <v>220</v>
      </c>
      <c r="B4" s="417"/>
      <c r="C4" s="418"/>
      <c r="D4" s="418"/>
      <c r="E4" s="419"/>
      <c r="F4" s="414" t="s">
        <v>235</v>
      </c>
      <c r="H4" s="420" t="s">
        <v>237</v>
      </c>
      <c r="I4" s="417"/>
      <c r="J4" s="418"/>
      <c r="K4" s="418"/>
      <c r="L4" s="419"/>
      <c r="M4" s="414" t="s">
        <v>235</v>
      </c>
    </row>
    <row r="5" ht="47.25" spans="1:13">
      <c r="A5" s="421" t="s">
        <v>223</v>
      </c>
      <c r="B5" s="417"/>
      <c r="C5" s="418"/>
      <c r="D5" s="418"/>
      <c r="E5" s="419"/>
      <c r="F5" s="414" t="s">
        <v>235</v>
      </c>
      <c r="H5" s="410" t="s">
        <v>230</v>
      </c>
      <c r="I5" s="422">
        <f>B6+I3-I4</f>
        <v>0</v>
      </c>
      <c r="J5" s="423"/>
      <c r="K5" s="423"/>
      <c r="L5" s="424"/>
      <c r="M5" s="414" t="s">
        <v>235</v>
      </c>
    </row>
    <row r="6" ht="47.25" spans="1:6">
      <c r="A6" s="416" t="s">
        <v>225</v>
      </c>
      <c r="B6" s="422">
        <f>B3+B4-B5</f>
        <v>0</v>
      </c>
      <c r="C6" s="423"/>
      <c r="D6" s="423"/>
      <c r="E6" s="424"/>
      <c r="F6" s="414" t="s">
        <v>235</v>
      </c>
    </row>
    <row r="7" ht="47.25" spans="1:13">
      <c r="A7" s="425"/>
      <c r="B7" s="426"/>
      <c r="C7" s="427"/>
      <c r="D7" s="427"/>
      <c r="E7" s="427"/>
      <c r="F7" s="428"/>
      <c r="H7" s="429" t="s">
        <v>238</v>
      </c>
      <c r="I7" s="434" t="e">
        <f>I5/スタート!G106</f>
        <v>#DIV/0!</v>
      </c>
      <c r="J7" s="434"/>
      <c r="K7" s="434"/>
      <c r="L7" s="434"/>
      <c r="M7" s="435"/>
    </row>
    <row r="8" ht="46.5" spans="1:6">
      <c r="A8" s="430"/>
      <c r="B8" s="431"/>
      <c r="F8" s="432"/>
    </row>
    <row r="9" ht="46.5" spans="1:6">
      <c r="A9" s="433"/>
      <c r="B9" s="431"/>
      <c r="F9" s="432"/>
    </row>
    <row r="10" ht="46.5" spans="2:6">
      <c r="B10" s="431"/>
      <c r="C10" s="431"/>
      <c r="D10" s="431"/>
      <c r="E10" s="431"/>
      <c r="F10" s="432"/>
    </row>
    <row r="11" ht="46.5" spans="2:6">
      <c r="B11" s="431"/>
      <c r="C11" s="431"/>
      <c r="D11" s="431"/>
      <c r="E11" s="431"/>
      <c r="F11" s="432"/>
    </row>
    <row r="12" ht="46.5" spans="2:6">
      <c r="B12" s="431"/>
      <c r="C12" s="431"/>
      <c r="D12" s="431"/>
      <c r="E12" s="431"/>
      <c r="F12" s="432"/>
    </row>
  </sheetData>
  <sheetProtection algorithmName="SHA-512" hashValue="cMm+aySbFipwHdEIdI7DPtOs24AzX4S6j1giuZLTiqGzSjRb/8qbMy26ioGtv0Gx29ymLCM+HjXXpe/CkRSVjw==" saltValue="YuDaafVbL3aut8swd6Xx+w==" spinCount="100000" sheet="1" objects="1" scenarios="1"/>
  <mergeCells count="13">
    <mergeCell ref="A1:D1"/>
    <mergeCell ref="A2:O2"/>
    <mergeCell ref="B3:E3"/>
    <mergeCell ref="I3:L3"/>
    <mergeCell ref="B4:E4"/>
    <mergeCell ref="I4:L4"/>
    <mergeCell ref="B5:E5"/>
    <mergeCell ref="I5:L5"/>
    <mergeCell ref="B6:E6"/>
    <mergeCell ref="B7:E7"/>
    <mergeCell ref="I7:L7"/>
    <mergeCell ref="B8:E8"/>
    <mergeCell ref="B9:E9"/>
  </mergeCells>
  <pageMargins left="0.7" right="0.7" top="0.75" bottom="0.75" header="0.3" footer="0.3"/>
  <pageSetup paperSize="8"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B1:V39"/>
  <sheetViews>
    <sheetView view="pageBreakPreview" zoomScale="80" zoomScaleNormal="90" workbookViewId="0">
      <selection activeCell="AB13" sqref="AB13"/>
    </sheetView>
  </sheetViews>
  <sheetFormatPr defaultColWidth="9" defaultRowHeight="15"/>
  <cols>
    <col min="1" max="1" width="3.6952380952381" customWidth="1"/>
    <col min="6" max="6" width="10.8952380952381" customWidth="1"/>
    <col min="7" max="7" width="15.5047619047619" customWidth="1"/>
    <col min="8" max="8" width="13.0952380952381" customWidth="1"/>
    <col min="9" max="9" width="15" customWidth="1"/>
    <col min="10" max="11" width="3.5047619047619" customWidth="1"/>
  </cols>
  <sheetData>
    <row r="1" ht="15.75" spans="2:2">
      <c r="B1">
        <f>スタート!C1</f>
        <v>0</v>
      </c>
    </row>
    <row r="2" ht="49.2" customHeight="1" spans="2:22">
      <c r="B2" s="350" t="s">
        <v>239</v>
      </c>
      <c r="C2" s="350"/>
      <c r="D2" s="350"/>
      <c r="E2" s="350"/>
      <c r="F2" s="350"/>
      <c r="G2" s="350"/>
      <c r="H2" s="350"/>
      <c r="I2" s="350"/>
      <c r="L2" s="385" t="s">
        <v>240</v>
      </c>
      <c r="M2" s="385"/>
      <c r="N2" s="385"/>
      <c r="O2" s="385"/>
      <c r="P2" s="385"/>
      <c r="Q2" s="385" t="s">
        <v>241</v>
      </c>
      <c r="R2" s="385"/>
      <c r="S2" s="385"/>
      <c r="T2" s="385"/>
      <c r="V2" t="s">
        <v>3</v>
      </c>
    </row>
    <row r="3" spans="2:20">
      <c r="B3" s="351">
        <f>⑦原価詳細!F31/1000000</f>
        <v>0</v>
      </c>
      <c r="C3" s="352"/>
      <c r="D3" s="352"/>
      <c r="E3" s="353"/>
      <c r="F3" s="351">
        <f>'⑥製造（経費)'!I2</f>
        <v>0</v>
      </c>
      <c r="G3" s="354"/>
      <c r="H3" s="354"/>
      <c r="I3" s="366"/>
      <c r="J3" s="241"/>
      <c r="K3" s="241"/>
      <c r="L3" s="386" t="str">
        <f>⑦原価詳細!E31</f>
        <v/>
      </c>
      <c r="M3" s="387"/>
      <c r="N3" s="387"/>
      <c r="O3" s="388"/>
      <c r="P3" s="389" t="s">
        <v>232</v>
      </c>
      <c r="Q3" s="386">
        <f>⑦原価詳細!D31</f>
        <v>0</v>
      </c>
      <c r="R3" s="387"/>
      <c r="S3" s="387"/>
      <c r="T3" s="388"/>
    </row>
    <row r="4" spans="2:20">
      <c r="B4" s="355"/>
      <c r="C4" s="356"/>
      <c r="D4" s="356"/>
      <c r="E4" s="357"/>
      <c r="F4" s="358"/>
      <c r="G4" s="359"/>
      <c r="H4" s="359"/>
      <c r="I4" s="367"/>
      <c r="J4" s="241"/>
      <c r="K4" s="241"/>
      <c r="L4" s="390"/>
      <c r="M4" s="391"/>
      <c r="N4" s="391"/>
      <c r="O4" s="392"/>
      <c r="P4" s="393"/>
      <c r="Q4" s="390"/>
      <c r="R4" s="391"/>
      <c r="S4" s="391"/>
      <c r="T4" s="392"/>
    </row>
    <row r="5" spans="2:20">
      <c r="B5" s="355"/>
      <c r="C5" s="356"/>
      <c r="D5" s="356"/>
      <c r="E5" s="357"/>
      <c r="F5" s="358"/>
      <c r="G5" s="359"/>
      <c r="H5" s="359"/>
      <c r="I5" s="367"/>
      <c r="J5" s="241"/>
      <c r="K5" s="241"/>
      <c r="L5" s="390"/>
      <c r="M5" s="391"/>
      <c r="N5" s="391"/>
      <c r="O5" s="392"/>
      <c r="P5" s="393"/>
      <c r="Q5" s="390"/>
      <c r="R5" s="391"/>
      <c r="S5" s="391"/>
      <c r="T5" s="392"/>
    </row>
    <row r="6" spans="2:20">
      <c r="B6" s="355"/>
      <c r="C6" s="356"/>
      <c r="D6" s="356"/>
      <c r="E6" s="357"/>
      <c r="F6" s="358"/>
      <c r="G6" s="359"/>
      <c r="H6" s="359"/>
      <c r="I6" s="367"/>
      <c r="J6" s="241"/>
      <c r="K6" s="241"/>
      <c r="L6" s="390"/>
      <c r="M6" s="391"/>
      <c r="N6" s="391"/>
      <c r="O6" s="392"/>
      <c r="P6" s="393"/>
      <c r="Q6" s="390"/>
      <c r="R6" s="391"/>
      <c r="S6" s="391"/>
      <c r="T6" s="392"/>
    </row>
    <row r="7" spans="2:20">
      <c r="B7" s="355"/>
      <c r="C7" s="356"/>
      <c r="D7" s="356"/>
      <c r="E7" s="357"/>
      <c r="F7" s="358"/>
      <c r="G7" s="359"/>
      <c r="H7" s="359"/>
      <c r="I7" s="367"/>
      <c r="J7" s="241"/>
      <c r="K7" s="241"/>
      <c r="L7" s="390"/>
      <c r="M7" s="391"/>
      <c r="N7" s="391"/>
      <c r="O7" s="392"/>
      <c r="P7" s="393"/>
      <c r="Q7" s="390"/>
      <c r="R7" s="391"/>
      <c r="S7" s="391"/>
      <c r="T7" s="392"/>
    </row>
    <row r="8" spans="2:20">
      <c r="B8" s="355"/>
      <c r="C8" s="356"/>
      <c r="D8" s="356"/>
      <c r="E8" s="357"/>
      <c r="F8" s="358"/>
      <c r="G8" s="359"/>
      <c r="H8" s="359"/>
      <c r="I8" s="367"/>
      <c r="J8" s="241"/>
      <c r="K8" s="241"/>
      <c r="L8" s="390"/>
      <c r="M8" s="391"/>
      <c r="N8" s="391"/>
      <c r="O8" s="392"/>
      <c r="P8" s="393"/>
      <c r="Q8" s="390"/>
      <c r="R8" s="391"/>
      <c r="S8" s="391"/>
      <c r="T8" s="392"/>
    </row>
    <row r="9" spans="2:20">
      <c r="B9" s="355"/>
      <c r="C9" s="356"/>
      <c r="D9" s="356"/>
      <c r="E9" s="357"/>
      <c r="F9" s="358"/>
      <c r="G9" s="359"/>
      <c r="H9" s="359"/>
      <c r="I9" s="367"/>
      <c r="J9" s="241"/>
      <c r="K9" s="241"/>
      <c r="L9" s="390"/>
      <c r="M9" s="391"/>
      <c r="N9" s="391"/>
      <c r="O9" s="392"/>
      <c r="P9" s="393"/>
      <c r="Q9" s="390"/>
      <c r="R9" s="391"/>
      <c r="S9" s="391"/>
      <c r="T9" s="392"/>
    </row>
    <row r="10" ht="19.5" spans="2:20">
      <c r="B10" s="355"/>
      <c r="C10" s="356"/>
      <c r="D10" s="356"/>
      <c r="E10" s="357"/>
      <c r="F10" s="360"/>
      <c r="G10" s="361"/>
      <c r="H10" s="361"/>
      <c r="I10" s="394" t="e">
        <f>F3/B3</f>
        <v>#DIV/0!</v>
      </c>
      <c r="J10" s="241"/>
      <c r="K10" s="241"/>
      <c r="L10" s="390"/>
      <c r="M10" s="391"/>
      <c r="N10" s="391"/>
      <c r="O10" s="392"/>
      <c r="P10" s="393"/>
      <c r="Q10" s="390"/>
      <c r="R10" s="391"/>
      <c r="S10" s="391"/>
      <c r="T10" s="392"/>
    </row>
    <row r="11" spans="2:20">
      <c r="B11" s="355"/>
      <c r="C11" s="356"/>
      <c r="D11" s="356"/>
      <c r="E11" s="357"/>
      <c r="F11" s="362"/>
      <c r="G11" s="362"/>
      <c r="H11" s="363"/>
      <c r="I11" s="363"/>
      <c r="J11" s="241"/>
      <c r="K11" s="241"/>
      <c r="L11" s="390"/>
      <c r="M11" s="391"/>
      <c r="N11" s="391"/>
      <c r="O11" s="392"/>
      <c r="P11" s="393"/>
      <c r="Q11" s="390"/>
      <c r="R11" s="391"/>
      <c r="S11" s="391"/>
      <c r="T11" s="392"/>
    </row>
    <row r="12" ht="15.75" spans="2:20">
      <c r="B12" s="355"/>
      <c r="C12" s="356"/>
      <c r="D12" s="356"/>
      <c r="E12" s="357"/>
      <c r="F12" s="364"/>
      <c r="G12" s="364"/>
      <c r="H12" s="365"/>
      <c r="I12" s="365"/>
      <c r="J12" s="241"/>
      <c r="K12" s="241"/>
      <c r="L12" s="395"/>
      <c r="M12" s="396"/>
      <c r="N12" s="396"/>
      <c r="O12" s="397"/>
      <c r="P12" s="398"/>
      <c r="Q12" s="395"/>
      <c r="R12" s="396"/>
      <c r="S12" s="396"/>
      <c r="T12" s="397"/>
    </row>
    <row r="13" ht="18.6" customHeight="1" spans="2:20">
      <c r="B13" s="355"/>
      <c r="C13" s="356"/>
      <c r="D13" s="356"/>
      <c r="E13" s="357"/>
      <c r="F13" s="351">
        <f>B3-F3</f>
        <v>0</v>
      </c>
      <c r="G13" s="366"/>
      <c r="H13" s="351">
        <f>④経費!I2*1000000/1000000</f>
        <v>0</v>
      </c>
      <c r="I13" s="366"/>
      <c r="J13" s="241"/>
      <c r="K13" s="241"/>
      <c r="L13" s="386">
        <v>0</v>
      </c>
      <c r="M13" s="387"/>
      <c r="N13" s="387"/>
      <c r="O13" s="388"/>
      <c r="P13" s="389" t="s">
        <v>232</v>
      </c>
      <c r="Q13" s="386">
        <v>0</v>
      </c>
      <c r="R13" s="387"/>
      <c r="S13" s="387"/>
      <c r="T13" s="388"/>
    </row>
    <row r="14" ht="18.6" customHeight="1" spans="2:20">
      <c r="B14" s="355"/>
      <c r="C14" s="356"/>
      <c r="D14" s="356"/>
      <c r="E14" s="357"/>
      <c r="F14" s="358"/>
      <c r="G14" s="367"/>
      <c r="H14" s="358"/>
      <c r="I14" s="367"/>
      <c r="J14" s="241"/>
      <c r="K14" s="241"/>
      <c r="L14" s="390"/>
      <c r="M14" s="391"/>
      <c r="N14" s="391"/>
      <c r="O14" s="392"/>
      <c r="P14" s="393"/>
      <c r="Q14" s="390"/>
      <c r="R14" s="391"/>
      <c r="S14" s="391"/>
      <c r="T14" s="392"/>
    </row>
    <row r="15" ht="18.6" customHeight="1" spans="2:20">
      <c r="B15" s="355"/>
      <c r="C15" s="356"/>
      <c r="D15" s="356"/>
      <c r="E15" s="357"/>
      <c r="F15" s="358"/>
      <c r="G15" s="367"/>
      <c r="H15" s="358"/>
      <c r="I15" s="367"/>
      <c r="J15" s="241"/>
      <c r="K15" s="241"/>
      <c r="L15" s="390"/>
      <c r="M15" s="391"/>
      <c r="N15" s="391"/>
      <c r="O15" s="392"/>
      <c r="P15" s="393"/>
      <c r="Q15" s="390"/>
      <c r="R15" s="391"/>
      <c r="S15" s="391"/>
      <c r="T15" s="392"/>
    </row>
    <row r="16" ht="18.6" customHeight="1" spans="2:20">
      <c r="B16" s="355"/>
      <c r="C16" s="356"/>
      <c r="D16" s="356"/>
      <c r="E16" s="357"/>
      <c r="F16" s="368"/>
      <c r="G16" s="369" t="e">
        <f>F13/B3</f>
        <v>#DIV/0!</v>
      </c>
      <c r="H16" s="360"/>
      <c r="I16" s="394" t="e">
        <f>H13/B3</f>
        <v>#DIV/0!</v>
      </c>
      <c r="J16" s="241"/>
      <c r="K16" s="241"/>
      <c r="L16" s="390"/>
      <c r="M16" s="391"/>
      <c r="N16" s="391"/>
      <c r="O16" s="392"/>
      <c r="P16" s="393"/>
      <c r="Q16" s="390"/>
      <c r="R16" s="391"/>
      <c r="S16" s="391"/>
      <c r="T16" s="392"/>
    </row>
    <row r="17" ht="18.6" customHeight="1" spans="2:20">
      <c r="B17" s="355"/>
      <c r="C17" s="356"/>
      <c r="D17" s="356"/>
      <c r="E17" s="357"/>
      <c r="F17" s="370">
        <f>⑦原価詳細!B36/1000000-F13</f>
        <v>0</v>
      </c>
      <c r="G17" s="371"/>
      <c r="H17" s="372"/>
      <c r="I17" s="399"/>
      <c r="J17" s="241"/>
      <c r="K17" s="241"/>
      <c r="L17" s="390"/>
      <c r="M17" s="391"/>
      <c r="N17" s="391"/>
      <c r="O17" s="392"/>
      <c r="P17" s="393"/>
      <c r="Q17" s="390"/>
      <c r="R17" s="391"/>
      <c r="S17" s="391"/>
      <c r="T17" s="392"/>
    </row>
    <row r="18" ht="18.6" customHeight="1" spans="2:20">
      <c r="B18" s="355"/>
      <c r="C18" s="356"/>
      <c r="D18" s="356"/>
      <c r="E18" s="357"/>
      <c r="F18" s="373"/>
      <c r="G18" s="374"/>
      <c r="H18" s="375">
        <f>F13-H13</f>
        <v>0</v>
      </c>
      <c r="I18" s="400"/>
      <c r="J18" s="241"/>
      <c r="K18" s="241"/>
      <c r="L18" s="390"/>
      <c r="M18" s="391"/>
      <c r="N18" s="391"/>
      <c r="O18" s="392"/>
      <c r="P18" s="393"/>
      <c r="Q18" s="390"/>
      <c r="R18" s="391"/>
      <c r="S18" s="391"/>
      <c r="T18" s="392"/>
    </row>
    <row r="19" ht="18.6" customHeight="1" spans="2:20">
      <c r="B19" s="355"/>
      <c r="C19" s="356"/>
      <c r="D19" s="356"/>
      <c r="E19" s="357"/>
      <c r="F19" s="373"/>
      <c r="G19" s="374"/>
      <c r="H19" s="373"/>
      <c r="I19" s="374"/>
      <c r="J19" s="241"/>
      <c r="K19" s="241"/>
      <c r="L19" s="390"/>
      <c r="M19" s="391"/>
      <c r="N19" s="391"/>
      <c r="O19" s="392"/>
      <c r="P19" s="393"/>
      <c r="Q19" s="390"/>
      <c r="R19" s="391"/>
      <c r="S19" s="391"/>
      <c r="T19" s="392"/>
    </row>
    <row r="20" ht="18.6" customHeight="1" spans="2:20">
      <c r="B20" s="376"/>
      <c r="C20" s="376"/>
      <c r="D20" s="363"/>
      <c r="E20" s="363"/>
      <c r="F20" s="377"/>
      <c r="G20" s="378"/>
      <c r="H20" s="373"/>
      <c r="I20" s="374"/>
      <c r="J20" s="241"/>
      <c r="K20" s="241"/>
      <c r="L20" s="390"/>
      <c r="M20" s="391"/>
      <c r="N20" s="391"/>
      <c r="O20" s="392"/>
      <c r="P20" s="393"/>
      <c r="Q20" s="390"/>
      <c r="R20" s="391"/>
      <c r="S20" s="391"/>
      <c r="T20" s="392"/>
    </row>
    <row r="21" ht="18.6" customHeight="1" spans="2:20">
      <c r="B21" s="379"/>
      <c r="C21" s="379"/>
      <c r="D21" s="380"/>
      <c r="E21" s="380"/>
      <c r="F21" s="376"/>
      <c r="G21" s="363"/>
      <c r="H21" s="381"/>
      <c r="I21" s="401" t="e">
        <f>H18/B3</f>
        <v>#DIV/0!</v>
      </c>
      <c r="J21" s="241"/>
      <c r="K21" s="241"/>
      <c r="L21" s="390"/>
      <c r="M21" s="391"/>
      <c r="N21" s="391"/>
      <c r="O21" s="392"/>
      <c r="P21" s="393"/>
      <c r="Q21" s="390"/>
      <c r="R21" s="391"/>
      <c r="S21" s="391"/>
      <c r="T21" s="392"/>
    </row>
    <row r="22" ht="18.6" customHeight="1" spans="2:20">
      <c r="B22" s="382"/>
      <c r="C22" s="382"/>
      <c r="D22" s="365"/>
      <c r="E22" s="365"/>
      <c r="F22" s="382"/>
      <c r="G22" s="365"/>
      <c r="H22" s="372" t="s">
        <v>242</v>
      </c>
      <c r="I22" s="399">
        <f>①利益!I5</f>
        <v>0</v>
      </c>
      <c r="J22" s="241"/>
      <c r="K22" s="241"/>
      <c r="L22" s="395"/>
      <c r="M22" s="396"/>
      <c r="N22" s="396"/>
      <c r="O22" s="397"/>
      <c r="P22" s="398"/>
      <c r="Q22" s="395"/>
      <c r="R22" s="396"/>
      <c r="S22" s="396"/>
      <c r="T22" s="397"/>
    </row>
    <row r="24" ht="15.75" spans="2:12">
      <c r="B24" s="383" t="s">
        <v>243</v>
      </c>
      <c r="C24" s="383"/>
      <c r="D24" s="383"/>
      <c r="E24" s="383"/>
      <c r="F24" s="383"/>
      <c r="G24" s="383"/>
      <c r="H24" s="383"/>
      <c r="I24" s="383"/>
      <c r="L24" s="402" t="s">
        <v>233</v>
      </c>
    </row>
    <row r="25" spans="2:21">
      <c r="B25" s="384"/>
      <c r="C25" s="384"/>
      <c r="D25" s="384"/>
      <c r="E25" s="384"/>
      <c r="F25" s="384"/>
      <c r="G25" s="384"/>
      <c r="H25" s="384"/>
      <c r="I25" s="384"/>
      <c r="L25" s="403"/>
      <c r="M25" s="12"/>
      <c r="N25" s="12"/>
      <c r="O25" s="12"/>
      <c r="P25" s="12"/>
      <c r="Q25" s="12"/>
      <c r="R25" s="12"/>
      <c r="S25" s="12"/>
      <c r="T25" s="12"/>
      <c r="U25" s="407"/>
    </row>
    <row r="26" spans="2:21">
      <c r="B26" s="384"/>
      <c r="C26" s="384"/>
      <c r="D26" s="384"/>
      <c r="E26" s="384"/>
      <c r="F26" s="384"/>
      <c r="G26" s="384"/>
      <c r="H26" s="384"/>
      <c r="I26" s="384"/>
      <c r="L26" s="404"/>
      <c r="M26" s="13"/>
      <c r="N26" s="13"/>
      <c r="O26" s="13"/>
      <c r="P26" s="13"/>
      <c r="Q26" s="13"/>
      <c r="R26" s="13"/>
      <c r="S26" s="13"/>
      <c r="T26" s="13"/>
      <c r="U26" s="408"/>
    </row>
    <row r="27" spans="2:21">
      <c r="B27" s="384"/>
      <c r="C27" s="384"/>
      <c r="D27" s="384"/>
      <c r="E27" s="384"/>
      <c r="F27" s="384"/>
      <c r="G27" s="384"/>
      <c r="H27" s="384"/>
      <c r="I27" s="384"/>
      <c r="L27" s="404"/>
      <c r="M27" s="13"/>
      <c r="N27" s="13"/>
      <c r="O27" s="13"/>
      <c r="P27" s="13"/>
      <c r="Q27" s="13"/>
      <c r="R27" s="13"/>
      <c r="S27" s="13"/>
      <c r="T27" s="13"/>
      <c r="U27" s="408"/>
    </row>
    <row r="28" spans="2:21">
      <c r="B28" s="384"/>
      <c r="C28" s="384"/>
      <c r="D28" s="384"/>
      <c r="E28" s="384"/>
      <c r="F28" s="384"/>
      <c r="G28" s="384"/>
      <c r="H28" s="384"/>
      <c r="I28" s="384"/>
      <c r="L28" s="404"/>
      <c r="M28" s="13"/>
      <c r="N28" s="13"/>
      <c r="O28" s="13"/>
      <c r="P28" s="13"/>
      <c r="Q28" s="13"/>
      <c r="R28" s="13"/>
      <c r="S28" s="13"/>
      <c r="T28" s="13"/>
      <c r="U28" s="408"/>
    </row>
    <row r="29" spans="2:21">
      <c r="B29" s="384"/>
      <c r="C29" s="384"/>
      <c r="D29" s="384"/>
      <c r="E29" s="384"/>
      <c r="F29" s="384"/>
      <c r="G29" s="384"/>
      <c r="H29" s="384"/>
      <c r="I29" s="384"/>
      <c r="L29" s="404"/>
      <c r="M29" s="13"/>
      <c r="N29" s="13"/>
      <c r="O29" s="13"/>
      <c r="P29" s="13"/>
      <c r="Q29" s="13"/>
      <c r="R29" s="13"/>
      <c r="S29" s="13"/>
      <c r="T29" s="13"/>
      <c r="U29" s="408"/>
    </row>
    <row r="30" spans="2:21">
      <c r="B30" s="384"/>
      <c r="C30" s="384"/>
      <c r="D30" s="384"/>
      <c r="E30" s="384"/>
      <c r="F30" s="384"/>
      <c r="G30" s="384"/>
      <c r="H30" s="384"/>
      <c r="I30" s="384"/>
      <c r="L30" s="404"/>
      <c r="M30" s="13"/>
      <c r="N30" s="13"/>
      <c r="O30" s="13"/>
      <c r="P30" s="13"/>
      <c r="Q30" s="13"/>
      <c r="R30" s="13"/>
      <c r="S30" s="13"/>
      <c r="T30" s="13"/>
      <c r="U30" s="408"/>
    </row>
    <row r="31" spans="2:21">
      <c r="B31" s="384"/>
      <c r="C31" s="384"/>
      <c r="D31" s="384"/>
      <c r="E31" s="384"/>
      <c r="F31" s="384"/>
      <c r="G31" s="384"/>
      <c r="H31" s="384"/>
      <c r="I31" s="384"/>
      <c r="L31" s="404"/>
      <c r="M31" s="13"/>
      <c r="N31" s="13"/>
      <c r="O31" s="13"/>
      <c r="P31" s="13"/>
      <c r="Q31" s="13"/>
      <c r="R31" s="13"/>
      <c r="S31" s="13"/>
      <c r="T31" s="13"/>
      <c r="U31" s="408"/>
    </row>
    <row r="32" spans="2:21">
      <c r="B32" s="384"/>
      <c r="C32" s="384"/>
      <c r="D32" s="384"/>
      <c r="E32" s="384"/>
      <c r="F32" s="384"/>
      <c r="G32" s="384"/>
      <c r="H32" s="384"/>
      <c r="I32" s="384"/>
      <c r="L32" s="404"/>
      <c r="M32" s="13"/>
      <c r="N32" s="13"/>
      <c r="O32" s="13"/>
      <c r="P32" s="13"/>
      <c r="Q32" s="13"/>
      <c r="R32" s="13"/>
      <c r="S32" s="13"/>
      <c r="T32" s="13"/>
      <c r="U32" s="408"/>
    </row>
    <row r="33" spans="2:21">
      <c r="B33" s="384"/>
      <c r="C33" s="384"/>
      <c r="D33" s="384"/>
      <c r="E33" s="384"/>
      <c r="F33" s="384"/>
      <c r="G33" s="384"/>
      <c r="H33" s="384"/>
      <c r="I33" s="384"/>
      <c r="L33" s="404"/>
      <c r="M33" s="13"/>
      <c r="N33" s="13"/>
      <c r="O33" s="13"/>
      <c r="P33" s="13"/>
      <c r="Q33" s="13"/>
      <c r="R33" s="13"/>
      <c r="S33" s="13"/>
      <c r="T33" s="13"/>
      <c r="U33" s="408"/>
    </row>
    <row r="34" spans="2:21">
      <c r="B34" s="384"/>
      <c r="C34" s="384"/>
      <c r="D34" s="384"/>
      <c r="E34" s="384"/>
      <c r="F34" s="384"/>
      <c r="G34" s="384"/>
      <c r="H34" s="384"/>
      <c r="I34" s="384"/>
      <c r="L34" s="404"/>
      <c r="M34" s="13"/>
      <c r="N34" s="13"/>
      <c r="O34" s="13"/>
      <c r="P34" s="13"/>
      <c r="Q34" s="13"/>
      <c r="R34" s="13"/>
      <c r="S34" s="13"/>
      <c r="T34" s="13"/>
      <c r="U34" s="408"/>
    </row>
    <row r="35" spans="2:21">
      <c r="B35" s="384"/>
      <c r="C35" s="384"/>
      <c r="D35" s="384"/>
      <c r="E35" s="384"/>
      <c r="F35" s="384"/>
      <c r="G35" s="384"/>
      <c r="H35" s="384"/>
      <c r="I35" s="384"/>
      <c r="L35" s="404"/>
      <c r="M35" s="13"/>
      <c r="N35" s="13"/>
      <c r="O35" s="13"/>
      <c r="P35" s="13"/>
      <c r="Q35" s="13"/>
      <c r="R35" s="13"/>
      <c r="S35" s="13"/>
      <c r="T35" s="13"/>
      <c r="U35" s="408"/>
    </row>
    <row r="36" spans="2:21">
      <c r="B36" s="384"/>
      <c r="C36" s="384"/>
      <c r="D36" s="384"/>
      <c r="E36" s="384"/>
      <c r="F36" s="384"/>
      <c r="G36" s="384"/>
      <c r="H36" s="384"/>
      <c r="I36" s="384"/>
      <c r="L36" s="404"/>
      <c r="M36" s="13"/>
      <c r="N36" s="13"/>
      <c r="O36" s="13"/>
      <c r="P36" s="13"/>
      <c r="Q36" s="13"/>
      <c r="R36" s="13"/>
      <c r="S36" s="13"/>
      <c r="T36" s="13"/>
      <c r="U36" s="408"/>
    </row>
    <row r="37" spans="12:21">
      <c r="L37" s="404"/>
      <c r="M37" s="13"/>
      <c r="N37" s="13"/>
      <c r="O37" s="13"/>
      <c r="P37" s="13"/>
      <c r="Q37" s="13"/>
      <c r="R37" s="13"/>
      <c r="S37" s="13"/>
      <c r="T37" s="13"/>
      <c r="U37" s="408"/>
    </row>
    <row r="38" spans="12:21">
      <c r="L38" s="404"/>
      <c r="M38" s="13"/>
      <c r="N38" s="13"/>
      <c r="O38" s="13"/>
      <c r="P38" s="13"/>
      <c r="Q38" s="13"/>
      <c r="R38" s="13"/>
      <c r="S38" s="13"/>
      <c r="T38" s="13"/>
      <c r="U38" s="408"/>
    </row>
    <row r="39" spans="12:21">
      <c r="L39" s="405"/>
      <c r="M39" s="406"/>
      <c r="N39" s="406"/>
      <c r="O39" s="406"/>
      <c r="P39" s="406"/>
      <c r="Q39" s="406"/>
      <c r="R39" s="406"/>
      <c r="S39" s="406"/>
      <c r="T39" s="406"/>
      <c r="U39" s="409"/>
    </row>
  </sheetData>
  <sheetProtection algorithmName="SHA-512" hashValue="HKGqDOdy4a8rulHtrOvNEuYE6RnZP7pvcZ7jdhnYMHaSG6ZtY4nXQ1o0tviFHN4LZIWO+9s/1+W8lPkZnsZyfg==" saltValue="Br4SZQgyQcNzDRnz51OUpw==" spinCount="100000" sheet="1" objects="1" scenarios="1"/>
  <mergeCells count="24">
    <mergeCell ref="B1:H1"/>
    <mergeCell ref="B2:I2"/>
    <mergeCell ref="L2:O2"/>
    <mergeCell ref="Q2:T2"/>
    <mergeCell ref="F21:F22"/>
    <mergeCell ref="G21:G22"/>
    <mergeCell ref="P3:P12"/>
    <mergeCell ref="P13:P22"/>
    <mergeCell ref="Q3:T12"/>
    <mergeCell ref="Q13:T22"/>
    <mergeCell ref="B3:E19"/>
    <mergeCell ref="L3:O12"/>
    <mergeCell ref="L13:O22"/>
    <mergeCell ref="L25:U39"/>
    <mergeCell ref="F17:G20"/>
    <mergeCell ref="F3:I9"/>
    <mergeCell ref="F13:G15"/>
    <mergeCell ref="H13:I15"/>
    <mergeCell ref="H18:I20"/>
    <mergeCell ref="F11:G12"/>
    <mergeCell ref="H11:I12"/>
    <mergeCell ref="B20:C22"/>
    <mergeCell ref="D20:E22"/>
    <mergeCell ref="B24:I36"/>
  </mergeCells>
  <pageMargins left="0.7" right="0.7" top="0.75" bottom="0.75" header="0.3" footer="0.3"/>
  <pageSetup paperSize="8"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Q19"/>
  <sheetViews>
    <sheetView view="pageBreakPreview" zoomScaleNormal="100" workbookViewId="0">
      <selection activeCell="N6" sqref="N6:N13"/>
    </sheetView>
  </sheetViews>
  <sheetFormatPr defaultColWidth="9" defaultRowHeight="15"/>
  <cols>
    <col min="1" max="1" width="3.6952380952381" customWidth="1"/>
    <col min="2" max="2" width="11.2" customWidth="1"/>
    <col min="6" max="6" width="4.4" customWidth="1"/>
    <col min="7" max="7" width="12.6952380952381" customWidth="1"/>
    <col min="11" max="11" width="3.5047619047619" customWidth="1"/>
    <col min="12" max="12" width="12.6952380952381" customWidth="1"/>
  </cols>
  <sheetData>
    <row r="1" spans="1:1">
      <c r="A1">
        <f>スタート!C1</f>
        <v>0</v>
      </c>
    </row>
    <row r="2" ht="66" customHeight="1" spans="1:17">
      <c r="A2" s="182" t="s">
        <v>244</v>
      </c>
      <c r="B2" s="182"/>
      <c r="C2" s="182"/>
      <c r="D2" s="182"/>
      <c r="E2" s="182"/>
      <c r="F2" s="182"/>
      <c r="G2" s="182"/>
      <c r="H2" s="182"/>
      <c r="I2" s="182"/>
      <c r="J2" s="182"/>
      <c r="K2" s="182"/>
      <c r="L2" s="182"/>
      <c r="M2" s="182"/>
      <c r="N2" s="182"/>
      <c r="O2" s="182"/>
      <c r="Q2" t="s">
        <v>3</v>
      </c>
    </row>
    <row r="3" spans="5:15">
      <c r="E3" t="s">
        <v>8</v>
      </c>
      <c r="J3" t="s">
        <v>8</v>
      </c>
      <c r="O3" t="s">
        <v>8</v>
      </c>
    </row>
    <row r="4" ht="27" customHeight="1" spans="2:15">
      <c r="B4" s="297" t="s">
        <v>245</v>
      </c>
      <c r="C4" s="298"/>
      <c r="D4" s="298" t="s">
        <v>246</v>
      </c>
      <c r="E4" s="299" t="s">
        <v>247</v>
      </c>
      <c r="G4" s="297" t="s">
        <v>34</v>
      </c>
      <c r="H4" s="298" t="s">
        <v>247</v>
      </c>
      <c r="I4" s="298" t="s">
        <v>246</v>
      </c>
      <c r="J4" s="299" t="s">
        <v>247</v>
      </c>
      <c r="L4" s="297" t="s">
        <v>248</v>
      </c>
      <c r="M4" s="298" t="s">
        <v>247</v>
      </c>
      <c r="N4" s="298" t="s">
        <v>246</v>
      </c>
      <c r="O4" s="299" t="s">
        <v>247</v>
      </c>
    </row>
    <row r="5" ht="27" customHeight="1" spans="2:15">
      <c r="B5" s="300" t="s">
        <v>249</v>
      </c>
      <c r="C5" s="301" t="s">
        <v>250</v>
      </c>
      <c r="D5" s="301" t="s">
        <v>251</v>
      </c>
      <c r="E5" s="302" t="s">
        <v>252</v>
      </c>
      <c r="G5" s="300" t="s">
        <v>249</v>
      </c>
      <c r="H5" s="301" t="s">
        <v>250</v>
      </c>
      <c r="I5" s="301" t="s">
        <v>251</v>
      </c>
      <c r="J5" s="302" t="s">
        <v>252</v>
      </c>
      <c r="L5" s="300" t="s">
        <v>249</v>
      </c>
      <c r="M5" s="301" t="s">
        <v>250</v>
      </c>
      <c r="N5" s="301" t="s">
        <v>251</v>
      </c>
      <c r="O5" s="302" t="s">
        <v>252</v>
      </c>
    </row>
    <row r="6" ht="27" customHeight="1" spans="2:15">
      <c r="B6" s="303" t="s">
        <v>253</v>
      </c>
      <c r="C6" s="304"/>
      <c r="D6" s="305"/>
      <c r="E6" s="306">
        <f>C6*D6</f>
        <v>0</v>
      </c>
      <c r="G6" s="303" t="s">
        <v>254</v>
      </c>
      <c r="H6" s="304"/>
      <c r="I6" s="305"/>
      <c r="J6" s="306">
        <f>H6*I6</f>
        <v>0</v>
      </c>
      <c r="L6" s="323" t="s">
        <v>255</v>
      </c>
      <c r="M6" s="324"/>
      <c r="N6" s="325"/>
      <c r="O6" s="326">
        <f>M6*N6</f>
        <v>0</v>
      </c>
    </row>
    <row r="7" ht="27" customHeight="1" spans="2:15">
      <c r="B7" s="74" t="s">
        <v>256</v>
      </c>
      <c r="C7" s="307"/>
      <c r="D7" s="308"/>
      <c r="E7" s="309">
        <f t="shared" ref="E7:E13" si="0">C7*D7</f>
        <v>0</v>
      </c>
      <c r="G7" s="74" t="s">
        <v>257</v>
      </c>
      <c r="H7" s="307"/>
      <c r="I7" s="308"/>
      <c r="J7" s="309">
        <f t="shared" ref="J7:J13" si="1">H7*I7</f>
        <v>0</v>
      </c>
      <c r="L7" s="323" t="s">
        <v>258</v>
      </c>
      <c r="M7" s="324"/>
      <c r="N7" s="325"/>
      <c r="O7" s="326">
        <f t="shared" ref="O7:O13" si="2">M7*N7</f>
        <v>0</v>
      </c>
    </row>
    <row r="8" ht="27" customHeight="1" spans="2:15">
      <c r="B8" s="74" t="s">
        <v>259</v>
      </c>
      <c r="C8" s="307"/>
      <c r="D8" s="308"/>
      <c r="E8" s="309">
        <f t="shared" si="0"/>
        <v>0</v>
      </c>
      <c r="G8" s="74" t="s">
        <v>260</v>
      </c>
      <c r="H8" s="307"/>
      <c r="I8" s="308"/>
      <c r="J8" s="309">
        <f t="shared" si="1"/>
        <v>0</v>
      </c>
      <c r="L8" s="323" t="s">
        <v>261</v>
      </c>
      <c r="M8" s="307"/>
      <c r="N8" s="308"/>
      <c r="O8" s="326">
        <f t="shared" si="2"/>
        <v>0</v>
      </c>
    </row>
    <row r="9" ht="27" customHeight="1" spans="2:15">
      <c r="B9" s="74" t="s">
        <v>262</v>
      </c>
      <c r="C9" s="307"/>
      <c r="D9" s="308"/>
      <c r="E9" s="309">
        <f t="shared" si="0"/>
        <v>0</v>
      </c>
      <c r="G9" s="74" t="s">
        <v>263</v>
      </c>
      <c r="H9" s="307"/>
      <c r="I9" s="308"/>
      <c r="J9" s="309">
        <f t="shared" si="1"/>
        <v>0</v>
      </c>
      <c r="L9" s="323" t="s">
        <v>264</v>
      </c>
      <c r="M9" s="324"/>
      <c r="N9" s="325"/>
      <c r="O9" s="326">
        <f t="shared" si="2"/>
        <v>0</v>
      </c>
    </row>
    <row r="10" ht="27" customHeight="1" spans="2:15">
      <c r="B10" s="74" t="s">
        <v>265</v>
      </c>
      <c r="C10" s="307"/>
      <c r="D10" s="308"/>
      <c r="E10" s="309">
        <f t="shared" si="0"/>
        <v>0</v>
      </c>
      <c r="G10" s="74" t="s">
        <v>266</v>
      </c>
      <c r="H10" s="307"/>
      <c r="I10" s="308"/>
      <c r="J10" s="309">
        <f t="shared" si="1"/>
        <v>0</v>
      </c>
      <c r="L10" s="323" t="s">
        <v>267</v>
      </c>
      <c r="M10" s="324"/>
      <c r="N10" s="325"/>
      <c r="O10" s="326">
        <f t="shared" si="2"/>
        <v>0</v>
      </c>
    </row>
    <row r="11" ht="27" customHeight="1" spans="2:15">
      <c r="B11" s="74" t="s">
        <v>268</v>
      </c>
      <c r="C11" s="307"/>
      <c r="D11" s="308"/>
      <c r="E11" s="309">
        <f t="shared" si="0"/>
        <v>0</v>
      </c>
      <c r="G11" s="310" t="s">
        <v>269</v>
      </c>
      <c r="H11" s="307"/>
      <c r="I11" s="308"/>
      <c r="J11" s="309">
        <f t="shared" si="1"/>
        <v>0</v>
      </c>
      <c r="L11" s="323" t="s">
        <v>270</v>
      </c>
      <c r="M11" s="324"/>
      <c r="N11" s="325"/>
      <c r="O11" s="326">
        <f t="shared" si="2"/>
        <v>0</v>
      </c>
    </row>
    <row r="12" ht="27" customHeight="1" spans="2:15">
      <c r="B12" s="74" t="s">
        <v>271</v>
      </c>
      <c r="C12" s="307"/>
      <c r="D12" s="308"/>
      <c r="E12" s="309">
        <f t="shared" si="0"/>
        <v>0</v>
      </c>
      <c r="G12" s="310" t="s">
        <v>272</v>
      </c>
      <c r="H12" s="307"/>
      <c r="I12" s="308"/>
      <c r="J12" s="309">
        <f t="shared" si="1"/>
        <v>0</v>
      </c>
      <c r="L12" s="323" t="s">
        <v>273</v>
      </c>
      <c r="M12" s="324"/>
      <c r="N12" s="325"/>
      <c r="O12" s="326">
        <f t="shared" si="2"/>
        <v>0</v>
      </c>
    </row>
    <row r="13" ht="27" customHeight="1" spans="2:15">
      <c r="B13" s="74" t="s">
        <v>274</v>
      </c>
      <c r="C13" s="307"/>
      <c r="D13" s="308"/>
      <c r="E13" s="309">
        <f t="shared" si="0"/>
        <v>0</v>
      </c>
      <c r="G13" s="310" t="s">
        <v>275</v>
      </c>
      <c r="H13" s="307"/>
      <c r="I13" s="308"/>
      <c r="J13" s="327">
        <f t="shared" si="1"/>
        <v>0</v>
      </c>
      <c r="L13" s="323" t="s">
        <v>276</v>
      </c>
      <c r="M13" s="307"/>
      <c r="N13" s="308"/>
      <c r="O13" s="326">
        <f t="shared" si="2"/>
        <v>0</v>
      </c>
    </row>
    <row r="14" ht="27" customHeight="1" spans="2:15">
      <c r="B14" s="311" t="s">
        <v>26</v>
      </c>
      <c r="C14" s="312" t="s">
        <v>277</v>
      </c>
      <c r="D14" s="313">
        <f>SUM(D6:D13)</f>
        <v>0</v>
      </c>
      <c r="E14" s="314">
        <f>SUM(E6:E13)</f>
        <v>0</v>
      </c>
      <c r="G14" s="311" t="s">
        <v>34</v>
      </c>
      <c r="H14" s="312" t="s">
        <v>277</v>
      </c>
      <c r="I14" s="313">
        <f>SUM(I6:I13)</f>
        <v>0</v>
      </c>
      <c r="J14" s="314">
        <f>SUM(J6:J13)</f>
        <v>0</v>
      </c>
      <c r="L14" s="311" t="s">
        <v>36</v>
      </c>
      <c r="M14" s="312" t="s">
        <v>277</v>
      </c>
      <c r="N14" s="313">
        <f>SUM(N6:N13)</f>
        <v>0</v>
      </c>
      <c r="O14" s="314">
        <f>SUM(O6:O13)</f>
        <v>0</v>
      </c>
    </row>
    <row r="15" ht="34.95" customHeight="1" spans="2:15">
      <c r="B15" s="311" t="s">
        <v>278</v>
      </c>
      <c r="C15" s="315" t="s">
        <v>277</v>
      </c>
      <c r="D15" s="316"/>
      <c r="E15" s="317">
        <f>スタート!C12</f>
        <v>0</v>
      </c>
      <c r="G15" s="311" t="s">
        <v>279</v>
      </c>
      <c r="H15" s="315" t="s">
        <v>277</v>
      </c>
      <c r="I15" s="316"/>
      <c r="J15" s="317">
        <f>スタート!C16</f>
        <v>0</v>
      </c>
      <c r="L15" s="349" t="s">
        <v>280</v>
      </c>
      <c r="M15" s="315" t="s">
        <v>277</v>
      </c>
      <c r="N15" s="316"/>
      <c r="O15" s="317">
        <f>スタート!C17+スタート!C18</f>
        <v>0</v>
      </c>
    </row>
    <row r="17" ht="27.6" customHeight="1" spans="2:5">
      <c r="B17" s="348" t="s">
        <v>281</v>
      </c>
      <c r="C17" s="318"/>
      <c r="D17" s="318"/>
      <c r="E17" s="319" t="s">
        <v>282</v>
      </c>
    </row>
    <row r="18" ht="27.6" customHeight="1" spans="2:5">
      <c r="B18" s="318" t="s">
        <v>283</v>
      </c>
      <c r="C18" s="320" t="e">
        <f>(E14+J14+O14)/(D14+I14+N14)</f>
        <v>#DIV/0!</v>
      </c>
      <c r="D18" s="318" t="s">
        <v>235</v>
      </c>
      <c r="E18" s="321" t="e">
        <f>C18/C19</f>
        <v>#DIV/0!</v>
      </c>
    </row>
    <row r="19" ht="27.6" customHeight="1" spans="2:5">
      <c r="B19" s="318" t="s">
        <v>7</v>
      </c>
      <c r="C19" s="322" t="str">
        <f>IFERROR((E15+J15+O15)/(N15+I15+D15),"0")</f>
        <v>0</v>
      </c>
      <c r="D19" s="318" t="s">
        <v>235</v>
      </c>
      <c r="E19" s="321"/>
    </row>
  </sheetData>
  <sheetProtection algorithmName="SHA-512" hashValue="s6cfG1qhCvFbkKfHf9f1Y1zDpRMTfl6ycoFi1oqqddERMEQJCj+v+IGTcIVXbDzxYrLgyEewZ8luObGqkhXxRg==" saltValue="j0JI8waLXLkybHrmTpSPBQ==" spinCount="100000" sheet="1" objects="1" scenarios="1"/>
  <mergeCells count="2">
    <mergeCell ref="A1:G1"/>
    <mergeCell ref="A2:O2"/>
  </mergeCells>
  <pageMargins left="0.7" right="0.7" top="0.75" bottom="0.75" header="0.3" footer="0.3"/>
  <pageSetup paperSize="8"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O44"/>
  <sheetViews>
    <sheetView view="pageBreakPreview" zoomScale="90" zoomScaleNormal="90" topLeftCell="A21" workbookViewId="0">
      <selection activeCell="L6" sqref="L6:L12"/>
    </sheetView>
  </sheetViews>
  <sheetFormatPr defaultColWidth="9" defaultRowHeight="15"/>
  <cols>
    <col min="2" max="2" width="15.6952380952381" customWidth="1"/>
    <col min="3" max="3" width="9.2" customWidth="1"/>
    <col min="5" max="5" width="15" customWidth="1"/>
    <col min="8" max="8" width="15.6952380952381" customWidth="1"/>
    <col min="11" max="11" width="15.6952380952381" customWidth="1"/>
    <col min="13" max="13" width="29.0952380952381" customWidth="1"/>
  </cols>
  <sheetData>
    <row r="1" ht="34.95" customHeight="1" spans="1:1">
      <c r="A1">
        <f>スタート!C1</f>
        <v>0</v>
      </c>
    </row>
    <row r="2" ht="47.25" spans="1:15">
      <c r="A2" s="182" t="s">
        <v>284</v>
      </c>
      <c r="I2" s="262">
        <f>L16+I24+F13+C43</f>
        <v>0</v>
      </c>
      <c r="J2" s="263"/>
      <c r="K2" s="263"/>
      <c r="L2" s="264"/>
      <c r="M2" t="s">
        <v>3</v>
      </c>
      <c r="N2" s="182"/>
      <c r="O2" s="182"/>
    </row>
    <row r="3" ht="21" spans="2:14">
      <c r="B3" s="328" t="s">
        <v>285</v>
      </c>
      <c r="C3" s="329" t="s">
        <v>247</v>
      </c>
      <c r="D3" s="244"/>
      <c r="E3" s="245" t="s">
        <v>67</v>
      </c>
      <c r="F3" s="246" t="s">
        <v>247</v>
      </c>
      <c r="H3" s="65" t="s">
        <v>286</v>
      </c>
      <c r="I3" s="66" t="s">
        <v>247</v>
      </c>
      <c r="J3" s="266"/>
      <c r="K3" s="65" t="s">
        <v>287</v>
      </c>
      <c r="L3" s="334" t="s">
        <v>247</v>
      </c>
      <c r="M3" s="335"/>
      <c r="N3" s="269"/>
    </row>
    <row r="4" ht="21" spans="2:14">
      <c r="B4" s="97" t="s">
        <v>288</v>
      </c>
      <c r="C4" s="247" t="s">
        <v>252</v>
      </c>
      <c r="D4" s="244"/>
      <c r="E4" s="248" t="s">
        <v>73</v>
      </c>
      <c r="F4" s="249"/>
      <c r="H4" s="271" t="s">
        <v>288</v>
      </c>
      <c r="I4" s="270" t="s">
        <v>252</v>
      </c>
      <c r="J4" s="266"/>
      <c r="K4" s="271" t="s">
        <v>288</v>
      </c>
      <c r="L4" s="336" t="s">
        <v>252</v>
      </c>
      <c r="M4" s="335"/>
      <c r="N4" s="273"/>
    </row>
    <row r="5" ht="25.2" customHeight="1" spans="2:14">
      <c r="B5" s="251" t="s">
        <v>131</v>
      </c>
      <c r="C5" s="252"/>
      <c r="D5" s="244"/>
      <c r="E5" s="248" t="s">
        <v>289</v>
      </c>
      <c r="F5" s="253"/>
      <c r="H5" s="330" t="s">
        <v>26</v>
      </c>
      <c r="I5" s="337">
        <f>③給料!E14</f>
        <v>0</v>
      </c>
      <c r="J5" s="266"/>
      <c r="K5" s="278" t="s">
        <v>61</v>
      </c>
      <c r="L5" s="249"/>
      <c r="M5" s="338"/>
      <c r="N5" s="137"/>
    </row>
    <row r="6" ht="25.2" customHeight="1" spans="2:14">
      <c r="B6" s="251" t="s">
        <v>135</v>
      </c>
      <c r="C6" s="252"/>
      <c r="D6" s="244"/>
      <c r="E6" s="255" t="s">
        <v>86</v>
      </c>
      <c r="F6" s="253"/>
      <c r="H6" s="331" t="s">
        <v>34</v>
      </c>
      <c r="I6" s="339">
        <f>③給料!J14</f>
        <v>0</v>
      </c>
      <c r="J6" s="266"/>
      <c r="K6" s="278" t="s">
        <v>64</v>
      </c>
      <c r="L6" s="253"/>
      <c r="M6" s="338"/>
      <c r="N6" s="137"/>
    </row>
    <row r="7" ht="25.2" customHeight="1" spans="2:14">
      <c r="B7" s="251" t="s">
        <v>139</v>
      </c>
      <c r="C7" s="252"/>
      <c r="D7" s="244"/>
      <c r="E7" s="255" t="s">
        <v>289</v>
      </c>
      <c r="F7" s="257"/>
      <c r="H7" s="331" t="s">
        <v>36</v>
      </c>
      <c r="I7" s="339">
        <f>③給料!O14</f>
        <v>0</v>
      </c>
      <c r="J7" s="266"/>
      <c r="K7" s="278" t="s">
        <v>66</v>
      </c>
      <c r="L7" s="253"/>
      <c r="M7" s="338"/>
      <c r="N7" s="137"/>
    </row>
    <row r="8" ht="25.2" customHeight="1" spans="2:14">
      <c r="B8" s="251" t="s">
        <v>143</v>
      </c>
      <c r="C8" s="252"/>
      <c r="D8" s="244"/>
      <c r="E8" s="255" t="s">
        <v>67</v>
      </c>
      <c r="F8" s="257"/>
      <c r="H8" s="278" t="s">
        <v>32</v>
      </c>
      <c r="I8" s="340"/>
      <c r="J8" s="266"/>
      <c r="K8" s="278" t="s">
        <v>69</v>
      </c>
      <c r="L8" s="253"/>
      <c r="M8" s="338"/>
      <c r="N8" s="128"/>
    </row>
    <row r="9" ht="25.2" customHeight="1" spans="2:14">
      <c r="B9" s="251" t="s">
        <v>146</v>
      </c>
      <c r="C9" s="252"/>
      <c r="D9" s="244"/>
      <c r="E9" s="255" t="s">
        <v>90</v>
      </c>
      <c r="F9" s="257"/>
      <c r="H9" s="278" t="s">
        <v>30</v>
      </c>
      <c r="I9" s="279"/>
      <c r="J9" s="266"/>
      <c r="K9" s="278" t="s">
        <v>72</v>
      </c>
      <c r="L9" s="253"/>
      <c r="M9" s="338"/>
      <c r="N9" s="128"/>
    </row>
    <row r="10" ht="25.2" customHeight="1" spans="2:14">
      <c r="B10" s="251" t="s">
        <v>149</v>
      </c>
      <c r="C10" s="252"/>
      <c r="D10" s="244"/>
      <c r="E10" s="255" t="s">
        <v>52</v>
      </c>
      <c r="F10" s="257"/>
      <c r="H10" s="278" t="s">
        <v>28</v>
      </c>
      <c r="I10" s="279"/>
      <c r="J10" s="266"/>
      <c r="K10" s="278" t="s">
        <v>75</v>
      </c>
      <c r="L10" s="253"/>
      <c r="M10" s="338"/>
      <c r="N10" s="128"/>
    </row>
    <row r="11" ht="25.2" customHeight="1" spans="2:14">
      <c r="B11" s="251" t="s">
        <v>152</v>
      </c>
      <c r="C11" s="252"/>
      <c r="D11" s="244"/>
      <c r="E11" s="255" t="s">
        <v>52</v>
      </c>
      <c r="F11" s="257"/>
      <c r="H11" s="278" t="s">
        <v>42</v>
      </c>
      <c r="I11" s="279"/>
      <c r="J11" s="266"/>
      <c r="K11" s="278" t="s">
        <v>78</v>
      </c>
      <c r="L11" s="253"/>
      <c r="M11" s="338"/>
      <c r="N11" s="128"/>
    </row>
    <row r="12" ht="25.2" customHeight="1" spans="2:14">
      <c r="B12" s="251" t="s">
        <v>155</v>
      </c>
      <c r="C12" s="252"/>
      <c r="D12" s="244"/>
      <c r="E12" s="255" t="s">
        <v>52</v>
      </c>
      <c r="F12" s="257"/>
      <c r="H12" s="278" t="s">
        <v>40</v>
      </c>
      <c r="I12" s="286"/>
      <c r="J12" s="266"/>
      <c r="K12" s="278" t="s">
        <v>80</v>
      </c>
      <c r="L12" s="257"/>
      <c r="M12" s="338"/>
      <c r="N12" s="128"/>
    </row>
    <row r="13" ht="25.2" customHeight="1" spans="2:14">
      <c r="B13" s="251" t="s">
        <v>157</v>
      </c>
      <c r="C13" s="252"/>
      <c r="D13" s="244"/>
      <c r="E13" s="117" t="s">
        <v>277</v>
      </c>
      <c r="F13" s="258">
        <f>SUM(F4:F12)</f>
        <v>0</v>
      </c>
      <c r="H13" s="278" t="s">
        <v>44</v>
      </c>
      <c r="I13" s="286"/>
      <c r="J13" s="266"/>
      <c r="K13" s="341" t="s">
        <v>52</v>
      </c>
      <c r="L13" s="342"/>
      <c r="M13" s="338"/>
      <c r="N13" s="128"/>
    </row>
    <row r="14" ht="25.2" customHeight="1" spans="2:14">
      <c r="B14" s="251" t="s">
        <v>159</v>
      </c>
      <c r="C14" s="252"/>
      <c r="D14" s="244"/>
      <c r="E14" s="117" t="s">
        <v>290</v>
      </c>
      <c r="F14" s="258">
        <f>SUM(スタート!C37:C42)</f>
        <v>0</v>
      </c>
      <c r="H14" s="293" t="s">
        <v>46</v>
      </c>
      <c r="I14" s="286"/>
      <c r="J14" s="266"/>
      <c r="K14" s="341" t="s">
        <v>52</v>
      </c>
      <c r="L14" s="342"/>
      <c r="M14" s="338"/>
      <c r="N14" s="137"/>
    </row>
    <row r="15" ht="25.2" customHeight="1" spans="2:13">
      <c r="B15" s="251" t="s">
        <v>161</v>
      </c>
      <c r="C15" s="252"/>
      <c r="D15" s="244"/>
      <c r="E15" s="244"/>
      <c r="F15" s="244"/>
      <c r="H15" s="278" t="s">
        <v>48</v>
      </c>
      <c r="I15" s="286"/>
      <c r="J15" s="266"/>
      <c r="K15" s="343" t="s">
        <v>52</v>
      </c>
      <c r="L15" s="344"/>
      <c r="M15" s="338"/>
    </row>
    <row r="16" ht="25.2" customHeight="1" spans="2:13">
      <c r="B16" s="251" t="s">
        <v>164</v>
      </c>
      <c r="C16" s="252"/>
      <c r="D16" s="244"/>
      <c r="E16" s="244"/>
      <c r="F16" s="244"/>
      <c r="H16" s="278" t="s">
        <v>50</v>
      </c>
      <c r="I16" s="253"/>
      <c r="J16" s="290"/>
      <c r="K16" s="87" t="s">
        <v>277</v>
      </c>
      <c r="L16" s="258">
        <f>SUM(L5:L15)</f>
        <v>0</v>
      </c>
      <c r="M16" s="338"/>
    </row>
    <row r="17" ht="25.2" customHeight="1" spans="2:13">
      <c r="B17" s="251" t="s">
        <v>166</v>
      </c>
      <c r="C17" s="252"/>
      <c r="D17" s="244"/>
      <c r="E17" s="244"/>
      <c r="F17" s="244"/>
      <c r="H17" s="278" t="s">
        <v>57</v>
      </c>
      <c r="I17" s="257"/>
      <c r="J17" s="290"/>
      <c r="K17" s="117" t="s">
        <v>290</v>
      </c>
      <c r="L17" s="258">
        <f>SUM(スタート!C29:C34)</f>
        <v>0</v>
      </c>
      <c r="M17" s="338"/>
    </row>
    <row r="18" ht="25.2" customHeight="1" spans="2:13">
      <c r="B18" s="251" t="s">
        <v>169</v>
      </c>
      <c r="C18" s="252"/>
      <c r="H18" s="278" t="s">
        <v>59</v>
      </c>
      <c r="I18" s="257"/>
      <c r="J18" s="290"/>
      <c r="K18" s="291"/>
      <c r="M18" s="338"/>
    </row>
    <row r="19" ht="25.2" customHeight="1" spans="2:13">
      <c r="B19" s="251" t="s">
        <v>171</v>
      </c>
      <c r="C19" s="252"/>
      <c r="H19" s="278" t="s">
        <v>52</v>
      </c>
      <c r="I19" s="345"/>
      <c r="J19" s="290"/>
      <c r="K19" s="291"/>
      <c r="M19" s="338"/>
    </row>
    <row r="20" ht="25.2" customHeight="1" spans="2:13">
      <c r="B20" s="251" t="s">
        <v>173</v>
      </c>
      <c r="C20" s="252"/>
      <c r="H20" s="278" t="s">
        <v>52</v>
      </c>
      <c r="I20" s="345"/>
      <c r="J20" s="290"/>
      <c r="K20" s="291"/>
      <c r="M20" s="338"/>
    </row>
    <row r="21" ht="25.2" customHeight="1" spans="2:13">
      <c r="B21" s="251" t="s">
        <v>176</v>
      </c>
      <c r="C21" s="252"/>
      <c r="H21" s="278" t="s">
        <v>52</v>
      </c>
      <c r="I21" s="345"/>
      <c r="J21" s="290"/>
      <c r="K21" s="291"/>
      <c r="M21" s="338"/>
    </row>
    <row r="22" ht="25.2" customHeight="1" spans="2:13">
      <c r="B22" s="251" t="s">
        <v>179</v>
      </c>
      <c r="C22" s="252"/>
      <c r="H22" s="278" t="s">
        <v>52</v>
      </c>
      <c r="I22" s="345"/>
      <c r="J22" s="290"/>
      <c r="K22" s="291"/>
      <c r="M22" s="338"/>
    </row>
    <row r="23" ht="25.2" customHeight="1" spans="2:13">
      <c r="B23" s="251" t="s">
        <v>181</v>
      </c>
      <c r="C23" s="252"/>
      <c r="H23" s="293" t="s">
        <v>52</v>
      </c>
      <c r="I23" s="345"/>
      <c r="J23" s="290"/>
      <c r="K23" s="291"/>
      <c r="M23" s="338"/>
    </row>
    <row r="24" ht="25.2" customHeight="1" spans="2:13">
      <c r="B24" s="251" t="s">
        <v>183</v>
      </c>
      <c r="C24" s="252"/>
      <c r="H24" s="332" t="s">
        <v>277</v>
      </c>
      <c r="I24" s="346">
        <f>SUM(I5:I23)</f>
        <v>0</v>
      </c>
      <c r="J24" s="290"/>
      <c r="K24" s="291"/>
      <c r="M24" s="338"/>
    </row>
    <row r="25" ht="25.2" customHeight="1" spans="2:13">
      <c r="B25" s="251" t="s">
        <v>185</v>
      </c>
      <c r="C25" s="252"/>
      <c r="H25" s="333" t="s">
        <v>290</v>
      </c>
      <c r="I25" s="347">
        <f>SUM(スタート!C12:C28)</f>
        <v>0</v>
      </c>
      <c r="J25" s="290"/>
      <c r="K25" s="291"/>
      <c r="M25" s="338"/>
    </row>
    <row r="26" ht="25.2" customHeight="1" spans="2:13">
      <c r="B26" s="251" t="s">
        <v>187</v>
      </c>
      <c r="C26" s="252"/>
      <c r="I26" s="291"/>
      <c r="J26" s="290"/>
      <c r="K26" s="291"/>
      <c r="M26" s="338"/>
    </row>
    <row r="27" ht="25.2" customHeight="1" spans="2:13">
      <c r="B27" s="251" t="s">
        <v>189</v>
      </c>
      <c r="C27" s="252"/>
      <c r="I27" s="291"/>
      <c r="J27" s="290"/>
      <c r="K27" s="291"/>
      <c r="M27" s="338"/>
    </row>
    <row r="28" ht="25.2" customHeight="1" spans="2:13">
      <c r="B28" s="251" t="s">
        <v>191</v>
      </c>
      <c r="C28" s="252"/>
      <c r="I28" s="291"/>
      <c r="J28" s="290"/>
      <c r="K28" s="291"/>
      <c r="M28" s="338"/>
    </row>
    <row r="29" ht="25.2" customHeight="1" spans="2:13">
      <c r="B29" s="251" t="s">
        <v>76</v>
      </c>
      <c r="C29" s="252"/>
      <c r="I29" s="291"/>
      <c r="J29" s="290"/>
      <c r="K29" s="291"/>
      <c r="M29" s="338"/>
    </row>
    <row r="30" ht="25.2" customHeight="1" spans="2:13">
      <c r="B30" s="251" t="s">
        <v>194</v>
      </c>
      <c r="C30" s="252"/>
      <c r="I30" s="291"/>
      <c r="J30" s="290"/>
      <c r="K30" s="291"/>
      <c r="M30" s="338"/>
    </row>
    <row r="31" ht="25.2" customHeight="1" spans="2:13">
      <c r="B31" s="251" t="s">
        <v>196</v>
      </c>
      <c r="C31" s="252"/>
      <c r="I31" s="291"/>
      <c r="J31" s="290"/>
      <c r="K31" s="291"/>
      <c r="M31" s="338"/>
    </row>
    <row r="32" ht="25.2" customHeight="1" spans="2:11">
      <c r="B32" s="251" t="s">
        <v>198</v>
      </c>
      <c r="C32" s="252"/>
      <c r="I32" s="291"/>
      <c r="J32" s="290"/>
      <c r="K32" s="291"/>
    </row>
    <row r="33" ht="25.2" customHeight="1" spans="2:11">
      <c r="B33" s="251" t="s">
        <v>200</v>
      </c>
      <c r="C33" s="252"/>
      <c r="I33" s="291"/>
      <c r="J33" s="290"/>
      <c r="K33" s="291"/>
    </row>
    <row r="34" ht="25.2" customHeight="1" spans="2:11">
      <c r="B34" s="251" t="s">
        <v>202</v>
      </c>
      <c r="C34" s="252"/>
      <c r="J34" s="290"/>
      <c r="K34" s="291"/>
    </row>
    <row r="35" ht="25.2" customHeight="1" spans="2:11">
      <c r="B35" s="251" t="s">
        <v>204</v>
      </c>
      <c r="C35" s="252"/>
      <c r="J35" s="290"/>
      <c r="K35" s="291"/>
    </row>
    <row r="36" ht="25.2" customHeight="1" spans="2:11">
      <c r="B36" s="251" t="s">
        <v>206</v>
      </c>
      <c r="C36" s="252"/>
      <c r="J36" s="290"/>
      <c r="K36" s="291"/>
    </row>
    <row r="37" ht="25.2" customHeight="1" spans="2:11">
      <c r="B37" s="251" t="s">
        <v>208</v>
      </c>
      <c r="C37" s="252"/>
      <c r="J37" s="290"/>
      <c r="K37" s="291"/>
    </row>
    <row r="38" ht="25.2" customHeight="1" spans="2:11">
      <c r="B38" s="251" t="s">
        <v>210</v>
      </c>
      <c r="C38" s="252"/>
      <c r="J38" s="290"/>
      <c r="K38" s="291"/>
    </row>
    <row r="39" ht="25.2" customHeight="1" spans="2:11">
      <c r="B39" s="251" t="s">
        <v>212</v>
      </c>
      <c r="C39" s="252"/>
      <c r="J39" s="290"/>
      <c r="K39" s="291"/>
    </row>
    <row r="40" ht="25.2" customHeight="1" spans="2:11">
      <c r="B40" s="251" t="s">
        <v>129</v>
      </c>
      <c r="C40" s="252"/>
      <c r="J40" s="290"/>
      <c r="K40" s="291"/>
    </row>
    <row r="41" ht="25.2" customHeight="1" spans="2:3">
      <c r="B41" s="251" t="s">
        <v>215</v>
      </c>
      <c r="C41" s="252"/>
    </row>
    <row r="42" ht="25.2" customHeight="1" spans="2:3">
      <c r="B42" s="251" t="s">
        <v>217</v>
      </c>
      <c r="C42" s="252"/>
    </row>
    <row r="43" ht="40.2" customHeight="1" spans="2:3">
      <c r="B43" s="260" t="s">
        <v>277</v>
      </c>
      <c r="C43" s="261">
        <f>SUM(C5:C42)</f>
        <v>0</v>
      </c>
    </row>
    <row r="44" ht="33.6" customHeight="1" spans="2:3">
      <c r="B44" s="260" t="s">
        <v>290</v>
      </c>
      <c r="C44" s="261">
        <f>SUM(スタート!C63:C100)</f>
        <v>0</v>
      </c>
    </row>
  </sheetData>
  <sheetProtection algorithmName="SHA-512" hashValue="rUWKi5BGO0UPCeISiJNV69FQf+okSdAai++WrAnGNFMbAcv0xWktQ/41xdQHJ/QFjVVCSPNu62ttzHF5b5uqgQ==" saltValue="wuqeLnogOwLjXEBWc9SU/g==" spinCount="100000" sheet="1" objects="1" scenarios="1"/>
  <mergeCells count="3">
    <mergeCell ref="A1:F1"/>
    <mergeCell ref="A2:H2"/>
    <mergeCell ref="I2:L2"/>
  </mergeCells>
  <pageMargins left="0.7" right="0.7" top="0.75" bottom="0.75" header="0.3" footer="0.3"/>
  <pageSetup paperSize="8" scale="97" orientation="portrait"/>
  <headerFooter/>
  <colBreaks count="1" manualBreakCount="1">
    <brk id="12" max="1048575" man="1"/>
  </colBreak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Q19"/>
  <sheetViews>
    <sheetView view="pageBreakPreview" zoomScaleNormal="100" workbookViewId="0">
      <selection activeCell="C8" sqref="C8"/>
    </sheetView>
  </sheetViews>
  <sheetFormatPr defaultColWidth="9" defaultRowHeight="15"/>
  <cols>
    <col min="1" max="1" width="3.6952380952381" customWidth="1"/>
    <col min="2" max="2" width="11.2" customWidth="1"/>
    <col min="6" max="6" width="4.4" customWidth="1"/>
    <col min="7" max="7" width="12.6952380952381" customWidth="1"/>
    <col min="11" max="11" width="3.5047619047619" customWidth="1"/>
    <col min="12" max="12" width="12.6952380952381" customWidth="1"/>
  </cols>
  <sheetData>
    <row r="1" spans="1:1">
      <c r="A1">
        <f>スタート!C1</f>
        <v>0</v>
      </c>
    </row>
    <row r="2" ht="66" customHeight="1" spans="1:17">
      <c r="A2" s="182" t="s">
        <v>291</v>
      </c>
      <c r="B2" s="182"/>
      <c r="C2" s="182"/>
      <c r="D2" s="182"/>
      <c r="E2" s="182"/>
      <c r="F2" s="182"/>
      <c r="G2" s="182"/>
      <c r="H2" s="182"/>
      <c r="I2" s="182"/>
      <c r="J2" s="182"/>
      <c r="K2" s="182"/>
      <c r="L2" s="182"/>
      <c r="M2" s="182"/>
      <c r="N2" s="182"/>
      <c r="O2" s="182"/>
      <c r="Q2" t="s">
        <v>3</v>
      </c>
    </row>
    <row r="3" spans="5:15">
      <c r="E3" t="s">
        <v>8</v>
      </c>
      <c r="J3" t="s">
        <v>8</v>
      </c>
      <c r="O3" t="s">
        <v>8</v>
      </c>
    </row>
    <row r="4" ht="27" customHeight="1" spans="2:15">
      <c r="B4" s="297" t="s">
        <v>245</v>
      </c>
      <c r="C4" s="298"/>
      <c r="D4" s="298" t="s">
        <v>246</v>
      </c>
      <c r="E4" s="299" t="s">
        <v>247</v>
      </c>
      <c r="G4" s="297" t="s">
        <v>34</v>
      </c>
      <c r="H4" s="298" t="s">
        <v>247</v>
      </c>
      <c r="I4" s="298" t="s">
        <v>246</v>
      </c>
      <c r="J4" s="299" t="s">
        <v>247</v>
      </c>
      <c r="L4" s="297" t="s">
        <v>248</v>
      </c>
      <c r="M4" s="298" t="s">
        <v>247</v>
      </c>
      <c r="N4" s="298" t="s">
        <v>246</v>
      </c>
      <c r="O4" s="299" t="s">
        <v>247</v>
      </c>
    </row>
    <row r="5" ht="27" customHeight="1" spans="2:15">
      <c r="B5" s="300" t="s">
        <v>249</v>
      </c>
      <c r="C5" s="301" t="s">
        <v>250</v>
      </c>
      <c r="D5" s="301" t="s">
        <v>251</v>
      </c>
      <c r="E5" s="302" t="s">
        <v>252</v>
      </c>
      <c r="G5" s="300" t="s">
        <v>249</v>
      </c>
      <c r="H5" s="301" t="s">
        <v>250</v>
      </c>
      <c r="I5" s="301" t="s">
        <v>251</v>
      </c>
      <c r="J5" s="302" t="s">
        <v>252</v>
      </c>
      <c r="L5" s="300" t="s">
        <v>249</v>
      </c>
      <c r="M5" s="301" t="s">
        <v>250</v>
      </c>
      <c r="N5" s="301" t="s">
        <v>251</v>
      </c>
      <c r="O5" s="302" t="s">
        <v>252</v>
      </c>
    </row>
    <row r="6" ht="27" customHeight="1" spans="2:15">
      <c r="B6" s="303" t="s">
        <v>253</v>
      </c>
      <c r="C6" s="304"/>
      <c r="D6" s="305"/>
      <c r="E6" s="306">
        <f>C6*D6</f>
        <v>0</v>
      </c>
      <c r="G6" s="303" t="s">
        <v>254</v>
      </c>
      <c r="H6" s="304"/>
      <c r="I6" s="305"/>
      <c r="J6" s="306">
        <f>H6*I6</f>
        <v>0</v>
      </c>
      <c r="L6" s="323" t="s">
        <v>255</v>
      </c>
      <c r="M6" s="324"/>
      <c r="N6" s="325"/>
      <c r="O6" s="326">
        <f>M6*N6</f>
        <v>0</v>
      </c>
    </row>
    <row r="7" ht="27" customHeight="1" spans="2:15">
      <c r="B7" s="74" t="s">
        <v>256</v>
      </c>
      <c r="C7" s="307"/>
      <c r="D7" s="308"/>
      <c r="E7" s="309">
        <f t="shared" ref="E7:E13" si="0">C7*D7</f>
        <v>0</v>
      </c>
      <c r="G7" s="74" t="s">
        <v>257</v>
      </c>
      <c r="H7" s="307"/>
      <c r="I7" s="308"/>
      <c r="J7" s="309">
        <f t="shared" ref="J7:J13" si="1">H7*I7</f>
        <v>0</v>
      </c>
      <c r="L7" s="323" t="s">
        <v>258</v>
      </c>
      <c r="M7" s="324"/>
      <c r="N7" s="325"/>
      <c r="O7" s="326">
        <f t="shared" ref="O7:O13" si="2">M7*N7</f>
        <v>0</v>
      </c>
    </row>
    <row r="8" ht="27" customHeight="1" spans="2:15">
      <c r="B8" s="74" t="s">
        <v>259</v>
      </c>
      <c r="C8" s="307"/>
      <c r="D8" s="308"/>
      <c r="E8" s="309">
        <f t="shared" si="0"/>
        <v>0</v>
      </c>
      <c r="G8" s="74" t="s">
        <v>260</v>
      </c>
      <c r="H8" s="307"/>
      <c r="I8" s="308"/>
      <c r="J8" s="309">
        <f t="shared" si="1"/>
        <v>0</v>
      </c>
      <c r="L8" s="323" t="s">
        <v>261</v>
      </c>
      <c r="M8" s="307"/>
      <c r="N8" s="308"/>
      <c r="O8" s="326">
        <f t="shared" si="2"/>
        <v>0</v>
      </c>
    </row>
    <row r="9" ht="27" customHeight="1" spans="2:15">
      <c r="B9" s="74" t="s">
        <v>262</v>
      </c>
      <c r="C9" s="307"/>
      <c r="D9" s="308"/>
      <c r="E9" s="309">
        <f t="shared" si="0"/>
        <v>0</v>
      </c>
      <c r="G9" s="74" t="s">
        <v>263</v>
      </c>
      <c r="H9" s="307"/>
      <c r="I9" s="308"/>
      <c r="J9" s="309">
        <f t="shared" si="1"/>
        <v>0</v>
      </c>
      <c r="L9" s="323" t="s">
        <v>264</v>
      </c>
      <c r="M9" s="324"/>
      <c r="N9" s="325"/>
      <c r="O9" s="326">
        <f t="shared" si="2"/>
        <v>0</v>
      </c>
    </row>
    <row r="10" ht="27" customHeight="1" spans="2:15">
      <c r="B10" s="74" t="s">
        <v>265</v>
      </c>
      <c r="C10" s="307"/>
      <c r="D10" s="308"/>
      <c r="E10" s="309">
        <f t="shared" si="0"/>
        <v>0</v>
      </c>
      <c r="G10" s="74" t="s">
        <v>266</v>
      </c>
      <c r="H10" s="307"/>
      <c r="I10" s="308"/>
      <c r="J10" s="309">
        <f t="shared" si="1"/>
        <v>0</v>
      </c>
      <c r="L10" s="323" t="s">
        <v>267</v>
      </c>
      <c r="M10" s="324"/>
      <c r="N10" s="325"/>
      <c r="O10" s="326">
        <f t="shared" si="2"/>
        <v>0</v>
      </c>
    </row>
    <row r="11" ht="27" customHeight="1" spans="2:15">
      <c r="B11" s="74" t="s">
        <v>268</v>
      </c>
      <c r="C11" s="307"/>
      <c r="D11" s="308"/>
      <c r="E11" s="309">
        <f t="shared" si="0"/>
        <v>0</v>
      </c>
      <c r="G11" s="310" t="s">
        <v>269</v>
      </c>
      <c r="H11" s="307"/>
      <c r="I11" s="308"/>
      <c r="J11" s="309">
        <f t="shared" si="1"/>
        <v>0</v>
      </c>
      <c r="L11" s="323" t="s">
        <v>270</v>
      </c>
      <c r="M11" s="324"/>
      <c r="N11" s="325"/>
      <c r="O11" s="326">
        <f t="shared" si="2"/>
        <v>0</v>
      </c>
    </row>
    <row r="12" ht="27" customHeight="1" spans="2:15">
      <c r="B12" s="74" t="s">
        <v>271</v>
      </c>
      <c r="C12" s="307"/>
      <c r="D12" s="308"/>
      <c r="E12" s="309">
        <f t="shared" si="0"/>
        <v>0</v>
      </c>
      <c r="G12" s="310" t="s">
        <v>272</v>
      </c>
      <c r="H12" s="307"/>
      <c r="I12" s="308"/>
      <c r="J12" s="309">
        <f t="shared" si="1"/>
        <v>0</v>
      </c>
      <c r="L12" s="323" t="s">
        <v>273</v>
      </c>
      <c r="M12" s="324"/>
      <c r="N12" s="325"/>
      <c r="O12" s="326">
        <f t="shared" si="2"/>
        <v>0</v>
      </c>
    </row>
    <row r="13" ht="27" customHeight="1" spans="2:15">
      <c r="B13" s="74" t="s">
        <v>274</v>
      </c>
      <c r="C13" s="307"/>
      <c r="D13" s="308"/>
      <c r="E13" s="309">
        <f t="shared" si="0"/>
        <v>0</v>
      </c>
      <c r="G13" s="310" t="s">
        <v>275</v>
      </c>
      <c r="H13" s="307"/>
      <c r="I13" s="308"/>
      <c r="J13" s="327">
        <f t="shared" si="1"/>
        <v>0</v>
      </c>
      <c r="L13" s="323" t="s">
        <v>276</v>
      </c>
      <c r="M13" s="307"/>
      <c r="N13" s="308"/>
      <c r="O13" s="326">
        <f t="shared" si="2"/>
        <v>0</v>
      </c>
    </row>
    <row r="14" ht="27" customHeight="1" spans="2:15">
      <c r="B14" s="311" t="s">
        <v>26</v>
      </c>
      <c r="C14" s="312" t="s">
        <v>277</v>
      </c>
      <c r="D14" s="313">
        <f>SUM(D6:D13)</f>
        <v>0</v>
      </c>
      <c r="E14" s="314">
        <f>SUM(E6:E13)</f>
        <v>0</v>
      </c>
      <c r="G14" s="311" t="s">
        <v>34</v>
      </c>
      <c r="H14" s="312" t="s">
        <v>277</v>
      </c>
      <c r="I14" s="313">
        <f>SUM(I6:I13)</f>
        <v>0</v>
      </c>
      <c r="J14" s="314">
        <f>SUM(J6:J13)</f>
        <v>0</v>
      </c>
      <c r="L14" s="311" t="s">
        <v>36</v>
      </c>
      <c r="M14" s="312" t="s">
        <v>277</v>
      </c>
      <c r="N14" s="313">
        <f>SUM(N6:N13)</f>
        <v>0</v>
      </c>
      <c r="O14" s="314">
        <f>SUM(O6:O13)</f>
        <v>0</v>
      </c>
    </row>
    <row r="15" ht="34.95" customHeight="1" spans="2:15">
      <c r="B15" s="311" t="s">
        <v>278</v>
      </c>
      <c r="C15" s="315" t="s">
        <v>277</v>
      </c>
      <c r="D15" s="316"/>
      <c r="E15" s="317">
        <f>スタート!D60</f>
        <v>0</v>
      </c>
      <c r="G15" s="311" t="s">
        <v>278</v>
      </c>
      <c r="H15" s="315" t="s">
        <v>277</v>
      </c>
      <c r="I15" s="316"/>
      <c r="J15" s="317">
        <f>スタート!D61</f>
        <v>0</v>
      </c>
      <c r="L15" s="311" t="s">
        <v>278</v>
      </c>
      <c r="M15" s="315" t="s">
        <v>277</v>
      </c>
      <c r="N15" s="316">
        <v>0</v>
      </c>
      <c r="O15" s="317">
        <f>スタート!D62</f>
        <v>0</v>
      </c>
    </row>
    <row r="17" ht="27" customHeight="1" spans="2:5">
      <c r="B17" s="318" t="s">
        <v>281</v>
      </c>
      <c r="C17" s="318"/>
      <c r="D17" s="318"/>
      <c r="E17" s="319" t="s">
        <v>282</v>
      </c>
    </row>
    <row r="18" ht="27" customHeight="1" spans="2:5">
      <c r="B18" s="318" t="s">
        <v>283</v>
      </c>
      <c r="C18" s="320" t="e">
        <f>(E14+J14+O14)/(D14+I14+N14)</f>
        <v>#DIV/0!</v>
      </c>
      <c r="D18" s="318" t="s">
        <v>235</v>
      </c>
      <c r="E18" s="321" t="e">
        <f>C18/C19</f>
        <v>#DIV/0!</v>
      </c>
    </row>
    <row r="19" ht="27" customHeight="1" spans="2:5">
      <c r="B19" s="318" t="s">
        <v>7</v>
      </c>
      <c r="C19" s="322" t="str">
        <f>IFERROR((E15+J15+O15)/(N15+I15+D15),"0")</f>
        <v>0</v>
      </c>
      <c r="D19" s="318" t="s">
        <v>235</v>
      </c>
      <c r="E19" s="321"/>
    </row>
  </sheetData>
  <sheetProtection algorithmName="SHA-512" hashValue="giWSkt8RRdV18EBu8xQy15k3sKrFmeEOV/8tMkzUZsFWveSfwL5PlcaKKywO6TOQAapwk8f7Z/ETiD62ouhBGA==" saltValue="c+ngO6E+pBKO/zbYrlndHw==" spinCount="100000" sheet="1" objects="1" scenarios="1"/>
  <mergeCells count="2">
    <mergeCell ref="A1:H1"/>
    <mergeCell ref="A2:O2"/>
  </mergeCells>
  <pageMargins left="0.7" right="0.7" top="0.75" bottom="0.75" header="0.3" footer="0.3"/>
  <pageSetup paperSize="8" orientation="landscape"/>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P44"/>
  <sheetViews>
    <sheetView view="pageBreakPreview" zoomScale="90" zoomScaleNormal="90" workbookViewId="0">
      <selection activeCell="N22" sqref="N22"/>
    </sheetView>
  </sheetViews>
  <sheetFormatPr defaultColWidth="9" defaultRowHeight="15"/>
  <cols>
    <col min="2" max="2" width="15.6952380952381" customWidth="1"/>
    <col min="3" max="3" width="9.2" customWidth="1"/>
    <col min="5" max="5" width="15" customWidth="1"/>
    <col min="8" max="8" width="15.6952380952381" customWidth="1"/>
    <col min="11" max="11" width="15.6952380952381" customWidth="1"/>
    <col min="15" max="15" width="14.8" customWidth="1"/>
  </cols>
  <sheetData>
    <row r="1" ht="25.2" customHeight="1" spans="1:1">
      <c r="A1">
        <f>スタート!C1</f>
        <v>0</v>
      </c>
    </row>
    <row r="2" ht="47.25" spans="1:15">
      <c r="A2" s="182" t="s">
        <v>292</v>
      </c>
      <c r="I2" s="262">
        <f>L20+I16+F13+C43</f>
        <v>0</v>
      </c>
      <c r="J2" s="263"/>
      <c r="K2" s="263"/>
      <c r="L2" s="264"/>
      <c r="M2" s="182"/>
      <c r="N2" s="182"/>
      <c r="O2" t="s">
        <v>3</v>
      </c>
    </row>
    <row r="3" ht="21" spans="2:14">
      <c r="B3" s="129" t="s">
        <v>285</v>
      </c>
      <c r="C3" s="243" t="s">
        <v>247</v>
      </c>
      <c r="D3" s="244"/>
      <c r="E3" s="245" t="s">
        <v>67</v>
      </c>
      <c r="F3" s="246" t="s">
        <v>247</v>
      </c>
      <c r="H3" s="65" t="s">
        <v>286</v>
      </c>
      <c r="I3" s="265" t="s">
        <v>247</v>
      </c>
      <c r="J3" s="266"/>
      <c r="K3" s="267" t="s">
        <v>287</v>
      </c>
      <c r="L3" s="265" t="s">
        <v>247</v>
      </c>
      <c r="M3" s="268"/>
      <c r="N3" s="269"/>
    </row>
    <row r="4" ht="21.75" spans="2:14">
      <c r="B4" s="97" t="s">
        <v>288</v>
      </c>
      <c r="C4" s="247" t="s">
        <v>252</v>
      </c>
      <c r="D4" s="244"/>
      <c r="E4" s="248" t="s">
        <v>293</v>
      </c>
      <c r="F4" s="249"/>
      <c r="H4" s="250" t="s">
        <v>288</v>
      </c>
      <c r="I4" s="270" t="s">
        <v>252</v>
      </c>
      <c r="J4" s="266"/>
      <c r="K4" s="271" t="s">
        <v>288</v>
      </c>
      <c r="L4" s="270" t="s">
        <v>252</v>
      </c>
      <c r="M4" s="272"/>
      <c r="N4" s="273"/>
    </row>
    <row r="5" ht="25.2" customHeight="1" spans="2:15">
      <c r="B5" s="251" t="s">
        <v>131</v>
      </c>
      <c r="C5" s="252"/>
      <c r="D5" s="244"/>
      <c r="E5" s="248" t="s">
        <v>72</v>
      </c>
      <c r="F5" s="253"/>
      <c r="H5" s="254" t="s">
        <v>26</v>
      </c>
      <c r="I5" s="77">
        <f>スタート!D60</f>
        <v>0</v>
      </c>
      <c r="J5" s="266"/>
      <c r="K5" s="274" t="s">
        <v>92</v>
      </c>
      <c r="L5" s="275"/>
      <c r="M5" s="268"/>
      <c r="N5" s="137"/>
      <c r="O5" s="276" t="s">
        <v>92</v>
      </c>
    </row>
    <row r="6" ht="25.2" customHeight="1" spans="2:15">
      <c r="B6" s="251" t="s">
        <v>135</v>
      </c>
      <c r="C6" s="252"/>
      <c r="D6" s="244"/>
      <c r="E6" s="255" t="s">
        <v>90</v>
      </c>
      <c r="F6" s="253"/>
      <c r="H6" s="256" t="s">
        <v>34</v>
      </c>
      <c r="I6" s="277">
        <f>スタート!D61</f>
        <v>0</v>
      </c>
      <c r="J6" s="266"/>
      <c r="K6" s="278" t="s">
        <v>94</v>
      </c>
      <c r="L6" s="279"/>
      <c r="M6" s="268"/>
      <c r="N6" s="137"/>
      <c r="O6" s="280" t="s">
        <v>94</v>
      </c>
    </row>
    <row r="7" ht="25.2" customHeight="1" spans="2:15">
      <c r="B7" s="251" t="s">
        <v>139</v>
      </c>
      <c r="C7" s="252"/>
      <c r="D7" s="244"/>
      <c r="E7" s="255" t="s">
        <v>44</v>
      </c>
      <c r="F7" s="257"/>
      <c r="H7" s="256" t="s">
        <v>36</v>
      </c>
      <c r="I7" s="277">
        <f>スタート!D62</f>
        <v>0</v>
      </c>
      <c r="J7" s="266"/>
      <c r="K7" s="278" t="s">
        <v>96</v>
      </c>
      <c r="L7" s="279"/>
      <c r="M7" s="281"/>
      <c r="N7" s="282"/>
      <c r="O7" s="283" t="s">
        <v>96</v>
      </c>
    </row>
    <row r="8" ht="25.2" customHeight="1" spans="2:15">
      <c r="B8" s="251" t="s">
        <v>143</v>
      </c>
      <c r="C8" s="252"/>
      <c r="D8" s="244"/>
      <c r="E8" s="255" t="s">
        <v>46</v>
      </c>
      <c r="F8" s="257"/>
      <c r="H8" s="248" t="s">
        <v>30</v>
      </c>
      <c r="I8" s="279"/>
      <c r="J8" s="266"/>
      <c r="K8" s="278" t="s">
        <v>98</v>
      </c>
      <c r="L8" s="279"/>
      <c r="M8" s="268"/>
      <c r="N8" s="128"/>
      <c r="O8" s="280" t="s">
        <v>98</v>
      </c>
    </row>
    <row r="9" ht="25.2" customHeight="1" spans="2:16">
      <c r="B9" s="251" t="s">
        <v>146</v>
      </c>
      <c r="C9" s="252"/>
      <c r="D9" s="244"/>
      <c r="E9" s="255" t="s">
        <v>52</v>
      </c>
      <c r="F9" s="257"/>
      <c r="H9" s="248" t="s">
        <v>57</v>
      </c>
      <c r="I9" s="279"/>
      <c r="J9" s="266"/>
      <c r="K9" s="278" t="s">
        <v>100</v>
      </c>
      <c r="L9" s="279"/>
      <c r="M9" s="281" t="s">
        <v>294</v>
      </c>
      <c r="N9" s="282"/>
      <c r="O9" s="283" t="s">
        <v>100</v>
      </c>
      <c r="P9">
        <v>0.2</v>
      </c>
    </row>
    <row r="10" ht="25.2" customHeight="1" spans="2:16">
      <c r="B10" s="251" t="s">
        <v>149</v>
      </c>
      <c r="C10" s="252"/>
      <c r="D10" s="244"/>
      <c r="E10" s="255" t="s">
        <v>52</v>
      </c>
      <c r="F10" s="257"/>
      <c r="H10" s="248" t="s">
        <v>59</v>
      </c>
      <c r="I10" s="279"/>
      <c r="J10" s="266"/>
      <c r="K10" s="278" t="s">
        <v>103</v>
      </c>
      <c r="L10" s="279"/>
      <c r="M10" s="281" t="s">
        <v>294</v>
      </c>
      <c r="N10" s="282"/>
      <c r="O10" s="284" t="s">
        <v>103</v>
      </c>
      <c r="P10">
        <v>-5</v>
      </c>
    </row>
    <row r="11" ht="25.2" customHeight="1" spans="2:15">
      <c r="B11" s="251" t="s">
        <v>152</v>
      </c>
      <c r="C11" s="252"/>
      <c r="D11" s="244"/>
      <c r="E11" s="255" t="s">
        <v>52</v>
      </c>
      <c r="F11" s="257"/>
      <c r="H11" s="248" t="s">
        <v>28</v>
      </c>
      <c r="I11" s="279"/>
      <c r="J11" s="266"/>
      <c r="K11" s="278" t="s">
        <v>106</v>
      </c>
      <c r="L11" s="279"/>
      <c r="M11" s="268"/>
      <c r="N11" s="128"/>
      <c r="O11" s="285" t="s">
        <v>106</v>
      </c>
    </row>
    <row r="12" ht="25.2" customHeight="1" spans="2:16">
      <c r="B12" s="251" t="s">
        <v>155</v>
      </c>
      <c r="C12" s="252"/>
      <c r="D12" s="244"/>
      <c r="E12" s="255" t="s">
        <v>52</v>
      </c>
      <c r="F12" s="257"/>
      <c r="H12" s="248" t="s">
        <v>52</v>
      </c>
      <c r="I12" s="286"/>
      <c r="J12" s="266"/>
      <c r="K12" s="278" t="s">
        <v>109</v>
      </c>
      <c r="L12" s="286"/>
      <c r="M12" s="268"/>
      <c r="N12" s="128"/>
      <c r="O12" s="287" t="s">
        <v>109</v>
      </c>
      <c r="P12">
        <v>58</v>
      </c>
    </row>
    <row r="13" ht="25.2" customHeight="1" spans="2:15">
      <c r="B13" s="251" t="s">
        <v>157</v>
      </c>
      <c r="C13" s="252"/>
      <c r="D13" s="244"/>
      <c r="E13" s="117" t="s">
        <v>277</v>
      </c>
      <c r="F13" s="258">
        <f>SUM(F4:F12)</f>
        <v>0</v>
      </c>
      <c r="H13" s="248" t="s">
        <v>52</v>
      </c>
      <c r="I13" s="286"/>
      <c r="J13" s="266"/>
      <c r="K13" s="278" t="s">
        <v>111</v>
      </c>
      <c r="L13" s="286"/>
      <c r="M13" s="268"/>
      <c r="N13" s="128"/>
      <c r="O13" s="288" t="s">
        <v>111</v>
      </c>
    </row>
    <row r="14" ht="25.2" customHeight="1" spans="2:15">
      <c r="B14" s="251" t="s">
        <v>159</v>
      </c>
      <c r="C14" s="252"/>
      <c r="D14" s="244"/>
      <c r="E14" s="117" t="s">
        <v>290</v>
      </c>
      <c r="F14" s="258">
        <f>SUM(スタート!D35:D42)</f>
        <v>0</v>
      </c>
      <c r="H14" s="248" t="s">
        <v>52</v>
      </c>
      <c r="I14" s="286"/>
      <c r="J14" s="266"/>
      <c r="K14" s="278" t="s">
        <v>113</v>
      </c>
      <c r="L14" s="286"/>
      <c r="M14" s="268"/>
      <c r="N14" s="137"/>
      <c r="O14" s="289" t="s">
        <v>113</v>
      </c>
    </row>
    <row r="15" ht="25.2" customHeight="1" spans="2:15">
      <c r="B15" s="251" t="s">
        <v>161</v>
      </c>
      <c r="C15" s="252"/>
      <c r="D15" s="244"/>
      <c r="E15" s="244"/>
      <c r="F15" s="244"/>
      <c r="H15" s="259" t="s">
        <v>295</v>
      </c>
      <c r="I15" s="286"/>
      <c r="J15" s="266"/>
      <c r="K15" s="278" t="s">
        <v>115</v>
      </c>
      <c r="L15" s="286"/>
      <c r="M15" s="268"/>
      <c r="O15" s="287" t="s">
        <v>115</v>
      </c>
    </row>
    <row r="16" ht="25.2" customHeight="1" spans="2:15">
      <c r="B16" s="251" t="s">
        <v>164</v>
      </c>
      <c r="C16" s="252"/>
      <c r="D16" s="244"/>
      <c r="E16" s="244"/>
      <c r="F16" s="244"/>
      <c r="H16" s="117" t="s">
        <v>277</v>
      </c>
      <c r="I16" s="258">
        <f>SUM(I5:I15)</f>
        <v>0</v>
      </c>
      <c r="J16" s="290"/>
      <c r="K16" s="278" t="s">
        <v>118</v>
      </c>
      <c r="L16" s="257"/>
      <c r="O16" s="288" t="s">
        <v>118</v>
      </c>
    </row>
    <row r="17" ht="25.2" customHeight="1" spans="2:15">
      <c r="B17" s="251" t="s">
        <v>166</v>
      </c>
      <c r="C17" s="252"/>
      <c r="D17" s="244"/>
      <c r="E17" s="244"/>
      <c r="F17" s="244"/>
      <c r="H17" s="117" t="s">
        <v>296</v>
      </c>
      <c r="I17" s="258">
        <f>SUM(スタート!D13:D28)+SUM(スタート!D60:D62)</f>
        <v>0</v>
      </c>
      <c r="J17" s="290"/>
      <c r="K17" s="278" t="s">
        <v>120</v>
      </c>
      <c r="L17" s="257"/>
      <c r="O17" s="289" t="s">
        <v>120</v>
      </c>
    </row>
    <row r="18" ht="25.2" customHeight="1" spans="2:15">
      <c r="B18" s="251" t="s">
        <v>169</v>
      </c>
      <c r="C18" s="252"/>
      <c r="I18" s="291"/>
      <c r="J18" s="290"/>
      <c r="K18" s="278" t="s">
        <v>297</v>
      </c>
      <c r="L18" s="257"/>
      <c r="O18" s="292" t="s">
        <v>297</v>
      </c>
    </row>
    <row r="19" ht="25.2" customHeight="1" spans="2:15">
      <c r="B19" s="251" t="s">
        <v>171</v>
      </c>
      <c r="C19" s="252"/>
      <c r="I19" s="291"/>
      <c r="J19" s="290"/>
      <c r="K19" s="293" t="s">
        <v>78</v>
      </c>
      <c r="L19" s="257"/>
      <c r="O19" s="292" t="s">
        <v>78</v>
      </c>
    </row>
    <row r="20" ht="25.2" customHeight="1" spans="2:12">
      <c r="B20" s="251" t="s">
        <v>173</v>
      </c>
      <c r="C20" s="252"/>
      <c r="I20" s="291"/>
      <c r="J20" s="290"/>
      <c r="K20" s="294" t="s">
        <v>277</v>
      </c>
      <c r="L20" s="295">
        <f>SUM(L5:L19)</f>
        <v>0</v>
      </c>
    </row>
    <row r="21" ht="25.2" customHeight="1" spans="2:12">
      <c r="B21" s="251" t="s">
        <v>176</v>
      </c>
      <c r="C21" s="252"/>
      <c r="I21" s="291"/>
      <c r="J21" s="290"/>
      <c r="K21" s="296" t="s">
        <v>296</v>
      </c>
      <c r="L21" s="295">
        <f>SUM(スタート!D43:D56)</f>
        <v>0</v>
      </c>
    </row>
    <row r="22" ht="25.2" customHeight="1" spans="2:11">
      <c r="B22" s="251" t="s">
        <v>179</v>
      </c>
      <c r="C22" s="252"/>
      <c r="I22" s="291"/>
      <c r="J22" s="290"/>
      <c r="K22" s="291"/>
    </row>
    <row r="23" ht="25.2" customHeight="1" spans="2:11">
      <c r="B23" s="251" t="s">
        <v>181</v>
      </c>
      <c r="C23" s="252"/>
      <c r="I23" s="291"/>
      <c r="J23" s="290"/>
      <c r="K23" s="291"/>
    </row>
    <row r="24" ht="25.2" customHeight="1" spans="2:11">
      <c r="B24" s="251" t="s">
        <v>183</v>
      </c>
      <c r="C24" s="252"/>
      <c r="I24" s="291"/>
      <c r="J24" s="290"/>
      <c r="K24" s="291"/>
    </row>
    <row r="25" ht="25.2" customHeight="1" spans="2:11">
      <c r="B25" s="251" t="s">
        <v>185</v>
      </c>
      <c r="C25" s="252"/>
      <c r="I25" s="291"/>
      <c r="J25" s="290"/>
      <c r="K25" s="291"/>
    </row>
    <row r="26" ht="25.2" customHeight="1" spans="2:11">
      <c r="B26" s="251" t="s">
        <v>187</v>
      </c>
      <c r="C26" s="252"/>
      <c r="I26" s="291"/>
      <c r="J26" s="290"/>
      <c r="K26" s="291"/>
    </row>
    <row r="27" ht="25.2" customHeight="1" spans="2:11">
      <c r="B27" s="251" t="s">
        <v>189</v>
      </c>
      <c r="C27" s="252"/>
      <c r="I27" s="291"/>
      <c r="J27" s="290"/>
      <c r="K27" s="291"/>
    </row>
    <row r="28" ht="25.2" customHeight="1" spans="2:11">
      <c r="B28" s="251" t="s">
        <v>191</v>
      </c>
      <c r="C28" s="252"/>
      <c r="I28" s="291"/>
      <c r="J28" s="290"/>
      <c r="K28" s="291"/>
    </row>
    <row r="29" ht="25.2" customHeight="1" spans="2:11">
      <c r="B29" s="251" t="s">
        <v>76</v>
      </c>
      <c r="C29" s="252"/>
      <c r="I29" s="291"/>
      <c r="J29" s="290"/>
      <c r="K29" s="291"/>
    </row>
    <row r="30" ht="25.2" customHeight="1" spans="2:11">
      <c r="B30" s="251" t="s">
        <v>194</v>
      </c>
      <c r="C30" s="252"/>
      <c r="I30" s="291"/>
      <c r="J30" s="290"/>
      <c r="K30" s="291"/>
    </row>
    <row r="31" ht="25.2" customHeight="1" spans="2:11">
      <c r="B31" s="251" t="s">
        <v>196</v>
      </c>
      <c r="C31" s="252"/>
      <c r="I31" s="291"/>
      <c r="J31" s="290"/>
      <c r="K31" s="291"/>
    </row>
    <row r="32" ht="25.2" customHeight="1" spans="2:11">
      <c r="B32" s="251" t="s">
        <v>198</v>
      </c>
      <c r="C32" s="252"/>
      <c r="I32" s="291"/>
      <c r="J32" s="290"/>
      <c r="K32" s="291"/>
    </row>
    <row r="33" ht="25.2" customHeight="1" spans="2:11">
      <c r="B33" s="251" t="s">
        <v>200</v>
      </c>
      <c r="C33" s="252"/>
      <c r="I33" s="291"/>
      <c r="J33" s="290"/>
      <c r="K33" s="291"/>
    </row>
    <row r="34" ht="25.2" customHeight="1" spans="2:11">
      <c r="B34" s="251" t="s">
        <v>202</v>
      </c>
      <c r="C34" s="252"/>
      <c r="J34" s="290"/>
      <c r="K34" s="291"/>
    </row>
    <row r="35" ht="25.2" customHeight="1" spans="2:11">
      <c r="B35" s="251" t="s">
        <v>204</v>
      </c>
      <c r="C35" s="252"/>
      <c r="J35" s="290"/>
      <c r="K35" s="291"/>
    </row>
    <row r="36" ht="25.2" customHeight="1" spans="2:11">
      <c r="B36" s="251" t="s">
        <v>206</v>
      </c>
      <c r="C36" s="252"/>
      <c r="J36" s="290"/>
      <c r="K36" s="291"/>
    </row>
    <row r="37" ht="25.2" customHeight="1" spans="2:11">
      <c r="B37" s="251" t="s">
        <v>208</v>
      </c>
      <c r="C37" s="252"/>
      <c r="J37" s="290"/>
      <c r="K37" s="291"/>
    </row>
    <row r="38" ht="25.2" customHeight="1" spans="2:11">
      <c r="B38" s="251" t="s">
        <v>210</v>
      </c>
      <c r="C38" s="252"/>
      <c r="J38" s="290"/>
      <c r="K38" s="291"/>
    </row>
    <row r="39" ht="25.2" customHeight="1" spans="2:11">
      <c r="B39" s="251" t="s">
        <v>212</v>
      </c>
      <c r="C39" s="252"/>
      <c r="J39" s="290"/>
      <c r="K39" s="291"/>
    </row>
    <row r="40" ht="25.2" customHeight="1" spans="2:11">
      <c r="B40" s="251" t="s">
        <v>129</v>
      </c>
      <c r="C40" s="252"/>
      <c r="J40" s="290"/>
      <c r="K40" s="291"/>
    </row>
    <row r="41" ht="25.2" customHeight="1" spans="2:3">
      <c r="B41" s="251" t="s">
        <v>215</v>
      </c>
      <c r="C41" s="252"/>
    </row>
    <row r="42" ht="25.2" customHeight="1" spans="2:3">
      <c r="B42" s="251" t="s">
        <v>217</v>
      </c>
      <c r="C42" s="252"/>
    </row>
    <row r="43" ht="27.6" customHeight="1" spans="2:3">
      <c r="B43" s="260" t="s">
        <v>277</v>
      </c>
      <c r="C43" s="261">
        <f>SUM(C5:C42)</f>
        <v>0</v>
      </c>
    </row>
    <row r="44" ht="27.6" customHeight="1" spans="2:3">
      <c r="B44" s="260" t="s">
        <v>290</v>
      </c>
      <c r="C44" s="261">
        <f>SUM(スタート!D63:D100)</f>
        <v>0</v>
      </c>
    </row>
  </sheetData>
  <sheetProtection algorithmName="SHA-512" hashValue="aRAGVYMV573PCZ5M7rSUMMoPV+32DEl4RkuIFu0fm8AMnn2xjeiAkq0ugn0o3jB3wnShx+iKDpXKOKC72oAFMw==" saltValue="5tRD4Bx1L84yJUSENdwhBA==" spinCount="100000" sheet="1" objects="1" scenarios="1"/>
  <mergeCells count="6">
    <mergeCell ref="A1:F1"/>
    <mergeCell ref="A2:H2"/>
    <mergeCell ref="I2:L2"/>
    <mergeCell ref="M7:N7"/>
    <mergeCell ref="M9:N9"/>
    <mergeCell ref="M10:N10"/>
  </mergeCells>
  <pageMargins left="0.7" right="0.7" top="0.75" bottom="0.75" header="0.3" footer="0.3"/>
  <pageSetup paperSize="8" scale="61"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L37"/>
  <sheetViews>
    <sheetView view="pageBreakPreview" zoomScale="90" zoomScaleNormal="100" workbookViewId="0">
      <selection activeCell="A29" sqref="A29"/>
    </sheetView>
  </sheetViews>
  <sheetFormatPr defaultColWidth="8.69523809523809" defaultRowHeight="15"/>
  <cols>
    <col min="1" max="1" width="17.6952380952381" style="181" customWidth="1"/>
    <col min="2" max="7" width="14.5047619047619" style="181" customWidth="1"/>
    <col min="8" max="8" width="8.8952380952381" style="181" customWidth="1"/>
    <col min="9" max="16384" width="8.69523809523809" style="181"/>
  </cols>
  <sheetData>
    <row r="1" spans="1:5">
      <c r="A1" s="181">
        <f>スタート!C1</f>
        <v>0</v>
      </c>
      <c r="B1"/>
      <c r="C1"/>
      <c r="D1"/>
      <c r="E1"/>
    </row>
    <row r="2" ht="46.5" spans="1:12">
      <c r="A2" s="182" t="s">
        <v>298</v>
      </c>
      <c r="B2"/>
      <c r="C2"/>
      <c r="D2"/>
      <c r="E2" t="s">
        <v>299</v>
      </c>
      <c r="F2" s="183" t="s">
        <v>300</v>
      </c>
      <c r="G2" s="184">
        <f>F31</f>
        <v>0</v>
      </c>
      <c r="H2" s="185"/>
      <c r="I2" s="239"/>
      <c r="J2" s="240"/>
      <c r="K2" t="s">
        <v>3</v>
      </c>
      <c r="L2" s="241"/>
    </row>
    <row r="4" spans="3:5">
      <c r="C4" s="186" t="s">
        <v>301</v>
      </c>
      <c r="D4" s="187"/>
      <c r="E4" s="187"/>
    </row>
    <row r="5" spans="1:7">
      <c r="A5" s="188" t="s">
        <v>302</v>
      </c>
      <c r="B5" s="189"/>
      <c r="C5" s="188" t="s">
        <v>303</v>
      </c>
      <c r="D5" s="188" t="s">
        <v>304</v>
      </c>
      <c r="E5" s="188" t="s">
        <v>305</v>
      </c>
      <c r="F5" s="189"/>
      <c r="G5" s="189"/>
    </row>
    <row r="6" spans="1:7">
      <c r="A6" s="190" t="s">
        <v>247</v>
      </c>
      <c r="B6" s="190" t="s">
        <v>24</v>
      </c>
      <c r="C6" s="190" t="s">
        <v>306</v>
      </c>
      <c r="D6" s="190" t="s">
        <v>307</v>
      </c>
      <c r="E6" s="190" t="s">
        <v>250</v>
      </c>
      <c r="F6" s="190" t="s">
        <v>14</v>
      </c>
      <c r="G6" s="190" t="s">
        <v>308</v>
      </c>
    </row>
    <row r="7" spans="1:7">
      <c r="A7" s="191" t="s">
        <v>309</v>
      </c>
      <c r="B7" s="192" t="s">
        <v>310</v>
      </c>
      <c r="C7" s="192" t="s">
        <v>311</v>
      </c>
      <c r="D7" s="192" t="s">
        <v>312</v>
      </c>
      <c r="E7" s="192" t="s">
        <v>311</v>
      </c>
      <c r="F7" s="192" t="s">
        <v>310</v>
      </c>
      <c r="G7" s="191" t="s">
        <v>247</v>
      </c>
    </row>
    <row r="8" spans="1:7">
      <c r="A8" s="193" t="s">
        <v>313</v>
      </c>
      <c r="B8" s="194">
        <f>D8*C8</f>
        <v>0</v>
      </c>
      <c r="C8" s="195"/>
      <c r="D8" s="196"/>
      <c r="E8" s="197"/>
      <c r="F8" s="198">
        <f>D8*E8</f>
        <v>0</v>
      </c>
      <c r="G8" s="199" t="str">
        <f>IFERROR(C8/E8,"0")</f>
        <v>0</v>
      </c>
    </row>
    <row r="9" spans="1:7">
      <c r="A9" s="193" t="s">
        <v>313</v>
      </c>
      <c r="B9" s="200">
        <f t="shared" ref="B9:B29" si="0">D9*C9</f>
        <v>0</v>
      </c>
      <c r="C9" s="201"/>
      <c r="D9" s="202"/>
      <c r="E9" s="203"/>
      <c r="F9" s="204">
        <f t="shared" ref="F9:F29" si="1">D9*E9</f>
        <v>0</v>
      </c>
      <c r="G9" s="199" t="str">
        <f t="shared" ref="G9:G29" si="2">IFERROR(C9/E9,"0")</f>
        <v>0</v>
      </c>
    </row>
    <row r="10" spans="1:7">
      <c r="A10" s="193" t="s">
        <v>313</v>
      </c>
      <c r="B10" s="200">
        <f t="shared" si="0"/>
        <v>0</v>
      </c>
      <c r="C10" s="201"/>
      <c r="D10" s="202"/>
      <c r="E10" s="203"/>
      <c r="F10" s="204">
        <f t="shared" si="1"/>
        <v>0</v>
      </c>
      <c r="G10" s="199" t="str">
        <f t="shared" si="2"/>
        <v>0</v>
      </c>
    </row>
    <row r="11" spans="1:7">
      <c r="A11" s="193" t="s">
        <v>313</v>
      </c>
      <c r="B11" s="200">
        <f t="shared" si="0"/>
        <v>0</v>
      </c>
      <c r="C11" s="201"/>
      <c r="D11" s="202"/>
      <c r="E11" s="203"/>
      <c r="F11" s="204">
        <f t="shared" si="1"/>
        <v>0</v>
      </c>
      <c r="G11" s="199" t="str">
        <f t="shared" si="2"/>
        <v>0</v>
      </c>
    </row>
    <row r="12" spans="1:7">
      <c r="A12" s="193" t="s">
        <v>313</v>
      </c>
      <c r="B12" s="200">
        <f t="shared" si="0"/>
        <v>0</v>
      </c>
      <c r="C12" s="201"/>
      <c r="D12" s="202"/>
      <c r="E12" s="203"/>
      <c r="F12" s="204">
        <f t="shared" si="1"/>
        <v>0</v>
      </c>
      <c r="G12" s="199" t="str">
        <f t="shared" si="2"/>
        <v>0</v>
      </c>
    </row>
    <row r="13" spans="1:7">
      <c r="A13" s="193" t="s">
        <v>313</v>
      </c>
      <c r="B13" s="200">
        <f t="shared" si="0"/>
        <v>0</v>
      </c>
      <c r="C13" s="201"/>
      <c r="D13" s="202"/>
      <c r="E13" s="203"/>
      <c r="F13" s="204">
        <f t="shared" si="1"/>
        <v>0</v>
      </c>
      <c r="G13" s="199" t="str">
        <f t="shared" si="2"/>
        <v>0</v>
      </c>
    </row>
    <row r="14" spans="1:7">
      <c r="A14" s="193" t="s">
        <v>313</v>
      </c>
      <c r="B14" s="200">
        <f t="shared" si="0"/>
        <v>0</v>
      </c>
      <c r="C14" s="205"/>
      <c r="D14" s="202"/>
      <c r="E14" s="203"/>
      <c r="F14" s="204">
        <f t="shared" si="1"/>
        <v>0</v>
      </c>
      <c r="G14" s="199" t="str">
        <f t="shared" si="2"/>
        <v>0</v>
      </c>
    </row>
    <row r="15" spans="1:7">
      <c r="A15" s="193" t="s">
        <v>313</v>
      </c>
      <c r="B15" s="200">
        <f t="shared" si="0"/>
        <v>0</v>
      </c>
      <c r="C15" s="205"/>
      <c r="D15" s="202"/>
      <c r="E15" s="203"/>
      <c r="F15" s="204">
        <f t="shared" si="1"/>
        <v>0</v>
      </c>
      <c r="G15" s="199" t="str">
        <f t="shared" si="2"/>
        <v>0</v>
      </c>
    </row>
    <row r="16" spans="1:7">
      <c r="A16" s="193" t="s">
        <v>314</v>
      </c>
      <c r="B16" s="200">
        <f t="shared" si="0"/>
        <v>0</v>
      </c>
      <c r="C16" s="205"/>
      <c r="D16" s="202"/>
      <c r="E16" s="203"/>
      <c r="F16" s="204">
        <f t="shared" si="1"/>
        <v>0</v>
      </c>
      <c r="G16" s="199" t="str">
        <f t="shared" si="2"/>
        <v>0</v>
      </c>
    </row>
    <row r="17" spans="1:7">
      <c r="A17" s="193" t="s">
        <v>313</v>
      </c>
      <c r="B17" s="200">
        <f t="shared" si="0"/>
        <v>0</v>
      </c>
      <c r="C17" s="205"/>
      <c r="D17" s="202"/>
      <c r="E17" s="203"/>
      <c r="F17" s="204">
        <f t="shared" si="1"/>
        <v>0</v>
      </c>
      <c r="G17" s="199" t="str">
        <f t="shared" si="2"/>
        <v>0</v>
      </c>
    </row>
    <row r="18" spans="1:7">
      <c r="A18" s="193" t="s">
        <v>313</v>
      </c>
      <c r="B18" s="200">
        <f t="shared" si="0"/>
        <v>0</v>
      </c>
      <c r="C18" s="205"/>
      <c r="D18" s="202"/>
      <c r="E18" s="203"/>
      <c r="F18" s="204">
        <f t="shared" si="1"/>
        <v>0</v>
      </c>
      <c r="G18" s="199" t="str">
        <f t="shared" si="2"/>
        <v>0</v>
      </c>
    </row>
    <row r="19" spans="1:7">
      <c r="A19" s="193" t="s">
        <v>313</v>
      </c>
      <c r="B19" s="200">
        <f t="shared" si="0"/>
        <v>0</v>
      </c>
      <c r="C19" s="205"/>
      <c r="D19" s="202"/>
      <c r="E19" s="203"/>
      <c r="F19" s="204">
        <f t="shared" si="1"/>
        <v>0</v>
      </c>
      <c r="G19" s="199" t="str">
        <f t="shared" si="2"/>
        <v>0</v>
      </c>
    </row>
    <row r="20" spans="1:7">
      <c r="A20" s="193" t="s">
        <v>313</v>
      </c>
      <c r="B20" s="200">
        <f t="shared" si="0"/>
        <v>0</v>
      </c>
      <c r="C20" s="205"/>
      <c r="D20" s="202"/>
      <c r="E20" s="203"/>
      <c r="F20" s="204">
        <f t="shared" si="1"/>
        <v>0</v>
      </c>
      <c r="G20" s="199" t="str">
        <f t="shared" si="2"/>
        <v>0</v>
      </c>
    </row>
    <row r="21" spans="1:7">
      <c r="A21" s="193" t="s">
        <v>313</v>
      </c>
      <c r="B21" s="200">
        <f t="shared" si="0"/>
        <v>0</v>
      </c>
      <c r="C21" s="205"/>
      <c r="D21" s="202"/>
      <c r="E21" s="203"/>
      <c r="F21" s="204">
        <f t="shared" si="1"/>
        <v>0</v>
      </c>
      <c r="G21" s="199" t="str">
        <f t="shared" si="2"/>
        <v>0</v>
      </c>
    </row>
    <row r="22" spans="1:7">
      <c r="A22" s="193" t="s">
        <v>313</v>
      </c>
      <c r="B22" s="200">
        <f t="shared" si="0"/>
        <v>0</v>
      </c>
      <c r="C22" s="205"/>
      <c r="D22" s="202"/>
      <c r="E22" s="203"/>
      <c r="F22" s="204">
        <f t="shared" si="1"/>
        <v>0</v>
      </c>
      <c r="G22" s="199" t="str">
        <f t="shared" si="2"/>
        <v>0</v>
      </c>
    </row>
    <row r="23" spans="1:7">
      <c r="A23" s="193" t="s">
        <v>313</v>
      </c>
      <c r="B23" s="200">
        <f t="shared" si="0"/>
        <v>0</v>
      </c>
      <c r="C23" s="205"/>
      <c r="D23" s="202"/>
      <c r="E23" s="203"/>
      <c r="F23" s="204">
        <f t="shared" si="1"/>
        <v>0</v>
      </c>
      <c r="G23" s="199" t="str">
        <f t="shared" si="2"/>
        <v>0</v>
      </c>
    </row>
    <row r="24" spans="1:7">
      <c r="A24" s="193" t="s">
        <v>313</v>
      </c>
      <c r="B24" s="200">
        <f t="shared" si="0"/>
        <v>0</v>
      </c>
      <c r="C24" s="205"/>
      <c r="D24" s="202"/>
      <c r="E24" s="203"/>
      <c r="F24" s="204">
        <f t="shared" si="1"/>
        <v>0</v>
      </c>
      <c r="G24" s="199" t="str">
        <f t="shared" si="2"/>
        <v>0</v>
      </c>
    </row>
    <row r="25" spans="1:7">
      <c r="A25" s="193" t="s">
        <v>313</v>
      </c>
      <c r="B25" s="200">
        <f t="shared" si="0"/>
        <v>0</v>
      </c>
      <c r="C25" s="205"/>
      <c r="D25" s="202"/>
      <c r="E25" s="203"/>
      <c r="F25" s="204">
        <f t="shared" si="1"/>
        <v>0</v>
      </c>
      <c r="G25" s="199" t="str">
        <f t="shared" si="2"/>
        <v>0</v>
      </c>
    </row>
    <row r="26" spans="1:7">
      <c r="A26" s="193" t="s">
        <v>313</v>
      </c>
      <c r="B26" s="200">
        <f t="shared" si="0"/>
        <v>0</v>
      </c>
      <c r="C26" s="205"/>
      <c r="D26" s="202"/>
      <c r="E26" s="203"/>
      <c r="F26" s="204">
        <f t="shared" si="1"/>
        <v>0</v>
      </c>
      <c r="G26" s="199" t="str">
        <f t="shared" si="2"/>
        <v>0</v>
      </c>
    </row>
    <row r="27" spans="1:7">
      <c r="A27" s="193" t="s">
        <v>313</v>
      </c>
      <c r="B27" s="200">
        <f t="shared" si="0"/>
        <v>0</v>
      </c>
      <c r="C27" s="205"/>
      <c r="D27" s="202"/>
      <c r="E27" s="203"/>
      <c r="F27" s="204">
        <f t="shared" si="1"/>
        <v>0</v>
      </c>
      <c r="G27" s="199" t="str">
        <f t="shared" si="2"/>
        <v>0</v>
      </c>
    </row>
    <row r="28" spans="1:7">
      <c r="A28" s="193" t="s">
        <v>313</v>
      </c>
      <c r="B28" s="200">
        <f t="shared" si="0"/>
        <v>0</v>
      </c>
      <c r="C28" s="205"/>
      <c r="D28" s="202"/>
      <c r="E28" s="203"/>
      <c r="F28" s="204">
        <f t="shared" si="1"/>
        <v>0</v>
      </c>
      <c r="G28" s="199" t="str">
        <f t="shared" si="2"/>
        <v>0</v>
      </c>
    </row>
    <row r="29" spans="1:7">
      <c r="A29" s="193" t="s">
        <v>313</v>
      </c>
      <c r="B29" s="206">
        <f t="shared" si="0"/>
        <v>0</v>
      </c>
      <c r="C29" s="207"/>
      <c r="D29" s="208"/>
      <c r="E29" s="209"/>
      <c r="F29" s="210">
        <f t="shared" si="1"/>
        <v>0</v>
      </c>
      <c r="G29" s="199" t="str">
        <f t="shared" si="2"/>
        <v>0</v>
      </c>
    </row>
    <row r="30" spans="1:7">
      <c r="A30" s="211"/>
      <c r="B30" s="212" t="s">
        <v>315</v>
      </c>
      <c r="C30" s="213" t="s">
        <v>316</v>
      </c>
      <c r="D30" s="214" t="s">
        <v>317</v>
      </c>
      <c r="E30" s="213" t="s">
        <v>318</v>
      </c>
      <c r="F30" s="214" t="s">
        <v>319</v>
      </c>
      <c r="G30" s="215" t="s">
        <v>320</v>
      </c>
    </row>
    <row r="31" spans="1:7">
      <c r="A31" s="190" t="s">
        <v>321</v>
      </c>
      <c r="B31" s="216">
        <f>SUM(B8:B29)</f>
        <v>0</v>
      </c>
      <c r="C31" s="216">
        <f>AVERAGE(C8:C29,"0")</f>
        <v>0</v>
      </c>
      <c r="D31" s="216">
        <f>SUM(D8:D29)</f>
        <v>0</v>
      </c>
      <c r="E31" s="216" t="str">
        <f>IFERROR(F31/D31,"")</f>
        <v/>
      </c>
      <c r="F31" s="216">
        <f>SUM(F8:F29)</f>
        <v>0</v>
      </c>
      <c r="G31" s="217" t="e">
        <f>AVERAGE(G8:G29)</f>
        <v>#DIV/0!</v>
      </c>
    </row>
    <row r="32" spans="1:9">
      <c r="A32" s="218"/>
      <c r="B32" s="219"/>
      <c r="C32" s="220" t="s">
        <v>247</v>
      </c>
      <c r="D32" s="220" t="s">
        <v>247</v>
      </c>
      <c r="E32" s="219"/>
      <c r="F32" s="219"/>
      <c r="G32" s="218"/>
      <c r="I32" s="242"/>
    </row>
    <row r="33" spans="1:7">
      <c r="A33" s="221" t="s">
        <v>322</v>
      </c>
      <c r="B33" s="222" t="s">
        <v>247</v>
      </c>
      <c r="C33" s="223" t="s">
        <v>323</v>
      </c>
      <c r="D33" s="224" t="s">
        <v>324</v>
      </c>
      <c r="E33" s="224" t="s">
        <v>325</v>
      </c>
      <c r="F33" s="225" t="s">
        <v>326</v>
      </c>
      <c r="G33" s="226">
        <f>③給料!D14+③給料!I14+③給料!N14+'⑤製造原価 (人）'!D14+'⑤製造原価 (人）'!I14+'⑤製造原価 (人）'!N14</f>
        <v>0</v>
      </c>
    </row>
    <row r="34" ht="21" spans="1:7">
      <c r="A34" s="227" t="s">
        <v>327</v>
      </c>
      <c r="B34" s="228">
        <f>'②⑧MQ（未来）'!F17*1000</f>
        <v>0</v>
      </c>
      <c r="C34" s="229" t="str">
        <f>IFERROR(B31/F31,"")</f>
        <v/>
      </c>
      <c r="D34" s="230"/>
      <c r="E34" s="230" t="s">
        <v>247</v>
      </c>
      <c r="F34" s="231" t="s">
        <v>328</v>
      </c>
      <c r="G34" s="232" t="s">
        <v>329</v>
      </c>
    </row>
    <row r="35" spans="1:7">
      <c r="A35" s="190"/>
      <c r="B35" s="190" t="s">
        <v>247</v>
      </c>
      <c r="C35" s="233" t="s">
        <v>330</v>
      </c>
      <c r="D35" s="224" t="s">
        <v>331</v>
      </c>
      <c r="E35" s="224" t="s">
        <v>332</v>
      </c>
      <c r="F35" s="234" t="s">
        <v>247</v>
      </c>
      <c r="G35" s="235"/>
    </row>
    <row r="36" spans="1:7">
      <c r="A36" s="191" t="s">
        <v>24</v>
      </c>
      <c r="B36" s="191">
        <f>B31</f>
        <v>0</v>
      </c>
      <c r="C36" s="230">
        <v>0</v>
      </c>
      <c r="D36" s="230" t="s">
        <v>247</v>
      </c>
      <c r="E36" s="230">
        <v>0</v>
      </c>
      <c r="F36" s="236" t="e">
        <f>B36/G33</f>
        <v>#DIV/0!</v>
      </c>
      <c r="G36" s="237" t="e">
        <f>F31/G33</f>
        <v>#DIV/0!</v>
      </c>
    </row>
    <row r="37" spans="1:7">
      <c r="A37" s="238"/>
      <c r="B37" s="238"/>
      <c r="C37" s="238"/>
      <c r="D37" s="238"/>
      <c r="E37" s="238"/>
      <c r="F37" s="238"/>
      <c r="G37" s="238"/>
    </row>
  </sheetData>
  <sheetProtection algorithmName="SHA-512" hashValue="Fp7QqinkO41MDpGG4KJb8k0rD5ckxVrku/twNPQzegxPS+lFZGpa3hKDYC0/K4kR/ZwWfho/bQfR1BkObKoRyQ==" saltValue="d4H+Ld4xgr4KLrfgHNrIiA==" spinCount="100000" sheet="1" objects="1" scenarios="1"/>
  <mergeCells count="12">
    <mergeCell ref="A1:E1"/>
    <mergeCell ref="A2:D2"/>
    <mergeCell ref="G2:I2"/>
    <mergeCell ref="C4:E4"/>
    <mergeCell ref="A33:B33"/>
    <mergeCell ref="A31:A32"/>
    <mergeCell ref="B31:B32"/>
    <mergeCell ref="C31:C32"/>
    <mergeCell ref="D31:D32"/>
    <mergeCell ref="E31:E32"/>
    <mergeCell ref="F31:F32"/>
    <mergeCell ref="G31:G32"/>
  </mergeCells>
  <dataValidations count="1">
    <dataValidation type="list" allowBlank="1" showInputMessage="1" showErrorMessage="1" sqref="C7">
      <formula1>$P$36:$P$44</formula1>
    </dataValidation>
  </dataValidations>
  <pageMargins left="0.7" right="0.7" top="0.75" bottom="0.75" header="0.3" footer="0.3"/>
  <pageSetup paperSize="8" orientation="landscape"/>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R29"/>
  <sheetViews>
    <sheetView view="pageBreakPreview" zoomScale="80" zoomScaleNormal="100" workbookViewId="0">
      <selection activeCell="D18" sqref="D18"/>
    </sheetView>
  </sheetViews>
  <sheetFormatPr defaultColWidth="8.69523809523809" defaultRowHeight="15"/>
  <cols>
    <col min="1" max="1" width="31.5047619047619" style="166" customWidth="1"/>
    <col min="2" max="2" width="16.2" style="166" customWidth="1"/>
    <col min="3" max="3" width="12.6" style="166" customWidth="1"/>
    <col min="4" max="4" width="29.6" style="166" customWidth="1"/>
    <col min="5" max="5" width="16.8" style="166" customWidth="1"/>
    <col min="6" max="7" width="8.69523809523809" style="166"/>
    <col min="8" max="8" width="14.2" style="166" customWidth="1"/>
    <col min="9" max="9" width="14.8952380952381" style="166" customWidth="1"/>
    <col min="10" max="10" width="11.2" style="166" customWidth="1"/>
    <col min="11" max="11" width="8.69523809523809" style="166"/>
    <col min="12" max="12" width="10.2" style="166" customWidth="1"/>
    <col min="13" max="16384" width="8.69523809523809" style="166"/>
  </cols>
  <sheetData>
    <row r="1" ht="15.75" spans="1:5">
      <c r="A1" s="167" t="s">
        <v>333</v>
      </c>
      <c r="B1" s="168"/>
      <c r="D1" s="167" t="s">
        <v>7</v>
      </c>
      <c r="E1" s="168"/>
    </row>
    <row r="2" ht="15.75" spans="1:18">
      <c r="A2" s="169" t="s">
        <v>334</v>
      </c>
      <c r="B2" s="170">
        <f>⑦原価詳細!F31</f>
        <v>0</v>
      </c>
      <c r="C2" s="171"/>
      <c r="D2" s="169" t="s">
        <v>334</v>
      </c>
      <c r="E2" s="170">
        <f>スタート!C6*1000000</f>
        <v>0</v>
      </c>
      <c r="H2" s="166" t="s">
        <v>334</v>
      </c>
      <c r="I2" s="166" t="s">
        <v>335</v>
      </c>
      <c r="J2" s="166" t="s">
        <v>336</v>
      </c>
      <c r="K2" s="166" t="s">
        <v>336</v>
      </c>
      <c r="L2" s="166" t="s">
        <v>337</v>
      </c>
      <c r="N2" s="166" t="s">
        <v>334</v>
      </c>
      <c r="O2" s="166" t="s">
        <v>335</v>
      </c>
      <c r="P2" s="166" t="s">
        <v>336</v>
      </c>
      <c r="Q2" s="166" t="s">
        <v>336</v>
      </c>
      <c r="R2" s="166" t="s">
        <v>337</v>
      </c>
    </row>
    <row r="3" ht="15.75" spans="1:18">
      <c r="A3" s="169" t="s">
        <v>22</v>
      </c>
      <c r="B3" s="170">
        <f>'⑥製造（経費)'!I2*1000000</f>
        <v>0</v>
      </c>
      <c r="C3" s="171"/>
      <c r="D3" s="169" t="s">
        <v>22</v>
      </c>
      <c r="E3" s="170">
        <f>スタート!G102*1000000</f>
        <v>0</v>
      </c>
      <c r="H3" s="166">
        <v>0</v>
      </c>
      <c r="I3" s="179">
        <f>B4</f>
        <v>0</v>
      </c>
      <c r="J3" s="180">
        <f>H3-I3</f>
        <v>0</v>
      </c>
      <c r="K3" s="166" t="e">
        <f>IF(J3&gt;0,J3,NA())</f>
        <v>#N/A</v>
      </c>
      <c r="L3" s="166" t="e">
        <f>IF(J3&lt;0,J3,NA())</f>
        <v>#N/A</v>
      </c>
      <c r="N3" s="166">
        <v>0</v>
      </c>
      <c r="O3" s="179">
        <f>E4</f>
        <v>0</v>
      </c>
      <c r="P3" s="180">
        <f>N3-O3</f>
        <v>0</v>
      </c>
      <c r="Q3" s="166" t="e">
        <f>IF(P3&gt;0,P3,NA())</f>
        <v>#N/A</v>
      </c>
      <c r="R3" s="166" t="e">
        <f>IF(P3&lt;0,P3,NA())</f>
        <v>#N/A</v>
      </c>
    </row>
    <row r="4" ht="15.75" spans="1:18">
      <c r="A4" s="169" t="s">
        <v>338</v>
      </c>
      <c r="B4" s="170">
        <f>④経費!I2*1000000</f>
        <v>0</v>
      </c>
      <c r="C4" s="171"/>
      <c r="D4" s="169" t="s">
        <v>338</v>
      </c>
      <c r="E4" s="170">
        <f>スタート!G103*1000000</f>
        <v>0</v>
      </c>
      <c r="H4" s="166">
        <f>B2/6</f>
        <v>0</v>
      </c>
      <c r="I4" s="179" t="e">
        <f>(B4+(B3/B2)*H4)</f>
        <v>#DIV/0!</v>
      </c>
      <c r="J4" s="180" t="e">
        <f t="shared" ref="J4:J9" si="0">H4-I4</f>
        <v>#DIV/0!</v>
      </c>
      <c r="K4" s="166" t="e">
        <f t="shared" ref="K4:K9" si="1">IF(J4&gt;0,J4,NA())</f>
        <v>#DIV/0!</v>
      </c>
      <c r="L4" s="166" t="e">
        <f t="shared" ref="L4:L9" si="2">IF(J4&lt;0,J4,NA())</f>
        <v>#DIV/0!</v>
      </c>
      <c r="N4" s="166">
        <f>E2/6</f>
        <v>0</v>
      </c>
      <c r="O4" s="179" t="e">
        <f>(E4+(E3/E2)*N4)</f>
        <v>#DIV/0!</v>
      </c>
      <c r="P4" s="180" t="e">
        <f t="shared" ref="P4:P9" si="3">N4-O4</f>
        <v>#DIV/0!</v>
      </c>
      <c r="Q4" s="166" t="e">
        <f t="shared" ref="Q4:Q9" si="4">IF(P4&gt;0,P4,NA())</f>
        <v>#DIV/0!</v>
      </c>
      <c r="R4" s="166" t="e">
        <f t="shared" ref="R4:R9" si="5">IF(P4&lt;0,P4,NA())</f>
        <v>#DIV/0!</v>
      </c>
    </row>
    <row r="5" spans="1:18">
      <c r="A5" s="172" t="s">
        <v>339</v>
      </c>
      <c r="B5" s="173" t="e">
        <f>B3/B2</f>
        <v>#DIV/0!</v>
      </c>
      <c r="C5" s="173"/>
      <c r="D5" s="172" t="s">
        <v>339</v>
      </c>
      <c r="E5" s="173" t="e">
        <f>E3/E2</f>
        <v>#DIV/0!</v>
      </c>
      <c r="H5" s="166">
        <f>B2/3</f>
        <v>0</v>
      </c>
      <c r="I5" s="179" t="e">
        <f>(B4+(B3/B2)*H5)</f>
        <v>#DIV/0!</v>
      </c>
      <c r="J5" s="180" t="e">
        <f t="shared" si="0"/>
        <v>#DIV/0!</v>
      </c>
      <c r="K5" s="166" t="e">
        <f t="shared" si="1"/>
        <v>#DIV/0!</v>
      </c>
      <c r="L5" s="166" t="e">
        <f t="shared" si="2"/>
        <v>#DIV/0!</v>
      </c>
      <c r="N5" s="166">
        <f>E2/3</f>
        <v>0</v>
      </c>
      <c r="O5" s="179" t="e">
        <f>(E4+(E3/E2)*N5)</f>
        <v>#DIV/0!</v>
      </c>
      <c r="P5" s="180" t="e">
        <f t="shared" si="3"/>
        <v>#DIV/0!</v>
      </c>
      <c r="Q5" s="166" t="e">
        <f t="shared" si="4"/>
        <v>#DIV/0!</v>
      </c>
      <c r="R5" s="166" t="e">
        <f t="shared" si="5"/>
        <v>#DIV/0!</v>
      </c>
    </row>
    <row r="6" ht="30" customHeight="1" spans="1:18">
      <c r="A6" s="174" t="s">
        <v>340</v>
      </c>
      <c r="B6" s="175" t="e">
        <f>B4/(1-B3/B2)</f>
        <v>#DIV/0!</v>
      </c>
      <c r="C6" s="176"/>
      <c r="D6" s="174" t="s">
        <v>340</v>
      </c>
      <c r="E6" s="177" t="e">
        <f>E4/(1-E3/E2)</f>
        <v>#DIV/0!</v>
      </c>
      <c r="H6" s="166">
        <f>B2/2</f>
        <v>0</v>
      </c>
      <c r="I6" s="179" t="e">
        <f>(B4+(B3/B2)*H6)</f>
        <v>#DIV/0!</v>
      </c>
      <c r="J6" s="180" t="e">
        <f t="shared" si="0"/>
        <v>#DIV/0!</v>
      </c>
      <c r="K6" s="166" t="e">
        <f t="shared" si="1"/>
        <v>#DIV/0!</v>
      </c>
      <c r="L6" s="166" t="e">
        <f t="shared" si="2"/>
        <v>#DIV/0!</v>
      </c>
      <c r="N6" s="166">
        <f>E2/2</f>
        <v>0</v>
      </c>
      <c r="O6" s="179" t="e">
        <f>(E4+(E3/E2)*N6)</f>
        <v>#DIV/0!</v>
      </c>
      <c r="P6" s="180" t="e">
        <f t="shared" si="3"/>
        <v>#DIV/0!</v>
      </c>
      <c r="Q6" s="166" t="e">
        <f t="shared" si="4"/>
        <v>#DIV/0!</v>
      </c>
      <c r="R6" s="166" t="e">
        <f t="shared" si="5"/>
        <v>#DIV/0!</v>
      </c>
    </row>
    <row r="7" spans="8:18">
      <c r="H7" s="166">
        <f>2*B2/3</f>
        <v>0</v>
      </c>
      <c r="I7" s="179" t="e">
        <f>(B4+(B3/B2)*H7)</f>
        <v>#DIV/0!</v>
      </c>
      <c r="J7" s="180" t="e">
        <f t="shared" si="0"/>
        <v>#DIV/0!</v>
      </c>
      <c r="K7" s="166" t="e">
        <f t="shared" si="1"/>
        <v>#DIV/0!</v>
      </c>
      <c r="L7" s="166" t="e">
        <f t="shared" si="2"/>
        <v>#DIV/0!</v>
      </c>
      <c r="N7" s="166">
        <f>2*E2/3</f>
        <v>0</v>
      </c>
      <c r="O7" s="179" t="e">
        <f>(E4+(E3/E2)*N7)</f>
        <v>#DIV/0!</v>
      </c>
      <c r="P7" s="180" t="e">
        <f t="shared" si="3"/>
        <v>#DIV/0!</v>
      </c>
      <c r="Q7" s="166" t="e">
        <f t="shared" si="4"/>
        <v>#DIV/0!</v>
      </c>
      <c r="R7" s="166" t="e">
        <f t="shared" si="5"/>
        <v>#DIV/0!</v>
      </c>
    </row>
    <row r="8" spans="8:18">
      <c r="H8" s="166">
        <f>5*B2/6</f>
        <v>0</v>
      </c>
      <c r="I8" s="179" t="e">
        <f>(B4+(B3/B2)*H8)</f>
        <v>#DIV/0!</v>
      </c>
      <c r="J8" s="180" t="e">
        <f t="shared" si="0"/>
        <v>#DIV/0!</v>
      </c>
      <c r="K8" s="166" t="e">
        <f t="shared" si="1"/>
        <v>#DIV/0!</v>
      </c>
      <c r="L8" s="166" t="e">
        <f t="shared" si="2"/>
        <v>#DIV/0!</v>
      </c>
      <c r="N8" s="166">
        <f>5*E2/6</f>
        <v>0</v>
      </c>
      <c r="O8" s="179" t="e">
        <f>(E4+(E3/E2)*N8)</f>
        <v>#DIV/0!</v>
      </c>
      <c r="P8" s="180" t="e">
        <f t="shared" si="3"/>
        <v>#DIV/0!</v>
      </c>
      <c r="Q8" s="166" t="e">
        <f t="shared" si="4"/>
        <v>#DIV/0!</v>
      </c>
      <c r="R8" s="166" t="e">
        <f t="shared" si="5"/>
        <v>#DIV/0!</v>
      </c>
    </row>
    <row r="9" spans="8:18">
      <c r="H9" s="166">
        <f>B2</f>
        <v>0</v>
      </c>
      <c r="I9" s="179" t="e">
        <f>(B4+(B3/B2)*H9)</f>
        <v>#DIV/0!</v>
      </c>
      <c r="J9" s="180" t="e">
        <f t="shared" si="0"/>
        <v>#DIV/0!</v>
      </c>
      <c r="K9" s="166" t="e">
        <f t="shared" si="1"/>
        <v>#DIV/0!</v>
      </c>
      <c r="L9" s="166" t="e">
        <f t="shared" si="2"/>
        <v>#DIV/0!</v>
      </c>
      <c r="N9" s="166">
        <f>E2</f>
        <v>0</v>
      </c>
      <c r="O9" s="179" t="e">
        <f>(E4+(E3/E2)*N9)</f>
        <v>#DIV/0!</v>
      </c>
      <c r="P9" s="180" t="e">
        <f t="shared" si="3"/>
        <v>#DIV/0!</v>
      </c>
      <c r="Q9" s="166" t="e">
        <f t="shared" si="4"/>
        <v>#DIV/0!</v>
      </c>
      <c r="R9" s="166" t="e">
        <f t="shared" si="5"/>
        <v>#DIV/0!</v>
      </c>
    </row>
    <row r="10" spans="8:9">
      <c r="H10" s="178"/>
      <c r="I10" s="179"/>
    </row>
    <row r="11" spans="8:8">
      <c r="H11" s="178"/>
    </row>
    <row r="12" spans="8:8">
      <c r="H12" s="178"/>
    </row>
    <row r="13" spans="8:8">
      <c r="H13" s="178"/>
    </row>
    <row r="25" spans="9:9">
      <c r="I25"/>
    </row>
    <row r="29" spans="1:1">
      <c r="A29" t="s">
        <v>3</v>
      </c>
    </row>
  </sheetData>
  <sheetProtection algorithmName="SHA-512" hashValue="fbqdkyUYFFS+LPgPnj5LEzHdUL1SKpvDEiugIPl6iO1reTFc5Aoe6zo65ffhV4w/ZhZYlEORTXbv4r17lpw1Cw==" saltValue="9RQ8DT+WMCbcY73/dZOfzg==" spinCount="100000" sheet="1" objects="1" scenarios="1"/>
  <pageMargins left="0.7" right="0.7" top="0.75" bottom="0.75" header="0.3" footer="0.3"/>
  <pageSetup paperSize="8" scale="79" fitToHeight="0"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B1:S65"/>
  <sheetViews>
    <sheetView view="pageBreakPreview" zoomScale="60" zoomScaleNormal="90" workbookViewId="0">
      <selection activeCell="G14" sqref="G14"/>
    </sheetView>
  </sheetViews>
  <sheetFormatPr defaultColWidth="9" defaultRowHeight="15"/>
  <cols>
    <col min="1" max="1" width="4.5047619047619" customWidth="1"/>
    <col min="2" max="2" width="13.0952380952381" customWidth="1"/>
    <col min="3" max="3" width="15.2" customWidth="1"/>
    <col min="4" max="4" width="16.4" customWidth="1"/>
    <col min="5" max="5" width="4.5047619047619" customWidth="1"/>
    <col min="6" max="6" width="15.2" customWidth="1"/>
    <col min="8" max="8" width="15.2" customWidth="1"/>
    <col min="9" max="10" width="2.2" customWidth="1"/>
    <col min="11" max="11" width="16.2" customWidth="1"/>
    <col min="12" max="13" width="10.8952380952381" customWidth="1"/>
    <col min="14" max="14" width="1.4" customWidth="1"/>
    <col min="15" max="15" width="1.6952380952381" hidden="1" customWidth="1"/>
    <col min="16" max="16" width="12.5047619047619" customWidth="1"/>
    <col min="17" max="18" width="11.0952380952381" customWidth="1"/>
  </cols>
  <sheetData>
    <row r="1" ht="15.75" spans="2:8">
      <c r="B1" s="48">
        <f>スタート!C1</f>
        <v>0</v>
      </c>
      <c r="C1" s="49"/>
      <c r="D1" s="49"/>
      <c r="E1" s="49"/>
      <c r="F1" s="49"/>
      <c r="G1" s="49"/>
      <c r="H1" s="50"/>
    </row>
    <row r="2" ht="38.4" customHeight="1" spans="2:19">
      <c r="B2" s="51">
        <f>スタート!G1</f>
        <v>0</v>
      </c>
      <c r="C2" s="52" t="s">
        <v>341</v>
      </c>
      <c r="D2" s="53">
        <v>45536</v>
      </c>
      <c r="E2" s="54" t="s">
        <v>342</v>
      </c>
      <c r="F2" s="55"/>
      <c r="G2" s="55"/>
      <c r="H2" s="55"/>
      <c r="K2" s="123" t="s">
        <v>343</v>
      </c>
      <c r="L2" s="124" t="e">
        <f>C6/C5</f>
        <v>#DIV/0!</v>
      </c>
      <c r="S2" t="s">
        <v>3</v>
      </c>
    </row>
    <row r="3" ht="31.95" customHeight="1" spans="2:18">
      <c r="B3" s="56" t="s">
        <v>344</v>
      </c>
      <c r="C3" s="57">
        <f>'②⑧MQ（未来）'!B3*1000</f>
        <v>0</v>
      </c>
      <c r="D3" s="58"/>
      <c r="F3" s="59" t="s">
        <v>345</v>
      </c>
      <c r="G3" s="60"/>
      <c r="H3" s="61"/>
      <c r="K3" s="59" t="s">
        <v>346</v>
      </c>
      <c r="L3" s="60"/>
      <c r="M3" s="60"/>
      <c r="N3" s="60"/>
      <c r="O3" s="60"/>
      <c r="P3" s="60"/>
      <c r="Q3" s="60"/>
      <c r="R3" s="61"/>
    </row>
    <row r="4" ht="24" customHeight="1" spans="2:18">
      <c r="B4" s="62"/>
      <c r="C4" s="63" t="s">
        <v>347</v>
      </c>
      <c r="D4" s="64" t="s">
        <v>348</v>
      </c>
      <c r="F4" s="65" t="s">
        <v>287</v>
      </c>
      <c r="G4" s="66" t="s">
        <v>247</v>
      </c>
      <c r="H4" s="67"/>
      <c r="K4" s="125" t="s">
        <v>287</v>
      </c>
      <c r="L4" s="126" t="s">
        <v>247</v>
      </c>
      <c r="M4" s="127" t="s">
        <v>247</v>
      </c>
      <c r="N4" s="128"/>
      <c r="P4" s="129" t="s">
        <v>285</v>
      </c>
      <c r="Q4" s="157" t="s">
        <v>247</v>
      </c>
      <c r="R4" s="158" t="s">
        <v>247</v>
      </c>
    </row>
    <row r="5" ht="24" customHeight="1" spans="2:18">
      <c r="B5" s="68" t="s">
        <v>15</v>
      </c>
      <c r="C5" s="69">
        <f>'MQ（現状）'!B3</f>
        <v>0</v>
      </c>
      <c r="D5" s="70"/>
      <c r="F5" s="71" t="s">
        <v>288</v>
      </c>
      <c r="G5" s="72" t="s">
        <v>347</v>
      </c>
      <c r="H5" s="73" t="s">
        <v>348</v>
      </c>
      <c r="K5" s="130" t="s">
        <v>288</v>
      </c>
      <c r="L5" s="72" t="s">
        <v>347</v>
      </c>
      <c r="M5" s="131" t="s">
        <v>348</v>
      </c>
      <c r="N5" s="128"/>
      <c r="P5" s="132" t="s">
        <v>288</v>
      </c>
      <c r="Q5" s="159" t="s">
        <v>347</v>
      </c>
      <c r="R5" s="160" t="s">
        <v>348</v>
      </c>
    </row>
    <row r="6" ht="24" customHeight="1" spans="2:18">
      <c r="B6" s="74" t="s">
        <v>349</v>
      </c>
      <c r="C6" s="69">
        <f>'②⑧MQ（未来）'!B3</f>
        <v>0</v>
      </c>
      <c r="D6" s="75"/>
      <c r="F6" s="76" t="str">
        <f>④経費!K5</f>
        <v>事業戦略費</v>
      </c>
      <c r="G6" s="77">
        <f>④経費!L5</f>
        <v>0</v>
      </c>
      <c r="H6" s="78"/>
      <c r="K6" s="133" t="str">
        <f>'⑥製造（経費)'!K5</f>
        <v>期首商品棚卸高</v>
      </c>
      <c r="L6" s="134">
        <f>'⑥製造（経費)'!L5</f>
        <v>0</v>
      </c>
      <c r="M6" s="135"/>
      <c r="N6" s="128"/>
      <c r="P6" s="100" t="str">
        <f>'⑥製造（経費)'!B5</f>
        <v>電力費</v>
      </c>
      <c r="Q6" s="152">
        <f>'⑥製造（経費)'!C5</f>
        <v>0</v>
      </c>
      <c r="R6" s="135"/>
    </row>
    <row r="7" ht="24" customHeight="1" spans="2:18">
      <c r="B7" s="68" t="s">
        <v>18</v>
      </c>
      <c r="C7" s="69">
        <f>'②⑧MQ（未来）'!F13</f>
        <v>0</v>
      </c>
      <c r="D7" s="79"/>
      <c r="F7" s="76" t="str">
        <f>④経費!K6</f>
        <v>社長戦略費Ａ</v>
      </c>
      <c r="G7" s="77">
        <f>④経費!L6</f>
        <v>0</v>
      </c>
      <c r="H7" s="78"/>
      <c r="K7" s="133" t="str">
        <f>'⑥製造（経費)'!K6</f>
        <v>期首製品棚卸高</v>
      </c>
      <c r="L7" s="134">
        <f>'⑥製造（経費)'!L6</f>
        <v>0</v>
      </c>
      <c r="M7" s="136"/>
      <c r="N7" s="137"/>
      <c r="P7" s="100" t="str">
        <f>'⑥製造（経費)'!B6</f>
        <v>動力費</v>
      </c>
      <c r="Q7" s="152">
        <f>'⑥製造（経費)'!C6</f>
        <v>0</v>
      </c>
      <c r="R7" s="135"/>
    </row>
    <row r="8" ht="24" customHeight="1" spans="2:18">
      <c r="B8" s="68" t="s">
        <v>323</v>
      </c>
      <c r="C8" s="80" t="str">
        <f>IFERROR('②⑧MQ（未来）'!G16,"")</f>
        <v/>
      </c>
      <c r="D8" s="79"/>
      <c r="F8" s="76" t="str">
        <f>④経費!K7</f>
        <v>社長戦略費Ｂ</v>
      </c>
      <c r="G8" s="77">
        <f>④経費!L7</f>
        <v>0</v>
      </c>
      <c r="H8" s="78"/>
      <c r="K8" s="133" t="str">
        <f>'⑥製造（経費)'!K7</f>
        <v>商品仕入高</v>
      </c>
      <c r="L8" s="134">
        <f>'⑥製造（経費)'!L7</f>
        <v>0</v>
      </c>
      <c r="M8" s="136"/>
      <c r="N8" s="137"/>
      <c r="P8" s="100" t="str">
        <f>'⑥製造（経費)'!B7</f>
        <v>ガス光熱費</v>
      </c>
      <c r="Q8" s="152">
        <f>'⑥製造（経費)'!C7</f>
        <v>0</v>
      </c>
      <c r="R8" s="136"/>
    </row>
    <row r="9" ht="24" customHeight="1" spans="2:18">
      <c r="B9" s="68" t="s">
        <v>350</v>
      </c>
      <c r="C9" s="69">
        <f>L21+L35+L46+Q44</f>
        <v>0</v>
      </c>
      <c r="D9" s="79"/>
      <c r="F9" s="76" t="str">
        <f>④経費!K8</f>
        <v>開拓手数料(外交員)</v>
      </c>
      <c r="G9" s="77">
        <f>④経費!L8</f>
        <v>0</v>
      </c>
      <c r="H9" s="81"/>
      <c r="K9" s="133" t="str">
        <f>'⑥製造（経費)'!K8</f>
        <v>製品仕入高</v>
      </c>
      <c r="L9" s="134">
        <f>'⑥製造（経費)'!L8</f>
        <v>0</v>
      </c>
      <c r="M9" s="136"/>
      <c r="N9" s="137"/>
      <c r="P9" s="100" t="str">
        <f>'⑥製造（経費)'!B8</f>
        <v>燃料費</v>
      </c>
      <c r="Q9" s="152">
        <f>'⑥製造（経費)'!C8</f>
        <v>0</v>
      </c>
      <c r="R9" s="161"/>
    </row>
    <row r="10" ht="24" customHeight="1" spans="2:18">
      <c r="B10" s="68" t="s">
        <v>338</v>
      </c>
      <c r="C10" s="69">
        <f>C11+C12</f>
        <v>0</v>
      </c>
      <c r="D10" s="79"/>
      <c r="F10" s="76" t="str">
        <f>④経費!K9</f>
        <v>消耗資材費</v>
      </c>
      <c r="G10" s="77">
        <f>④経費!L9</f>
        <v>0</v>
      </c>
      <c r="H10" s="81"/>
      <c r="K10" s="133" t="str">
        <f>'⑥製造（経費)'!K9</f>
        <v>期末商品棚卸高</v>
      </c>
      <c r="L10" s="134">
        <f>'⑥製造（経費)'!L9</f>
        <v>0</v>
      </c>
      <c r="M10" s="136"/>
      <c r="N10" s="137"/>
      <c r="P10" s="100" t="str">
        <f>'⑥製造（経費)'!B9</f>
        <v>上水道費</v>
      </c>
      <c r="Q10" s="152">
        <f>'⑥製造（経費)'!C9</f>
        <v>0</v>
      </c>
      <c r="R10" s="135"/>
    </row>
    <row r="11" ht="24" customHeight="1" spans="2:18">
      <c r="B11" s="68" t="s">
        <v>351</v>
      </c>
      <c r="C11" s="82">
        <f>C61+G39+G17</f>
        <v>0</v>
      </c>
      <c r="D11" s="83"/>
      <c r="F11" s="76" t="str">
        <f>④経費!K10</f>
        <v>ロイヤリティー</v>
      </c>
      <c r="G11" s="77">
        <f>④経費!L10</f>
        <v>0</v>
      </c>
      <c r="H11" s="81"/>
      <c r="K11" s="133" t="str">
        <f>'⑥製造（経費)'!K10</f>
        <v>期末製品棚卸高</v>
      </c>
      <c r="L11" s="134">
        <f>'⑥製造（経費)'!L10</f>
        <v>0</v>
      </c>
      <c r="M11" s="136"/>
      <c r="N11" s="137"/>
      <c r="P11" s="100" t="str">
        <f>'⑥製造（経費)'!B10</f>
        <v>下水道費</v>
      </c>
      <c r="Q11" s="152">
        <f>'⑥製造（経費)'!C10</f>
        <v>0</v>
      </c>
      <c r="R11" s="135"/>
    </row>
    <row r="12" ht="24" customHeight="1" spans="2:18">
      <c r="B12" s="68" t="s">
        <v>352</v>
      </c>
      <c r="C12" s="69">
        <f>G50</f>
        <v>0</v>
      </c>
      <c r="D12" s="84"/>
      <c r="F12" s="76" t="str">
        <f>④経費!K11</f>
        <v>外注加工費</v>
      </c>
      <c r="G12" s="77">
        <f>④経費!L11</f>
        <v>0</v>
      </c>
      <c r="H12" s="81"/>
      <c r="K12" s="133" t="str">
        <f>'⑥製造（経費)'!K11</f>
        <v>期首原材料棚卸高</v>
      </c>
      <c r="L12" s="134">
        <f>'⑥製造（経費)'!L11</f>
        <v>0</v>
      </c>
      <c r="M12" s="135"/>
      <c r="N12" s="128"/>
      <c r="P12" s="100" t="str">
        <f>'⑥製造（経費)'!B11</f>
        <v>車輌費</v>
      </c>
      <c r="Q12" s="152">
        <f>'⑥製造（経費)'!C11</f>
        <v>0</v>
      </c>
      <c r="R12" s="136"/>
    </row>
    <row r="13" ht="24" customHeight="1" spans="2:18">
      <c r="B13" s="68" t="s">
        <v>227</v>
      </c>
      <c r="C13" s="69">
        <f>C6-C9-C10</f>
        <v>0</v>
      </c>
      <c r="D13" s="79"/>
      <c r="F13" s="76" t="str">
        <f>④経費!K12</f>
        <v>運賃荷造費</v>
      </c>
      <c r="G13" s="77">
        <f>④経費!L12</f>
        <v>0</v>
      </c>
      <c r="H13" s="81"/>
      <c r="K13" s="133" t="str">
        <f>'⑥製造（経費)'!K12</f>
        <v>原材料仕入高１</v>
      </c>
      <c r="L13" s="134">
        <f>'⑥製造（経費)'!L12</f>
        <v>0</v>
      </c>
      <c r="M13" s="135"/>
      <c r="N13" s="128"/>
      <c r="P13" s="100" t="str">
        <f>'⑥製造（経費)'!B12</f>
        <v>家賃地代</v>
      </c>
      <c r="Q13" s="152">
        <f>'⑥製造（経費)'!C12</f>
        <v>0</v>
      </c>
      <c r="R13" s="161"/>
    </row>
    <row r="14" ht="24" customHeight="1" spans="2:18">
      <c r="B14" s="68" t="s">
        <v>220</v>
      </c>
      <c r="C14" s="69">
        <f>①利益!B4</f>
        <v>0</v>
      </c>
      <c r="D14" s="85"/>
      <c r="F14" s="76" t="str">
        <f>④経費!K13</f>
        <v>予備</v>
      </c>
      <c r="G14" s="77">
        <f>④経費!L13</f>
        <v>0</v>
      </c>
      <c r="H14" s="81"/>
      <c r="K14" s="133" t="str">
        <f>'⑥製造（経費)'!K13</f>
        <v>原材料仕入高２</v>
      </c>
      <c r="L14" s="134">
        <f>'⑥製造（経費)'!L13</f>
        <v>0</v>
      </c>
      <c r="M14" s="136"/>
      <c r="N14" s="137"/>
      <c r="P14" s="100" t="str">
        <f>'⑥製造（経費)'!B13</f>
        <v>賃貸料</v>
      </c>
      <c r="Q14" s="152">
        <f>'⑥製造（経費)'!C13</f>
        <v>0</v>
      </c>
      <c r="R14" s="136"/>
    </row>
    <row r="15" ht="24" customHeight="1" spans="2:18">
      <c r="B15" s="68" t="s">
        <v>223</v>
      </c>
      <c r="C15" s="69">
        <f>①利益!B5</f>
        <v>0</v>
      </c>
      <c r="D15" s="79"/>
      <c r="F15" s="76" t="str">
        <f>④経費!K14</f>
        <v>予備</v>
      </c>
      <c r="G15" s="77">
        <f>④経費!L14</f>
        <v>0</v>
      </c>
      <c r="H15" s="78"/>
      <c r="K15" s="133" t="str">
        <f>'⑥製造（経費)'!K14</f>
        <v>原材料仕入高３</v>
      </c>
      <c r="L15" s="134">
        <f>'⑥製造（経費)'!L14</f>
        <v>0</v>
      </c>
      <c r="M15" s="136"/>
      <c r="N15" s="137"/>
      <c r="P15" s="100" t="str">
        <f>'⑥製造（経費)'!B14</f>
        <v>研究開発費</v>
      </c>
      <c r="Q15" s="152">
        <f>'⑥製造（経費)'!C14</f>
        <v>0</v>
      </c>
      <c r="R15" s="136"/>
    </row>
    <row r="16" ht="24" customHeight="1" spans="2:18">
      <c r="B16" s="68" t="s">
        <v>225</v>
      </c>
      <c r="C16" s="69">
        <f>C13+C14-C15</f>
        <v>0</v>
      </c>
      <c r="D16" s="79"/>
      <c r="F16" s="76" t="str">
        <f>④経費!K15</f>
        <v>予備</v>
      </c>
      <c r="G16" s="77">
        <f>④経費!L15</f>
        <v>0</v>
      </c>
      <c r="H16" s="86"/>
      <c r="K16" s="133" t="str">
        <f>'⑥製造（経費)'!K15</f>
        <v>仕掛品</v>
      </c>
      <c r="L16" s="134">
        <f>'⑥製造（経費)'!L15</f>
        <v>0</v>
      </c>
      <c r="M16" s="136"/>
      <c r="N16" s="137"/>
      <c r="P16" s="100" t="str">
        <f>'⑥製造（経費)'!B15</f>
        <v>調査研究費</v>
      </c>
      <c r="Q16" s="152">
        <f>'⑥製造（経費)'!C15</f>
        <v>0</v>
      </c>
      <c r="R16" s="135"/>
    </row>
    <row r="17" ht="24" customHeight="1" spans="2:18">
      <c r="B17" s="68" t="s">
        <v>236</v>
      </c>
      <c r="C17" s="69">
        <f>①利益!I3</f>
        <v>0</v>
      </c>
      <c r="D17" s="79"/>
      <c r="F17" s="87" t="s">
        <v>277</v>
      </c>
      <c r="G17" s="88">
        <f>SUM(G6:G16)</f>
        <v>0</v>
      </c>
      <c r="H17" s="89">
        <f>SUM(H6:H16)</f>
        <v>0</v>
      </c>
      <c r="K17" s="133" t="str">
        <f>'⑥製造（経費)'!K16</f>
        <v>期末原材料棚卸高</v>
      </c>
      <c r="L17" s="134">
        <f>'⑥製造（経費)'!L16</f>
        <v>0</v>
      </c>
      <c r="M17" s="136"/>
      <c r="N17" s="137"/>
      <c r="P17" s="100" t="str">
        <f>'⑥製造（経費)'!B16</f>
        <v>租税公課</v>
      </c>
      <c r="Q17" s="152">
        <f>'⑥製造（経費)'!C16</f>
        <v>0</v>
      </c>
      <c r="R17" s="135"/>
    </row>
    <row r="18" ht="24" customHeight="1" spans="2:18">
      <c r="B18" s="68" t="s">
        <v>237</v>
      </c>
      <c r="C18" s="69">
        <f>①利益!I4</f>
        <v>0</v>
      </c>
      <c r="D18" s="79"/>
      <c r="F18" s="59" t="s">
        <v>353</v>
      </c>
      <c r="G18" s="60"/>
      <c r="H18" s="61"/>
      <c r="K18" s="133" t="str">
        <f>'⑥製造（経費)'!K17</f>
        <v>在庫</v>
      </c>
      <c r="L18" s="134">
        <f>'⑥製造（経費)'!L17</f>
        <v>0</v>
      </c>
      <c r="M18" s="136"/>
      <c r="N18" s="138"/>
      <c r="P18" s="100" t="str">
        <f>'⑥製造（経費)'!B17</f>
        <v>接待交際費</v>
      </c>
      <c r="Q18" s="152">
        <f>'⑥製造（経費)'!C17</f>
        <v>0</v>
      </c>
      <c r="R18" s="135"/>
    </row>
    <row r="19" ht="24" customHeight="1" spans="2:18">
      <c r="B19" s="68" t="s">
        <v>354</v>
      </c>
      <c r="C19" s="69">
        <f>C16+C17-C18</f>
        <v>0</v>
      </c>
      <c r="D19" s="90"/>
      <c r="F19" s="71" t="s">
        <v>288</v>
      </c>
      <c r="G19" s="72" t="s">
        <v>347</v>
      </c>
      <c r="H19" s="72" t="s">
        <v>348</v>
      </c>
      <c r="K19" s="133" t="str">
        <f>'⑥製造（経費)'!K18</f>
        <v>外注</v>
      </c>
      <c r="L19" s="134">
        <f>'⑥製造（経費)'!L18</f>
        <v>0</v>
      </c>
      <c r="M19" s="136"/>
      <c r="N19" s="139"/>
      <c r="P19" s="100" t="str">
        <f>'⑥製造（経費)'!B18</f>
        <v>支払手数料</v>
      </c>
      <c r="Q19" s="152">
        <f>'⑥製造（経費)'!C18</f>
        <v>0</v>
      </c>
      <c r="R19" s="135"/>
    </row>
    <row r="20" ht="24" customHeight="1" spans="2:18">
      <c r="B20" s="91" t="s">
        <v>355</v>
      </c>
      <c r="C20" s="92">
        <f>C19</f>
        <v>0</v>
      </c>
      <c r="D20" s="92">
        <f>D19</f>
        <v>0</v>
      </c>
      <c r="F20" s="76" t="str">
        <f>④経費!H5</f>
        <v>社員給料</v>
      </c>
      <c r="G20" s="93">
        <f>④経費!I5</f>
        <v>0</v>
      </c>
      <c r="H20" s="94"/>
      <c r="K20" s="133" t="str">
        <f>'⑥製造（経費)'!K19</f>
        <v>外注加工費</v>
      </c>
      <c r="L20" s="134">
        <f>'⑥製造（経費)'!L19</f>
        <v>0</v>
      </c>
      <c r="M20" s="136"/>
      <c r="N20" s="140"/>
      <c r="P20" s="100" t="str">
        <f>'⑥製造（経費)'!B19</f>
        <v>顧問料</v>
      </c>
      <c r="Q20" s="152">
        <f>'⑥製造（経費)'!C19</f>
        <v>0</v>
      </c>
      <c r="R20" s="135"/>
    </row>
    <row r="21" ht="24" customHeight="1" spans="2:18">
      <c r="B21" s="95" t="s">
        <v>285</v>
      </c>
      <c r="C21" s="96" t="s">
        <v>247</v>
      </c>
      <c r="D21" s="79"/>
      <c r="F21" s="76" t="str">
        <f>④経費!H6</f>
        <v>雑給料</v>
      </c>
      <c r="G21" s="93">
        <f>④経費!I6</f>
        <v>0</v>
      </c>
      <c r="H21" s="81"/>
      <c r="J21" s="141"/>
      <c r="K21" s="87" t="s">
        <v>277</v>
      </c>
      <c r="L21" s="88">
        <f>SUM(L6:L20)</f>
        <v>0</v>
      </c>
      <c r="M21" s="89">
        <f>SUM(M10:M20)</f>
        <v>0</v>
      </c>
      <c r="N21" s="140"/>
      <c r="P21" s="100" t="str">
        <f>'⑥製造（経費)'!B20</f>
        <v>リース料</v>
      </c>
      <c r="Q21" s="152">
        <f>'⑥製造（経費)'!C20</f>
        <v>0</v>
      </c>
      <c r="R21" s="136"/>
    </row>
    <row r="22" ht="24" customHeight="1" spans="2:18">
      <c r="B22" s="97" t="s">
        <v>288</v>
      </c>
      <c r="C22" s="98" t="s">
        <v>347</v>
      </c>
      <c r="D22" s="99"/>
      <c r="F22" s="76" t="str">
        <f>④経費!H7</f>
        <v>派遣社員費</v>
      </c>
      <c r="G22" s="93">
        <f>④経費!I7</f>
        <v>0</v>
      </c>
      <c r="H22" s="81"/>
      <c r="K22" s="142" t="s">
        <v>286</v>
      </c>
      <c r="L22" s="143" t="s">
        <v>247</v>
      </c>
      <c r="M22" s="144" t="s">
        <v>247</v>
      </c>
      <c r="P22" s="100" t="str">
        <f>'⑥製造（経費)'!B21</f>
        <v>通信交通費</v>
      </c>
      <c r="Q22" s="152">
        <f>'⑥製造（経費)'!C21</f>
        <v>0</v>
      </c>
      <c r="R22" s="162"/>
    </row>
    <row r="23" ht="24" customHeight="1" spans="2:18">
      <c r="B23" s="100" t="str">
        <f>④経費!B5</f>
        <v>電力費</v>
      </c>
      <c r="C23" s="101">
        <f>④経費!C5</f>
        <v>0</v>
      </c>
      <c r="D23" s="79"/>
      <c r="F23" s="76" t="str">
        <f>④経費!H8</f>
        <v>退職金</v>
      </c>
      <c r="G23" s="93">
        <f>④経費!I8</f>
        <v>0</v>
      </c>
      <c r="H23" s="81"/>
      <c r="K23" s="130" t="s">
        <v>288</v>
      </c>
      <c r="L23" s="72" t="s">
        <v>347</v>
      </c>
      <c r="M23" s="131" t="s">
        <v>252</v>
      </c>
      <c r="P23" s="100" t="str">
        <f>'⑥製造（経費)'!B22</f>
        <v>出張費</v>
      </c>
      <c r="Q23" s="152">
        <f>'⑥製造（経費)'!C22</f>
        <v>0</v>
      </c>
      <c r="R23" s="163"/>
    </row>
    <row r="24" ht="24" customHeight="1" spans="2:18">
      <c r="B24" s="100" t="str">
        <f>④経費!B6</f>
        <v>動力費</v>
      </c>
      <c r="C24" s="101">
        <f>④経費!C6</f>
        <v>0</v>
      </c>
      <c r="D24" s="90"/>
      <c r="F24" s="76" t="str">
        <f>④経費!H9</f>
        <v>賞与</v>
      </c>
      <c r="G24" s="93">
        <f>④経費!I9</f>
        <v>0</v>
      </c>
      <c r="H24" s="81"/>
      <c r="K24" s="133" t="str">
        <f>'⑥製造（経費)'!H5</f>
        <v>社員給料</v>
      </c>
      <c r="L24" s="134">
        <f>'⑥製造（経費)'!I5</f>
        <v>0</v>
      </c>
      <c r="M24" s="145"/>
      <c r="P24" s="100" t="str">
        <f>'⑥製造（経費)'!B23</f>
        <v>消耗品費</v>
      </c>
      <c r="Q24" s="152">
        <f>'⑥製造（経費)'!C23</f>
        <v>0</v>
      </c>
      <c r="R24" s="135"/>
    </row>
    <row r="25" ht="24" customHeight="1" spans="2:18">
      <c r="B25" s="100" t="str">
        <f>④経費!B7</f>
        <v>ガス光熱費</v>
      </c>
      <c r="C25" s="101">
        <f>④経費!C7</f>
        <v>0</v>
      </c>
      <c r="D25" s="79"/>
      <c r="F25" s="76" t="str">
        <f>④経費!H10</f>
        <v>通勤手当</v>
      </c>
      <c r="G25" s="93">
        <f>④経費!I10</f>
        <v>0</v>
      </c>
      <c r="H25" s="81"/>
      <c r="K25" s="133" t="str">
        <f>'⑥製造（経費)'!H6</f>
        <v>雑給料</v>
      </c>
      <c r="L25" s="134">
        <f>'⑥製造（経費)'!I6</f>
        <v>0</v>
      </c>
      <c r="M25" s="145"/>
      <c r="P25" s="100" t="str">
        <f>'⑥製造（経費)'!B24</f>
        <v>事務用品費</v>
      </c>
      <c r="Q25" s="152">
        <f>'⑥製造（経費)'!C24</f>
        <v>0</v>
      </c>
      <c r="R25" s="135"/>
    </row>
    <row r="26" ht="24" customHeight="1" spans="2:18">
      <c r="B26" s="100" t="str">
        <f>④経費!B8</f>
        <v>燃料費</v>
      </c>
      <c r="C26" s="101">
        <f>④経費!C8</f>
        <v>0</v>
      </c>
      <c r="D26" s="90"/>
      <c r="F26" s="76" t="str">
        <f>④経費!H11</f>
        <v>役員報酬</v>
      </c>
      <c r="G26" s="93">
        <f>④経費!I11</f>
        <v>0</v>
      </c>
      <c r="H26" s="81"/>
      <c r="K26" s="133" t="str">
        <f>'⑥製造（経費)'!H7</f>
        <v>派遣社員費</v>
      </c>
      <c r="L26" s="134">
        <f>'⑥製造（経費)'!I7</f>
        <v>0</v>
      </c>
      <c r="M26" s="146"/>
      <c r="P26" s="100" t="str">
        <f>'⑥製造（経費)'!B25</f>
        <v>その他経費</v>
      </c>
      <c r="Q26" s="152">
        <f>'⑥製造（経費)'!C25</f>
        <v>0</v>
      </c>
      <c r="R26" s="135"/>
    </row>
    <row r="27" ht="24" customHeight="1" spans="2:18">
      <c r="B27" s="100" t="str">
        <f>④経費!B9</f>
        <v>上水道費</v>
      </c>
      <c r="C27" s="101">
        <f>④経費!C9</f>
        <v>0</v>
      </c>
      <c r="D27" s="90"/>
      <c r="F27" s="76" t="str">
        <f>④経費!H12</f>
        <v>諸費用</v>
      </c>
      <c r="G27" s="93">
        <f>④経費!I12</f>
        <v>0</v>
      </c>
      <c r="H27" s="81"/>
      <c r="K27" s="133" t="str">
        <f>'⑥製造（経費)'!H8</f>
        <v>賞与</v>
      </c>
      <c r="L27" s="134">
        <f>'⑥製造（経費)'!I8</f>
        <v>0</v>
      </c>
      <c r="M27" s="146"/>
      <c r="P27" s="100" t="str">
        <f>'⑥製造（経費)'!B26</f>
        <v>雑費</v>
      </c>
      <c r="Q27" s="152">
        <f>'⑥製造（経費)'!C26</f>
        <v>0</v>
      </c>
      <c r="R27" s="164"/>
    </row>
    <row r="28" ht="24" customHeight="1" spans="2:18">
      <c r="B28" s="100" t="str">
        <f>④経費!B10</f>
        <v>下水道費</v>
      </c>
      <c r="C28" s="101">
        <f>④経費!C10</f>
        <v>0</v>
      </c>
      <c r="D28" s="90"/>
      <c r="F28" s="76" t="str">
        <f>④経費!H13</f>
        <v>募集費</v>
      </c>
      <c r="G28" s="93">
        <f>④経費!I13</f>
        <v>0</v>
      </c>
      <c r="H28" s="81"/>
      <c r="K28" s="133" t="str">
        <f>'⑥製造（経費)'!H9</f>
        <v>福利厚生費</v>
      </c>
      <c r="L28" s="134">
        <f>'⑥製造（経費)'!I9</f>
        <v>0</v>
      </c>
      <c r="M28" s="146"/>
      <c r="P28" s="100" t="str">
        <f>'⑥製造（経費)'!B27</f>
        <v>装飾費</v>
      </c>
      <c r="Q28" s="152">
        <f>'⑥製造（経費)'!C27</f>
        <v>0</v>
      </c>
      <c r="R28" s="135"/>
    </row>
    <row r="29" ht="24" customHeight="1" spans="2:18">
      <c r="B29" s="100" t="str">
        <f>④経費!B11</f>
        <v>車輌費</v>
      </c>
      <c r="C29" s="101">
        <f>④経費!C11</f>
        <v>0</v>
      </c>
      <c r="D29" s="90"/>
      <c r="F29" s="76" t="str">
        <f>④経費!H14</f>
        <v>教育研修</v>
      </c>
      <c r="G29" s="93">
        <f>④経費!I14</f>
        <v>0</v>
      </c>
      <c r="H29" s="81"/>
      <c r="K29" s="133" t="str">
        <f>'⑥製造（経費)'!H10</f>
        <v>法定福利費</v>
      </c>
      <c r="L29" s="134">
        <f>'⑥製造（経費)'!I10</f>
        <v>0</v>
      </c>
      <c r="M29" s="146"/>
      <c r="P29" s="100" t="str">
        <f>'⑥製造（経費)'!B28</f>
        <v>衛生費</v>
      </c>
      <c r="Q29" s="152">
        <f>'⑥製造（経費)'!C28</f>
        <v>0</v>
      </c>
      <c r="R29" s="135"/>
    </row>
    <row r="30" ht="24" customHeight="1" spans="2:18">
      <c r="B30" s="100" t="str">
        <f>④経費!B12</f>
        <v>家賃地代</v>
      </c>
      <c r="C30" s="101">
        <f>④経費!C12</f>
        <v>0</v>
      </c>
      <c r="D30" s="102"/>
      <c r="F30" s="76" t="str">
        <f>④経費!H15</f>
        <v>研修費</v>
      </c>
      <c r="G30" s="93">
        <f>④経費!I15</f>
        <v>0</v>
      </c>
      <c r="H30" s="81"/>
      <c r="K30" s="133" t="str">
        <f>'⑥製造（経費)'!H11</f>
        <v>通勤手当</v>
      </c>
      <c r="L30" s="134">
        <f>'⑥製造（経費)'!I11</f>
        <v>0</v>
      </c>
      <c r="M30" s="146"/>
      <c r="P30" s="100" t="str">
        <f>'⑥製造（経費)'!B29</f>
        <v>運賃</v>
      </c>
      <c r="Q30" s="152">
        <f>'⑥製造（経費)'!C29</f>
        <v>0</v>
      </c>
      <c r="R30" s="135"/>
    </row>
    <row r="31" ht="24" customHeight="1" spans="2:18">
      <c r="B31" s="100" t="str">
        <f>④経費!B13</f>
        <v>賃貸料</v>
      </c>
      <c r="C31" s="101">
        <f>④経費!C13</f>
        <v>0</v>
      </c>
      <c r="D31" s="79"/>
      <c r="F31" s="76" t="str">
        <f>④経費!H16</f>
        <v>会議費</v>
      </c>
      <c r="G31" s="93">
        <f>④経費!I16</f>
        <v>0</v>
      </c>
      <c r="H31" s="81"/>
      <c r="K31" s="133" t="str">
        <f>'⑥製造（経費)'!H12</f>
        <v>予備</v>
      </c>
      <c r="L31" s="134">
        <f>'⑥製造（経費)'!I12</f>
        <v>0</v>
      </c>
      <c r="M31" s="146"/>
      <c r="P31" s="100" t="str">
        <f>'⑥製造（経費)'!B30</f>
        <v>荷造包装費</v>
      </c>
      <c r="Q31" s="152">
        <f>'⑥製造（経費)'!C30</f>
        <v>0</v>
      </c>
      <c r="R31" s="135"/>
    </row>
    <row r="32" ht="24" customHeight="1" spans="2:18">
      <c r="B32" s="100" t="str">
        <f>④経費!B14</f>
        <v>研究開発費</v>
      </c>
      <c r="C32" s="101">
        <f>④経費!C14</f>
        <v>0</v>
      </c>
      <c r="D32" s="103"/>
      <c r="F32" s="76" t="str">
        <f>④経費!H17</f>
        <v>福利厚生費</v>
      </c>
      <c r="G32" s="93">
        <f>④経費!I17</f>
        <v>0</v>
      </c>
      <c r="H32" s="81"/>
      <c r="K32" s="133" t="str">
        <f>'⑥製造（経費)'!H13</f>
        <v>予備</v>
      </c>
      <c r="L32" s="134">
        <f>'⑥製造（経費)'!I13</f>
        <v>0</v>
      </c>
      <c r="M32" s="146"/>
      <c r="P32" s="100" t="str">
        <f>'⑥製造（経費)'!B31</f>
        <v>水道光熱費</v>
      </c>
      <c r="Q32" s="152">
        <f>'⑥製造（経費)'!C31</f>
        <v>0</v>
      </c>
      <c r="R32" s="135"/>
    </row>
    <row r="33" ht="24" customHeight="1" spans="2:18">
      <c r="B33" s="100" t="str">
        <f>④経費!B15</f>
        <v>調査研究費</v>
      </c>
      <c r="C33" s="101">
        <f>④経費!C15</f>
        <v>0</v>
      </c>
      <c r="D33" s="103"/>
      <c r="F33" s="76" t="str">
        <f>④経費!H18</f>
        <v>法定福利費</v>
      </c>
      <c r="G33" s="93">
        <f>④経費!I18</f>
        <v>0</v>
      </c>
      <c r="H33" s="81"/>
      <c r="K33" s="133" t="str">
        <f>'⑥製造（経費)'!H14</f>
        <v>予備</v>
      </c>
      <c r="L33" s="134">
        <f>'⑥製造（経費)'!I14</f>
        <v>0</v>
      </c>
      <c r="M33" s="146"/>
      <c r="P33" s="100" t="str">
        <f>'⑥製造（経費)'!B32</f>
        <v>旅費交通費</v>
      </c>
      <c r="Q33" s="152">
        <f>'⑥製造（経費)'!C32</f>
        <v>0</v>
      </c>
      <c r="R33" s="135"/>
    </row>
    <row r="34" ht="24" customHeight="1" spans="2:18">
      <c r="B34" s="100" t="str">
        <f>④経費!B16</f>
        <v>租税公課</v>
      </c>
      <c r="C34" s="101">
        <f>④経費!C16</f>
        <v>0</v>
      </c>
      <c r="D34" s="103"/>
      <c r="F34" s="76" t="str">
        <f>④経費!H19</f>
        <v>予備</v>
      </c>
      <c r="G34" s="93">
        <f>④経費!I19</f>
        <v>0</v>
      </c>
      <c r="H34" s="81"/>
      <c r="K34" s="133" t="str">
        <f>'⑥製造（経費)'!H15</f>
        <v>その他</v>
      </c>
      <c r="L34" s="134">
        <f>'⑥製造（経費)'!I15</f>
        <v>0</v>
      </c>
      <c r="M34" s="146"/>
      <c r="P34" s="100" t="str">
        <f>'⑥製造（経費)'!B33</f>
        <v>諸会費</v>
      </c>
      <c r="Q34" s="152">
        <f>'⑥製造（経費)'!C33</f>
        <v>0</v>
      </c>
      <c r="R34" s="135"/>
    </row>
    <row r="35" ht="24" customHeight="1" spans="2:18">
      <c r="B35" s="100" t="str">
        <f>④経費!B17</f>
        <v>接待交際費</v>
      </c>
      <c r="C35" s="101">
        <f>④経費!C17</f>
        <v>0</v>
      </c>
      <c r="D35" s="103"/>
      <c r="F35" s="76" t="str">
        <f>④経費!H20</f>
        <v>予備</v>
      </c>
      <c r="G35" s="93">
        <f>④経費!I20</f>
        <v>0</v>
      </c>
      <c r="H35" s="81"/>
      <c r="K35" s="147" t="s">
        <v>277</v>
      </c>
      <c r="L35" s="88">
        <f>SUM(L24:L34)</f>
        <v>0</v>
      </c>
      <c r="M35" s="148">
        <f>SUM(M24:M34)</f>
        <v>0</v>
      </c>
      <c r="P35" s="100" t="str">
        <f>'⑥製造（経費)'!B34</f>
        <v>管理諸費</v>
      </c>
      <c r="Q35" s="152">
        <f>'⑥製造（経費)'!C34</f>
        <v>0</v>
      </c>
      <c r="R35" s="135"/>
    </row>
    <row r="36" ht="24" customHeight="1" spans="2:18">
      <c r="B36" s="100" t="str">
        <f>④経費!B18</f>
        <v>支払手数料</v>
      </c>
      <c r="C36" s="101">
        <f>④経費!C18</f>
        <v>0</v>
      </c>
      <c r="D36" s="103"/>
      <c r="F36" s="76" t="str">
        <f>④経費!H21</f>
        <v>予備</v>
      </c>
      <c r="G36" s="93">
        <f>④経費!I21</f>
        <v>0</v>
      </c>
      <c r="H36" s="78"/>
      <c r="K36" s="149" t="s">
        <v>67</v>
      </c>
      <c r="L36" s="150" t="s">
        <v>347</v>
      </c>
      <c r="M36" s="151" t="s">
        <v>247</v>
      </c>
      <c r="P36" s="100" t="str">
        <f>'⑥製造（経費)'!B35</f>
        <v>保守管理費</v>
      </c>
      <c r="Q36" s="152">
        <f>'⑥製造（経費)'!C35</f>
        <v>0</v>
      </c>
      <c r="R36" s="135"/>
    </row>
    <row r="37" ht="24" customHeight="1" spans="2:18">
      <c r="B37" s="100" t="str">
        <f>④経費!B19</f>
        <v>顧問料</v>
      </c>
      <c r="C37" s="101">
        <f>④経費!C19</f>
        <v>0</v>
      </c>
      <c r="D37" s="103"/>
      <c r="F37" s="76" t="str">
        <f>④経費!H22</f>
        <v>予備</v>
      </c>
      <c r="G37" s="93">
        <f>④経費!I22</f>
        <v>0</v>
      </c>
      <c r="H37" s="104"/>
      <c r="K37" s="100" t="str">
        <f>'⑥製造（経費)'!E4</f>
        <v>販促企画費</v>
      </c>
      <c r="L37" s="152">
        <f>'⑥製造（経費)'!F4</f>
        <v>0</v>
      </c>
      <c r="M37" s="146"/>
      <c r="P37" s="100" t="str">
        <f>'⑥製造（経費)'!B36</f>
        <v>図書費</v>
      </c>
      <c r="Q37" s="152">
        <f>'⑥製造（経費)'!C36</f>
        <v>0</v>
      </c>
      <c r="R37" s="135"/>
    </row>
    <row r="38" ht="24" customHeight="1" spans="2:18">
      <c r="B38" s="100" t="str">
        <f>④経費!B20</f>
        <v>リース料</v>
      </c>
      <c r="C38" s="101">
        <f>④経費!C20</f>
        <v>0</v>
      </c>
      <c r="D38" s="103"/>
      <c r="E38" s="105"/>
      <c r="F38" s="76" t="str">
        <f>④経費!H23</f>
        <v>予備</v>
      </c>
      <c r="G38" s="93">
        <f>④経費!I23</f>
        <v>0</v>
      </c>
      <c r="H38" s="78"/>
      <c r="K38" s="100" t="str">
        <f>'⑥製造（経費)'!E5</f>
        <v>消耗資材費</v>
      </c>
      <c r="L38" s="152">
        <f>'⑥製造（経費)'!F5</f>
        <v>0</v>
      </c>
      <c r="M38" s="146"/>
      <c r="P38" s="100" t="str">
        <f>'⑥製造（経費)'!B37</f>
        <v>修繕費</v>
      </c>
      <c r="Q38" s="152">
        <f>'⑥製造（経費)'!C37</f>
        <v>0</v>
      </c>
      <c r="R38" s="135"/>
    </row>
    <row r="39" ht="24" customHeight="1" spans="2:18">
      <c r="B39" s="100" t="str">
        <f>④経費!B21</f>
        <v>通信交通費</v>
      </c>
      <c r="C39" s="101">
        <f>④経費!C21</f>
        <v>0</v>
      </c>
      <c r="D39" s="103"/>
      <c r="F39" s="106" t="s">
        <v>277</v>
      </c>
      <c r="G39" s="107">
        <f>SUM(G20:G38)</f>
        <v>0</v>
      </c>
      <c r="H39" s="108">
        <f>SUM(H30:H38)</f>
        <v>0</v>
      </c>
      <c r="K39" s="100" t="str">
        <f>'⑥製造（経費)'!E6</f>
        <v>広告宣伝費</v>
      </c>
      <c r="L39" s="152">
        <f>'⑥製造（経費)'!F6</f>
        <v>0</v>
      </c>
      <c r="M39" s="146"/>
      <c r="P39" s="100" t="str">
        <f>'⑥製造（経費)'!B38</f>
        <v>修繕維持費</v>
      </c>
      <c r="Q39" s="152">
        <f>'⑥製造（経費)'!C38</f>
        <v>0</v>
      </c>
      <c r="R39" s="136"/>
    </row>
    <row r="40" ht="24" customHeight="1" spans="2:18">
      <c r="B40" s="100" t="str">
        <f>④経費!B22</f>
        <v>出張費</v>
      </c>
      <c r="C40" s="101">
        <f>④経費!C22</f>
        <v>0</v>
      </c>
      <c r="D40" s="103"/>
      <c r="F40" s="109" t="s">
        <v>67</v>
      </c>
      <c r="G40" s="110" t="s">
        <v>347</v>
      </c>
      <c r="H40" s="111" t="s">
        <v>348</v>
      </c>
      <c r="K40" s="100" t="str">
        <f>'⑥製造（経費)'!E7</f>
        <v>募集費</v>
      </c>
      <c r="L40" s="152">
        <f>'⑥製造（経費)'!F7</f>
        <v>0</v>
      </c>
      <c r="M40" s="146"/>
      <c r="P40" s="100" t="str">
        <f>'⑥製造（経費)'!B39</f>
        <v>保険料</v>
      </c>
      <c r="Q40" s="152">
        <f>'⑥製造（経費)'!C39</f>
        <v>0</v>
      </c>
      <c r="R40" s="146"/>
    </row>
    <row r="41" ht="24" customHeight="1" spans="2:18">
      <c r="B41" s="100" t="str">
        <f>④経費!B23</f>
        <v>消耗品費</v>
      </c>
      <c r="C41" s="101">
        <f>④経費!C23</f>
        <v>0</v>
      </c>
      <c r="D41" s="103"/>
      <c r="F41" s="112" t="str">
        <f>④経費!E4</f>
        <v>テナント料</v>
      </c>
      <c r="G41" s="113">
        <f>④経費!F12</f>
        <v>0</v>
      </c>
      <c r="H41" s="114"/>
      <c r="K41" s="100" t="str">
        <f>'⑥製造（経費)'!E8</f>
        <v>教育研修</v>
      </c>
      <c r="L41" s="152">
        <f>'⑥製造（経費)'!F8</f>
        <v>0</v>
      </c>
      <c r="M41" s="146"/>
      <c r="P41" s="100" t="str">
        <f>'⑥製造（経費)'!B40</f>
        <v>備品費</v>
      </c>
      <c r="Q41" s="152">
        <f>'⑥製造（経費)'!C40</f>
        <v>0</v>
      </c>
      <c r="R41" s="146"/>
    </row>
    <row r="42" ht="24" customHeight="1" spans="2:18">
      <c r="B42" s="100" t="str">
        <f>④経費!B24</f>
        <v>事務用品費</v>
      </c>
      <c r="C42" s="101">
        <f>④経費!C24</f>
        <v>0</v>
      </c>
      <c r="D42" s="103"/>
      <c r="F42" s="115" t="str">
        <f>④経費!E5</f>
        <v>試供品DM費</v>
      </c>
      <c r="G42" s="116">
        <f>④経費!F13</f>
        <v>0</v>
      </c>
      <c r="H42" s="81"/>
      <c r="K42" s="100" t="str">
        <f>'⑥製造（経費)'!E9</f>
        <v>予備</v>
      </c>
      <c r="L42" s="152">
        <f>'⑥製造（経費)'!F9</f>
        <v>0</v>
      </c>
      <c r="M42" s="146"/>
      <c r="P42" s="100" t="str">
        <f>'⑥製造（経費)'!B41</f>
        <v>寄付金</v>
      </c>
      <c r="Q42" s="152">
        <f>'⑥製造（経費)'!C41</f>
        <v>0</v>
      </c>
      <c r="R42" s="146"/>
    </row>
    <row r="43" ht="24" customHeight="1" spans="2:18">
      <c r="B43" s="100" t="str">
        <f>④経費!B25</f>
        <v>その他経費</v>
      </c>
      <c r="C43" s="101">
        <f>④経費!C25</f>
        <v>0</v>
      </c>
      <c r="D43" s="103"/>
      <c r="F43" s="115" t="str">
        <f>④経費!E6</f>
        <v>販売企画費</v>
      </c>
      <c r="G43" s="116">
        <v>0</v>
      </c>
      <c r="H43" s="81"/>
      <c r="K43" s="100" t="str">
        <f>'⑥製造（経費)'!E10</f>
        <v>予備</v>
      </c>
      <c r="L43" s="152">
        <f>'⑥製造（経費)'!F10</f>
        <v>0</v>
      </c>
      <c r="M43" s="146"/>
      <c r="P43" s="100" t="str">
        <f>'⑥製造（経費)'!B42</f>
        <v>減価償却費</v>
      </c>
      <c r="Q43" s="152">
        <f>'⑥製造（経費)'!C42</f>
        <v>0</v>
      </c>
      <c r="R43" s="146"/>
    </row>
    <row r="44" ht="24" customHeight="1" spans="2:18">
      <c r="B44" s="100" t="str">
        <f>④経費!B26</f>
        <v>雑費</v>
      </c>
      <c r="C44" s="101">
        <f>④経費!C26</f>
        <v>0</v>
      </c>
      <c r="D44" s="103"/>
      <c r="F44" s="115" t="str">
        <f>④経費!E7</f>
        <v>試供品DM費</v>
      </c>
      <c r="G44" s="116">
        <f>④経費!F15</f>
        <v>0</v>
      </c>
      <c r="H44" s="78"/>
      <c r="K44" s="100" t="str">
        <f>'⑥製造（経費)'!E11</f>
        <v>予備</v>
      </c>
      <c r="L44" s="152">
        <f>'⑥製造（経費)'!F11</f>
        <v>0</v>
      </c>
      <c r="M44" s="146"/>
      <c r="P44" s="120" t="s">
        <v>277</v>
      </c>
      <c r="Q44" s="121">
        <f>SUM(Q6:Q43)</f>
        <v>0</v>
      </c>
      <c r="R44" s="165">
        <f>SUM(R6:R43)</f>
        <v>0</v>
      </c>
    </row>
    <row r="45" ht="24" customHeight="1" spans="2:17">
      <c r="B45" s="100" t="str">
        <f>④経費!B27</f>
        <v>装飾費</v>
      </c>
      <c r="C45" s="101">
        <f>④経費!C27</f>
        <v>0</v>
      </c>
      <c r="D45" s="103"/>
      <c r="F45" s="115" t="str">
        <f>④経費!E8</f>
        <v>販売促進費</v>
      </c>
      <c r="G45" s="116">
        <f>④経費!F16</f>
        <v>0</v>
      </c>
      <c r="H45" s="104"/>
      <c r="K45" s="100" t="str">
        <f>'⑥製造（経費)'!E12</f>
        <v>予備</v>
      </c>
      <c r="L45" s="152">
        <f>'⑥製造（経費)'!F12</f>
        <v>0</v>
      </c>
      <c r="M45" s="146"/>
      <c r="P45" s="153"/>
      <c r="Q45" s="128"/>
    </row>
    <row r="46" ht="24" customHeight="1" spans="2:17">
      <c r="B46" s="100" t="str">
        <f>④経費!B28</f>
        <v>衛生費</v>
      </c>
      <c r="C46" s="101">
        <f>④経費!C28</f>
        <v>0</v>
      </c>
      <c r="D46" s="103"/>
      <c r="F46" s="115" t="str">
        <f>④経費!E9</f>
        <v>広告宣伝費</v>
      </c>
      <c r="G46" s="116">
        <f>④経費!F17</f>
        <v>0</v>
      </c>
      <c r="H46" s="78"/>
      <c r="K46" s="154" t="s">
        <v>277</v>
      </c>
      <c r="L46" s="155">
        <f>SUM(L37:L45)</f>
        <v>0</v>
      </c>
      <c r="M46" s="156">
        <f>SUM(M37:M45)</f>
        <v>0</v>
      </c>
      <c r="P46" s="153"/>
      <c r="Q46" s="128"/>
    </row>
    <row r="47" ht="24" customHeight="1" spans="2:17">
      <c r="B47" s="100" t="str">
        <f>④経費!B29</f>
        <v>運賃</v>
      </c>
      <c r="C47" s="101">
        <f>④経費!C29</f>
        <v>0</v>
      </c>
      <c r="D47" s="103"/>
      <c r="F47" s="115" t="str">
        <f>④経費!E10</f>
        <v>予備</v>
      </c>
      <c r="G47" s="116">
        <f>④経費!F18</f>
        <v>0</v>
      </c>
      <c r="H47" s="81"/>
      <c r="P47" s="153"/>
      <c r="Q47" s="128"/>
    </row>
    <row r="48" ht="24" customHeight="1" spans="2:17">
      <c r="B48" s="100" t="str">
        <f>④経費!B30</f>
        <v>荷造包装費</v>
      </c>
      <c r="C48" s="101">
        <f>④経費!C30</f>
        <v>0</v>
      </c>
      <c r="D48" s="103"/>
      <c r="F48" s="115" t="str">
        <f>④経費!E11</f>
        <v>予備</v>
      </c>
      <c r="G48" s="116">
        <f>④経費!F19</f>
        <v>0</v>
      </c>
      <c r="H48" s="81"/>
      <c r="P48" s="153"/>
      <c r="Q48" s="128"/>
    </row>
    <row r="49" ht="24" customHeight="1" spans="2:17">
      <c r="B49" s="100" t="str">
        <f>④経費!B31</f>
        <v>水道光熱費</v>
      </c>
      <c r="C49" s="101">
        <f>④経費!C31</f>
        <v>0</v>
      </c>
      <c r="D49" s="103"/>
      <c r="F49" s="115" t="str">
        <f>④経費!E12</f>
        <v>予備</v>
      </c>
      <c r="G49" s="116">
        <f>④経費!F20</f>
        <v>0</v>
      </c>
      <c r="H49" s="81"/>
      <c r="P49" s="153"/>
      <c r="Q49" s="128"/>
    </row>
    <row r="50" ht="24" customHeight="1" spans="2:17">
      <c r="B50" s="100" t="str">
        <f>④経費!B32</f>
        <v>旅費交通費</v>
      </c>
      <c r="C50" s="101">
        <f>④経費!C32</f>
        <v>0</v>
      </c>
      <c r="D50" s="103"/>
      <c r="F50" s="117" t="s">
        <v>277</v>
      </c>
      <c r="G50" s="88">
        <f>SUM(G41:G49)</f>
        <v>0</v>
      </c>
      <c r="H50" s="89">
        <f>SUM(H41:H49)</f>
        <v>0</v>
      </c>
      <c r="P50" s="153"/>
      <c r="Q50" s="128"/>
    </row>
    <row r="51" ht="24" customHeight="1" spans="2:17">
      <c r="B51" s="100" t="str">
        <f>④経費!B33</f>
        <v>諸会費</v>
      </c>
      <c r="C51" s="101">
        <f>④経費!C33</f>
        <v>0</v>
      </c>
      <c r="D51" s="103"/>
      <c r="F51" s="118"/>
      <c r="G51" s="119"/>
      <c r="H51" s="119"/>
      <c r="P51" s="153"/>
      <c r="Q51" s="128"/>
    </row>
    <row r="52" ht="24" customHeight="1" spans="2:17">
      <c r="B52" s="100" t="str">
        <f>④経費!B34</f>
        <v>管理諸費</v>
      </c>
      <c r="C52" s="101">
        <f>④経費!C34</f>
        <v>0</v>
      </c>
      <c r="D52" s="103"/>
      <c r="P52" s="153"/>
      <c r="Q52" s="128"/>
    </row>
    <row r="53" ht="24" customHeight="1" spans="2:17">
      <c r="B53" s="100" t="str">
        <f>④経費!B35</f>
        <v>保守管理費</v>
      </c>
      <c r="C53" s="101">
        <f>④経費!C35</f>
        <v>0</v>
      </c>
      <c r="D53" s="103"/>
      <c r="P53" s="153"/>
      <c r="Q53" s="128"/>
    </row>
    <row r="54" ht="24" customHeight="1" spans="2:17">
      <c r="B54" s="100" t="str">
        <f>④経費!B36</f>
        <v>図書費</v>
      </c>
      <c r="C54" s="101">
        <f>④経費!C36</f>
        <v>0</v>
      </c>
      <c r="D54" s="103"/>
      <c r="P54" s="153"/>
      <c r="Q54" s="128"/>
    </row>
    <row r="55" ht="24" customHeight="1" spans="2:17">
      <c r="B55" s="100" t="str">
        <f>④経費!B37</f>
        <v>修繕費</v>
      </c>
      <c r="C55" s="101">
        <f>④経費!C37</f>
        <v>0</v>
      </c>
      <c r="D55" s="103"/>
      <c r="P55" s="153"/>
      <c r="Q55" s="128"/>
    </row>
    <row r="56" ht="24" customHeight="1" spans="2:17">
      <c r="B56" s="100" t="str">
        <f>④経費!B38</f>
        <v>修繕維持費</v>
      </c>
      <c r="C56" s="101">
        <f>④経費!C38</f>
        <v>0</v>
      </c>
      <c r="D56" s="103"/>
      <c r="P56" s="153"/>
      <c r="Q56" s="128"/>
    </row>
    <row r="57" ht="24" customHeight="1" spans="2:17">
      <c r="B57" s="100" t="str">
        <f>④経費!B39</f>
        <v>保険料</v>
      </c>
      <c r="C57" s="101">
        <f>④経費!C39</f>
        <v>0</v>
      </c>
      <c r="D57" s="103"/>
      <c r="P57" s="153"/>
      <c r="Q57" s="128"/>
    </row>
    <row r="58" ht="24" customHeight="1" spans="2:17">
      <c r="B58" s="100" t="str">
        <f>④経費!B40</f>
        <v>備品費</v>
      </c>
      <c r="C58" s="101">
        <f>④経費!C40</f>
        <v>0</v>
      </c>
      <c r="D58" s="103"/>
      <c r="P58" s="153"/>
      <c r="Q58" s="128"/>
    </row>
    <row r="59" ht="24" customHeight="1" spans="2:17">
      <c r="B59" s="100" t="str">
        <f>④経費!B41</f>
        <v>寄付金</v>
      </c>
      <c r="C59" s="101">
        <f>④経費!C41</f>
        <v>0</v>
      </c>
      <c r="D59" s="103"/>
      <c r="P59" s="153"/>
      <c r="Q59" s="128"/>
    </row>
    <row r="60" ht="24" customHeight="1" spans="2:17">
      <c r="B60" s="100" t="str">
        <f>④経費!B42</f>
        <v>減価償却費</v>
      </c>
      <c r="C60" s="101">
        <f>④経費!C42</f>
        <v>0</v>
      </c>
      <c r="D60" s="103"/>
      <c r="P60" s="153"/>
      <c r="Q60" s="128"/>
    </row>
    <row r="61" ht="24" customHeight="1" spans="2:17">
      <c r="B61" s="120" t="s">
        <v>277</v>
      </c>
      <c r="C61" s="121">
        <f>SUM(C23:C60)</f>
        <v>0</v>
      </c>
      <c r="D61" s="122">
        <f>SUM(D23:D60)</f>
        <v>0</v>
      </c>
      <c r="P61" s="153"/>
      <c r="Q61" s="128"/>
    </row>
    <row r="62" spans="16:17">
      <c r="P62" s="153"/>
      <c r="Q62" s="128"/>
    </row>
    <row r="63" spans="16:17">
      <c r="P63" s="153"/>
      <c r="Q63" s="128"/>
    </row>
    <row r="64" spans="16:17">
      <c r="P64" s="153"/>
      <c r="Q64" s="128"/>
    </row>
    <row r="65" spans="16:17">
      <c r="P65" s="153"/>
      <c r="Q65" s="128"/>
    </row>
  </sheetData>
  <sheetProtection algorithmName="SHA-512" hashValue="AILVFdns9RZUKoUPleMRRHh6cgFYtFdemaKNyQjpabLYBXQAU8g2Iqv9MgZ2brExBXuidrZZd5ZNeyb0N6st/A==" saltValue="++Vz3OjVuYTKwPeYN4Fhbg==" spinCount="100000" sheet="1" objects="1" scenarios="1"/>
  <mergeCells count="5">
    <mergeCell ref="B1:H1"/>
    <mergeCell ref="C3:D3"/>
    <mergeCell ref="F3:H3"/>
    <mergeCell ref="K3:R3"/>
    <mergeCell ref="F18:H18"/>
  </mergeCells>
  <pageMargins left="0.7" right="0.7" top="0.75" bottom="0.75" header="0.3" footer="0.3"/>
  <pageSetup paperSize="8" scale="75" orientation="portrait"/>
  <headerFooter/>
  <colBreaks count="1" manualBreakCount="1">
    <brk id="9" max="1048575" man="1"/>
  </colBreaks>
  <ignoredErrors>
    <ignoredError sqref="K6" unlockedFormula="1"/>
  </ignoredErrors>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pageSetUpPr fitToPage="1"/>
  </sheetPr>
  <dimension ref="A1:AB141"/>
  <sheetViews>
    <sheetView view="pageBreakPreview" zoomScale="90" zoomScaleNormal="70" topLeftCell="A4" workbookViewId="0">
      <selection activeCell="D3" sqref="D3:AA46"/>
    </sheetView>
  </sheetViews>
  <sheetFormatPr defaultColWidth="8.09523809523809" defaultRowHeight="13.5"/>
  <cols>
    <col min="1" max="1" width="11.2" style="16" customWidth="1"/>
    <col min="2" max="2" width="14.6952380952381" style="16" customWidth="1"/>
    <col min="3" max="3" width="5.4" style="17" customWidth="1"/>
    <col min="4" max="27" width="7.8952380952381" style="16" customWidth="1"/>
    <col min="28" max="16384" width="8.09523809523809" style="16"/>
  </cols>
  <sheetData>
    <row r="1" s="15" customFormat="1" ht="15" spans="1:28">
      <c r="A1" s="18" t="s">
        <v>309</v>
      </c>
      <c r="B1" s="18" t="s">
        <v>356</v>
      </c>
      <c r="C1" s="18" t="s">
        <v>247</v>
      </c>
      <c r="D1" s="19">
        <f>進捗実績値入力シート!D2</f>
        <v>45536</v>
      </c>
      <c r="E1" s="20"/>
      <c r="F1" s="19" t="str">
        <f>TEXT(EDATE($D$1,1),"m")&amp;"月"</f>
        <v>10月</v>
      </c>
      <c r="G1" s="20" t="s">
        <v>247</v>
      </c>
      <c r="H1" s="19" t="str">
        <f>TEXT(EDATE($D$1,2),"m")&amp;"月"</f>
        <v>11月</v>
      </c>
      <c r="I1" s="20" t="s">
        <v>247</v>
      </c>
      <c r="J1" s="19" t="str">
        <f>TEXT(EDATE($D$1,3),"m")&amp;"月"</f>
        <v>12月</v>
      </c>
      <c r="K1" s="20" t="s">
        <v>247</v>
      </c>
      <c r="L1" s="19" t="str">
        <f>TEXT(EDATE($D$1,4),"m")&amp;"月"</f>
        <v>1月</v>
      </c>
      <c r="M1" s="20" t="s">
        <v>247</v>
      </c>
      <c r="N1" s="19" t="str">
        <f>TEXT(EDATE($D$1,5),"m")&amp;"月"</f>
        <v>2月</v>
      </c>
      <c r="O1" s="20" t="s">
        <v>247</v>
      </c>
      <c r="P1" s="19" t="str">
        <f>TEXT(EDATE($D$1,6),"m")&amp;"月"</f>
        <v>3月</v>
      </c>
      <c r="Q1" s="20" t="s">
        <v>247</v>
      </c>
      <c r="R1" s="19" t="str">
        <f>TEXT(EDATE($D$1,7),"m")&amp;"月"</f>
        <v>4月</v>
      </c>
      <c r="S1" s="20" t="s">
        <v>247</v>
      </c>
      <c r="T1" s="19" t="str">
        <f>TEXT(EDATE($D$1,8),"m")&amp;"月"</f>
        <v>5月</v>
      </c>
      <c r="U1" s="20" t="s">
        <v>247</v>
      </c>
      <c r="V1" s="19" t="str">
        <f>TEXT(EDATE($D$1,9),"m")&amp;"月"</f>
        <v>6月</v>
      </c>
      <c r="W1" s="20" t="s">
        <v>247</v>
      </c>
      <c r="X1" s="19" t="str">
        <f>TEXT(EDATE($D$1,10),"m")&amp;"月"</f>
        <v>7月</v>
      </c>
      <c r="Y1" s="20" t="s">
        <v>247</v>
      </c>
      <c r="Z1" s="19" t="str">
        <f>TEXT(EDATE($D$1,11),"m")&amp;"月"</f>
        <v>8月</v>
      </c>
      <c r="AA1" s="20" t="s">
        <v>247</v>
      </c>
      <c r="AB1" s="16"/>
    </row>
    <row r="2" s="15" customFormat="1" ht="18" customHeight="1" spans="1:28">
      <c r="A2" s="21" t="s">
        <v>247</v>
      </c>
      <c r="B2" s="22">
        <f>⑦原価詳細!G2</f>
        <v>0</v>
      </c>
      <c r="C2" s="21" t="s">
        <v>247</v>
      </c>
      <c r="D2" s="23" t="s">
        <v>357</v>
      </c>
      <c r="E2" s="24" t="s">
        <v>358</v>
      </c>
      <c r="F2" s="25" t="s">
        <v>357</v>
      </c>
      <c r="G2" s="25" t="s">
        <v>358</v>
      </c>
      <c r="H2" s="25" t="s">
        <v>357</v>
      </c>
      <c r="I2" s="25" t="s">
        <v>358</v>
      </c>
      <c r="J2" s="25" t="s">
        <v>357</v>
      </c>
      <c r="K2" s="25" t="s">
        <v>358</v>
      </c>
      <c r="L2" s="25" t="s">
        <v>357</v>
      </c>
      <c r="M2" s="25" t="s">
        <v>358</v>
      </c>
      <c r="N2" s="25" t="s">
        <v>357</v>
      </c>
      <c r="O2" s="25" t="s">
        <v>358</v>
      </c>
      <c r="P2" s="25" t="s">
        <v>357</v>
      </c>
      <c r="Q2" s="25" t="s">
        <v>358</v>
      </c>
      <c r="R2" s="25" t="s">
        <v>357</v>
      </c>
      <c r="S2" s="25" t="s">
        <v>358</v>
      </c>
      <c r="T2" s="43" t="s">
        <v>357</v>
      </c>
      <c r="U2" s="25" t="s">
        <v>358</v>
      </c>
      <c r="V2" s="25" t="s">
        <v>357</v>
      </c>
      <c r="W2" s="25" t="s">
        <v>358</v>
      </c>
      <c r="X2" s="25" t="s">
        <v>357</v>
      </c>
      <c r="Y2" s="25" t="s">
        <v>358</v>
      </c>
      <c r="Z2" s="25" t="s">
        <v>357</v>
      </c>
      <c r="AA2" s="45" t="s">
        <v>358</v>
      </c>
      <c r="AB2" t="s">
        <v>3</v>
      </c>
    </row>
    <row r="3" s="15" customFormat="1" ht="18" customHeight="1" spans="1:27">
      <c r="A3" s="26" t="str">
        <f>⑦原価詳細!A8</f>
        <v>○○</v>
      </c>
      <c r="B3" s="27">
        <f>⑦原価詳細!F8/1000000</f>
        <v>0</v>
      </c>
      <c r="C3" s="28" t="s">
        <v>347</v>
      </c>
      <c r="D3" s="29"/>
      <c r="E3" s="30">
        <f>D3</f>
        <v>0</v>
      </c>
      <c r="F3" s="31"/>
      <c r="G3" s="30">
        <f>E3+F3</f>
        <v>0</v>
      </c>
      <c r="H3" s="31"/>
      <c r="I3" s="30">
        <f>G3+H3</f>
        <v>0</v>
      </c>
      <c r="J3" s="31"/>
      <c r="K3" s="30">
        <f>I3+J3</f>
        <v>0</v>
      </c>
      <c r="L3" s="31"/>
      <c r="M3" s="30">
        <f>K3+L3</f>
        <v>0</v>
      </c>
      <c r="N3" s="31"/>
      <c r="O3" s="30">
        <f>M3+N3</f>
        <v>0</v>
      </c>
      <c r="P3" s="31"/>
      <c r="Q3" s="30">
        <f>O3+P3</f>
        <v>0</v>
      </c>
      <c r="R3" s="31"/>
      <c r="S3" s="30">
        <f>Q3+R3</f>
        <v>0</v>
      </c>
      <c r="T3" s="44"/>
      <c r="U3" s="30">
        <f>S3+T3</f>
        <v>0</v>
      </c>
      <c r="V3" s="31"/>
      <c r="W3" s="30">
        <f>U3+V3</f>
        <v>0</v>
      </c>
      <c r="X3" s="31"/>
      <c r="Y3" s="30">
        <f>W3+X3</f>
        <v>0</v>
      </c>
      <c r="Z3" s="31"/>
      <c r="AA3" s="46">
        <f>Y3+Z3</f>
        <v>0</v>
      </c>
    </row>
    <row r="4" s="15" customFormat="1" ht="18" customHeight="1" spans="1:27">
      <c r="A4" s="32" t="s">
        <v>247</v>
      </c>
      <c r="B4" s="33">
        <f>B3-D3-F3-H3-J3-L3-N3-P3-R3-T3-V3-X3-Z3</f>
        <v>0</v>
      </c>
      <c r="C4" s="34" t="s">
        <v>321</v>
      </c>
      <c r="D4" s="35"/>
      <c r="E4" s="36">
        <f>D4</f>
        <v>0</v>
      </c>
      <c r="F4" s="37"/>
      <c r="G4" s="36">
        <f t="shared" ref="G4:G5" si="0">E4+F4</f>
        <v>0</v>
      </c>
      <c r="H4" s="37"/>
      <c r="I4" s="36">
        <f t="shared" ref="I4:I5" si="1">G4+H4</f>
        <v>0</v>
      </c>
      <c r="J4" s="37"/>
      <c r="K4" s="42">
        <f>I4+J4</f>
        <v>0</v>
      </c>
      <c r="L4" s="37"/>
      <c r="M4" s="36">
        <f t="shared" ref="M4:M5" si="2">K4+L4</f>
        <v>0</v>
      </c>
      <c r="N4" s="37"/>
      <c r="O4" s="36">
        <f t="shared" ref="O4:O5" si="3">M4+N4</f>
        <v>0</v>
      </c>
      <c r="P4" s="37"/>
      <c r="Q4" s="36">
        <f t="shared" ref="Q4:Q5" si="4">O4+P4</f>
        <v>0</v>
      </c>
      <c r="R4" s="37"/>
      <c r="S4" s="36">
        <f t="shared" ref="S4:S5" si="5">Q4+R4</f>
        <v>0</v>
      </c>
      <c r="T4" s="37"/>
      <c r="U4" s="36">
        <f t="shared" ref="U4:U5" si="6">S4+T4</f>
        <v>0</v>
      </c>
      <c r="V4" s="37"/>
      <c r="W4" s="36">
        <f t="shared" ref="W4:W5" si="7">U4+V4</f>
        <v>0</v>
      </c>
      <c r="X4" s="37"/>
      <c r="Y4" s="36">
        <f t="shared" ref="Y4:Y5" si="8">W4+X4</f>
        <v>0</v>
      </c>
      <c r="Z4" s="37"/>
      <c r="AA4" s="47">
        <f t="shared" ref="AA4:AA5" si="9">Y4+Z4</f>
        <v>0</v>
      </c>
    </row>
    <row r="5" s="15" customFormat="1" ht="18" customHeight="1" spans="1:27">
      <c r="A5" s="26" t="str">
        <f>⑦原価詳細!A9</f>
        <v>○○</v>
      </c>
      <c r="B5" s="27">
        <f>⑦原価詳細!F9/1000000</f>
        <v>0</v>
      </c>
      <c r="C5" s="28" t="s">
        <v>347</v>
      </c>
      <c r="D5" s="29"/>
      <c r="E5" s="30">
        <f t="shared" ref="E5:E46" si="10">D5</f>
        <v>0</v>
      </c>
      <c r="F5" s="31"/>
      <c r="G5" s="30">
        <f t="shared" si="0"/>
        <v>0</v>
      </c>
      <c r="H5" s="31"/>
      <c r="I5" s="30">
        <f t="shared" si="1"/>
        <v>0</v>
      </c>
      <c r="J5" s="31"/>
      <c r="K5" s="30">
        <f t="shared" ref="K5:K46" si="11">I5+J5</f>
        <v>0</v>
      </c>
      <c r="L5" s="31"/>
      <c r="M5" s="30">
        <f t="shared" si="2"/>
        <v>0</v>
      </c>
      <c r="N5" s="31"/>
      <c r="O5" s="30">
        <f t="shared" si="3"/>
        <v>0</v>
      </c>
      <c r="P5" s="31"/>
      <c r="Q5" s="30">
        <f t="shared" si="4"/>
        <v>0</v>
      </c>
      <c r="R5" s="31"/>
      <c r="S5" s="30">
        <f t="shared" si="5"/>
        <v>0</v>
      </c>
      <c r="T5" s="44"/>
      <c r="U5" s="30">
        <f t="shared" si="6"/>
        <v>0</v>
      </c>
      <c r="V5" s="31"/>
      <c r="W5" s="30">
        <f t="shared" si="7"/>
        <v>0</v>
      </c>
      <c r="X5" s="31"/>
      <c r="Y5" s="30">
        <f t="shared" si="8"/>
        <v>0</v>
      </c>
      <c r="Z5" s="31"/>
      <c r="AA5" s="46">
        <f t="shared" si="9"/>
        <v>0</v>
      </c>
    </row>
    <row r="6" s="15" customFormat="1" ht="18" customHeight="1" spans="1:27">
      <c r="A6" s="32" t="s">
        <v>247</v>
      </c>
      <c r="B6" s="33">
        <f>B5-D5-F5-H5-J5-L5-N5-P5-R5-T5-V5-X5-Z5</f>
        <v>0</v>
      </c>
      <c r="C6" s="34" t="s">
        <v>321</v>
      </c>
      <c r="D6" s="35"/>
      <c r="E6" s="36">
        <f t="shared" si="10"/>
        <v>0</v>
      </c>
      <c r="F6" s="37"/>
      <c r="G6" s="36">
        <f t="shared" ref="G6:G46" si="12">E6+F6</f>
        <v>0</v>
      </c>
      <c r="H6" s="37"/>
      <c r="I6" s="36">
        <f t="shared" ref="I6:I46" si="13">G6+H6</f>
        <v>0</v>
      </c>
      <c r="J6" s="37"/>
      <c r="K6" s="42">
        <f t="shared" si="11"/>
        <v>0</v>
      </c>
      <c r="L6" s="37"/>
      <c r="M6" s="36">
        <f t="shared" ref="M6:M46" si="14">K6+L6</f>
        <v>0</v>
      </c>
      <c r="N6" s="37"/>
      <c r="O6" s="36">
        <f t="shared" ref="O6:O46" si="15">M6+N6</f>
        <v>0</v>
      </c>
      <c r="P6" s="37"/>
      <c r="Q6" s="36">
        <f t="shared" ref="Q6:Q46" si="16">O6+P6</f>
        <v>0</v>
      </c>
      <c r="R6" s="37"/>
      <c r="S6" s="36">
        <f t="shared" ref="S6:S46" si="17">Q6+R6</f>
        <v>0</v>
      </c>
      <c r="T6" s="37"/>
      <c r="U6" s="36">
        <f t="shared" ref="U6:U46" si="18">S6+T6</f>
        <v>0</v>
      </c>
      <c r="V6" s="37"/>
      <c r="W6" s="36">
        <f t="shared" ref="W6:W46" si="19">U6+V6</f>
        <v>0</v>
      </c>
      <c r="X6" s="37"/>
      <c r="Y6" s="36">
        <f t="shared" ref="Y6:Y46" si="20">W6+X6</f>
        <v>0</v>
      </c>
      <c r="Z6" s="37"/>
      <c r="AA6" s="47">
        <f t="shared" ref="AA6:AA46" si="21">Y6+Z6</f>
        <v>0</v>
      </c>
    </row>
    <row r="7" s="15" customFormat="1" ht="18" customHeight="1" spans="1:27">
      <c r="A7" s="26" t="str">
        <f>⑦原価詳細!A10</f>
        <v>○○</v>
      </c>
      <c r="B7" s="27">
        <f>⑦原価詳細!F10/1000000</f>
        <v>0</v>
      </c>
      <c r="C7" s="28" t="s">
        <v>347</v>
      </c>
      <c r="D7" s="29"/>
      <c r="E7" s="30">
        <f t="shared" si="10"/>
        <v>0</v>
      </c>
      <c r="F7" s="31"/>
      <c r="G7" s="30">
        <f t="shared" si="12"/>
        <v>0</v>
      </c>
      <c r="H7" s="31"/>
      <c r="I7" s="30">
        <f t="shared" si="13"/>
        <v>0</v>
      </c>
      <c r="J7" s="31"/>
      <c r="K7" s="30">
        <f t="shared" si="11"/>
        <v>0</v>
      </c>
      <c r="L7" s="31"/>
      <c r="M7" s="30">
        <f t="shared" si="14"/>
        <v>0</v>
      </c>
      <c r="N7" s="31"/>
      <c r="O7" s="30">
        <f t="shared" si="15"/>
        <v>0</v>
      </c>
      <c r="P7" s="31"/>
      <c r="Q7" s="30">
        <f t="shared" si="16"/>
        <v>0</v>
      </c>
      <c r="R7" s="31"/>
      <c r="S7" s="30">
        <f t="shared" si="17"/>
        <v>0</v>
      </c>
      <c r="T7" s="44"/>
      <c r="U7" s="30">
        <f t="shared" si="18"/>
        <v>0</v>
      </c>
      <c r="V7" s="31"/>
      <c r="W7" s="30">
        <f t="shared" si="19"/>
        <v>0</v>
      </c>
      <c r="X7" s="31"/>
      <c r="Y7" s="30">
        <f t="shared" si="20"/>
        <v>0</v>
      </c>
      <c r="Z7" s="31"/>
      <c r="AA7" s="46">
        <f t="shared" si="21"/>
        <v>0</v>
      </c>
    </row>
    <row r="8" s="15" customFormat="1" ht="18" customHeight="1" spans="1:27">
      <c r="A8" s="32" t="s">
        <v>247</v>
      </c>
      <c r="B8" s="33">
        <f>B7-D7-F7-H7-J7-L7-N7-P7-R7-T7-V7-X7-Z7</f>
        <v>0</v>
      </c>
      <c r="C8" s="34" t="s">
        <v>321</v>
      </c>
      <c r="D8" s="35"/>
      <c r="E8" s="36">
        <f t="shared" si="10"/>
        <v>0</v>
      </c>
      <c r="F8" s="37"/>
      <c r="G8" s="36">
        <f t="shared" si="12"/>
        <v>0</v>
      </c>
      <c r="H8" s="37"/>
      <c r="I8" s="36">
        <f t="shared" si="13"/>
        <v>0</v>
      </c>
      <c r="J8" s="37"/>
      <c r="K8" s="42">
        <f t="shared" si="11"/>
        <v>0</v>
      </c>
      <c r="L8" s="37"/>
      <c r="M8" s="36">
        <f t="shared" si="14"/>
        <v>0</v>
      </c>
      <c r="N8" s="37"/>
      <c r="O8" s="36">
        <f t="shared" si="15"/>
        <v>0</v>
      </c>
      <c r="P8" s="37"/>
      <c r="Q8" s="36">
        <f t="shared" si="16"/>
        <v>0</v>
      </c>
      <c r="R8" s="37"/>
      <c r="S8" s="36">
        <f t="shared" si="17"/>
        <v>0</v>
      </c>
      <c r="T8" s="37"/>
      <c r="U8" s="36">
        <f t="shared" si="18"/>
        <v>0</v>
      </c>
      <c r="V8" s="37"/>
      <c r="W8" s="36">
        <f t="shared" si="19"/>
        <v>0</v>
      </c>
      <c r="X8" s="37"/>
      <c r="Y8" s="36">
        <f t="shared" si="20"/>
        <v>0</v>
      </c>
      <c r="Z8" s="37"/>
      <c r="AA8" s="47">
        <f t="shared" si="21"/>
        <v>0</v>
      </c>
    </row>
    <row r="9" s="15" customFormat="1" ht="18" customHeight="1" spans="1:27">
      <c r="A9" s="26" t="str">
        <f>⑦原価詳細!A11</f>
        <v>○○</v>
      </c>
      <c r="B9" s="27">
        <f>⑦原価詳細!F11/1000000</f>
        <v>0</v>
      </c>
      <c r="C9" s="28" t="s">
        <v>347</v>
      </c>
      <c r="D9" s="29"/>
      <c r="E9" s="30">
        <f t="shared" si="10"/>
        <v>0</v>
      </c>
      <c r="F9" s="31"/>
      <c r="G9" s="30">
        <f t="shared" si="12"/>
        <v>0</v>
      </c>
      <c r="H9" s="31"/>
      <c r="I9" s="30">
        <f t="shared" si="13"/>
        <v>0</v>
      </c>
      <c r="J9" s="31"/>
      <c r="K9" s="30">
        <f t="shared" si="11"/>
        <v>0</v>
      </c>
      <c r="L9" s="31"/>
      <c r="M9" s="30">
        <f t="shared" si="14"/>
        <v>0</v>
      </c>
      <c r="N9" s="31"/>
      <c r="O9" s="30">
        <f t="shared" si="15"/>
        <v>0</v>
      </c>
      <c r="P9" s="31"/>
      <c r="Q9" s="30">
        <f t="shared" si="16"/>
        <v>0</v>
      </c>
      <c r="R9" s="31"/>
      <c r="S9" s="30">
        <f t="shared" si="17"/>
        <v>0</v>
      </c>
      <c r="T9" s="44"/>
      <c r="U9" s="30">
        <f t="shared" si="18"/>
        <v>0</v>
      </c>
      <c r="V9" s="31"/>
      <c r="W9" s="30">
        <f t="shared" si="19"/>
        <v>0</v>
      </c>
      <c r="X9" s="31"/>
      <c r="Y9" s="30">
        <f t="shared" si="20"/>
        <v>0</v>
      </c>
      <c r="Z9" s="31"/>
      <c r="AA9" s="46">
        <f t="shared" si="21"/>
        <v>0</v>
      </c>
    </row>
    <row r="10" s="15" customFormat="1" ht="18" customHeight="1" spans="1:27">
      <c r="A10" s="32" t="s">
        <v>247</v>
      </c>
      <c r="B10" s="33">
        <f>B9-D9-F9-H9-J9-L9-N9-P9-R9-T9-V9-X9-Z9</f>
        <v>0</v>
      </c>
      <c r="C10" s="34" t="s">
        <v>321</v>
      </c>
      <c r="D10" s="35"/>
      <c r="E10" s="36">
        <f t="shared" si="10"/>
        <v>0</v>
      </c>
      <c r="F10" s="37"/>
      <c r="G10" s="36">
        <f t="shared" si="12"/>
        <v>0</v>
      </c>
      <c r="H10" s="37"/>
      <c r="I10" s="36">
        <f t="shared" si="13"/>
        <v>0</v>
      </c>
      <c r="J10" s="37"/>
      <c r="K10" s="42">
        <f t="shared" si="11"/>
        <v>0</v>
      </c>
      <c r="L10" s="37"/>
      <c r="M10" s="36">
        <f t="shared" si="14"/>
        <v>0</v>
      </c>
      <c r="N10" s="37"/>
      <c r="O10" s="36">
        <f t="shared" si="15"/>
        <v>0</v>
      </c>
      <c r="P10" s="37"/>
      <c r="Q10" s="36">
        <f t="shared" si="16"/>
        <v>0</v>
      </c>
      <c r="R10" s="37"/>
      <c r="S10" s="36">
        <f t="shared" si="17"/>
        <v>0</v>
      </c>
      <c r="T10" s="37"/>
      <c r="U10" s="36">
        <f t="shared" si="18"/>
        <v>0</v>
      </c>
      <c r="V10" s="37"/>
      <c r="W10" s="36">
        <f t="shared" si="19"/>
        <v>0</v>
      </c>
      <c r="X10" s="37"/>
      <c r="Y10" s="36">
        <f t="shared" si="20"/>
        <v>0</v>
      </c>
      <c r="Z10" s="37"/>
      <c r="AA10" s="47">
        <f t="shared" si="21"/>
        <v>0</v>
      </c>
    </row>
    <row r="11" s="15" customFormat="1" ht="18" customHeight="1" spans="1:27">
      <c r="A11" s="26" t="str">
        <f>⑦原価詳細!A12</f>
        <v>○○</v>
      </c>
      <c r="B11" s="27">
        <f>⑦原価詳細!F12/1000000</f>
        <v>0</v>
      </c>
      <c r="C11" s="28" t="s">
        <v>347</v>
      </c>
      <c r="D11" s="29"/>
      <c r="E11" s="30">
        <f t="shared" si="10"/>
        <v>0</v>
      </c>
      <c r="F11" s="31"/>
      <c r="G11" s="30">
        <f t="shared" si="12"/>
        <v>0</v>
      </c>
      <c r="H11" s="31"/>
      <c r="I11" s="30">
        <f t="shared" si="13"/>
        <v>0</v>
      </c>
      <c r="J11" s="31"/>
      <c r="K11" s="30">
        <f t="shared" si="11"/>
        <v>0</v>
      </c>
      <c r="L11" s="31"/>
      <c r="M11" s="30">
        <f t="shared" si="14"/>
        <v>0</v>
      </c>
      <c r="N11" s="31"/>
      <c r="O11" s="30">
        <f t="shared" si="15"/>
        <v>0</v>
      </c>
      <c r="P11" s="31"/>
      <c r="Q11" s="30">
        <f t="shared" si="16"/>
        <v>0</v>
      </c>
      <c r="R11" s="31"/>
      <c r="S11" s="30">
        <f t="shared" si="17"/>
        <v>0</v>
      </c>
      <c r="T11" s="44"/>
      <c r="U11" s="30">
        <f t="shared" si="18"/>
        <v>0</v>
      </c>
      <c r="V11" s="31"/>
      <c r="W11" s="30">
        <f t="shared" si="19"/>
        <v>0</v>
      </c>
      <c r="X11" s="31"/>
      <c r="Y11" s="30">
        <f t="shared" si="20"/>
        <v>0</v>
      </c>
      <c r="Z11" s="31"/>
      <c r="AA11" s="46">
        <f t="shared" si="21"/>
        <v>0</v>
      </c>
    </row>
    <row r="12" s="15" customFormat="1" ht="18" customHeight="1" spans="1:27">
      <c r="A12" s="32" t="s">
        <v>247</v>
      </c>
      <c r="B12" s="33">
        <f>B11-D11-F11-H11-J11-L11-N11-P11-R11-T11-V11-X11-Z11</f>
        <v>0</v>
      </c>
      <c r="C12" s="34" t="s">
        <v>321</v>
      </c>
      <c r="D12" s="35"/>
      <c r="E12" s="36">
        <f t="shared" si="10"/>
        <v>0</v>
      </c>
      <c r="F12" s="37"/>
      <c r="G12" s="36">
        <f t="shared" si="12"/>
        <v>0</v>
      </c>
      <c r="H12" s="37"/>
      <c r="I12" s="36">
        <f t="shared" si="13"/>
        <v>0</v>
      </c>
      <c r="J12" s="37"/>
      <c r="K12" s="42">
        <f t="shared" si="11"/>
        <v>0</v>
      </c>
      <c r="L12" s="37"/>
      <c r="M12" s="36">
        <f t="shared" si="14"/>
        <v>0</v>
      </c>
      <c r="N12" s="37"/>
      <c r="O12" s="36">
        <f t="shared" si="15"/>
        <v>0</v>
      </c>
      <c r="P12" s="37"/>
      <c r="Q12" s="36">
        <f t="shared" si="16"/>
        <v>0</v>
      </c>
      <c r="R12" s="37"/>
      <c r="S12" s="36">
        <f t="shared" si="17"/>
        <v>0</v>
      </c>
      <c r="T12" s="37"/>
      <c r="U12" s="36">
        <f t="shared" si="18"/>
        <v>0</v>
      </c>
      <c r="V12" s="37"/>
      <c r="W12" s="36">
        <f t="shared" si="19"/>
        <v>0</v>
      </c>
      <c r="X12" s="37"/>
      <c r="Y12" s="36">
        <f t="shared" si="20"/>
        <v>0</v>
      </c>
      <c r="Z12" s="37"/>
      <c r="AA12" s="47">
        <f t="shared" si="21"/>
        <v>0</v>
      </c>
    </row>
    <row r="13" s="15" customFormat="1" ht="18" customHeight="1" spans="1:27">
      <c r="A13" s="26" t="str">
        <f>⑦原価詳細!A13</f>
        <v>○○</v>
      </c>
      <c r="B13" s="27">
        <f>⑦原価詳細!F13/1000000</f>
        <v>0</v>
      </c>
      <c r="C13" s="28" t="s">
        <v>347</v>
      </c>
      <c r="D13" s="29"/>
      <c r="E13" s="30">
        <f t="shared" si="10"/>
        <v>0</v>
      </c>
      <c r="F13" s="31"/>
      <c r="G13" s="30">
        <f t="shared" si="12"/>
        <v>0</v>
      </c>
      <c r="H13" s="31"/>
      <c r="I13" s="30">
        <f t="shared" si="13"/>
        <v>0</v>
      </c>
      <c r="J13" s="31"/>
      <c r="K13" s="30">
        <f t="shared" si="11"/>
        <v>0</v>
      </c>
      <c r="L13" s="31"/>
      <c r="M13" s="30">
        <f t="shared" si="14"/>
        <v>0</v>
      </c>
      <c r="N13" s="31"/>
      <c r="O13" s="30">
        <f t="shared" si="15"/>
        <v>0</v>
      </c>
      <c r="P13" s="31"/>
      <c r="Q13" s="30">
        <f t="shared" si="16"/>
        <v>0</v>
      </c>
      <c r="R13" s="31"/>
      <c r="S13" s="30">
        <f t="shared" si="17"/>
        <v>0</v>
      </c>
      <c r="T13" s="44"/>
      <c r="U13" s="30">
        <f t="shared" si="18"/>
        <v>0</v>
      </c>
      <c r="V13" s="31"/>
      <c r="W13" s="30">
        <f t="shared" si="19"/>
        <v>0</v>
      </c>
      <c r="X13" s="31"/>
      <c r="Y13" s="30">
        <f t="shared" si="20"/>
        <v>0</v>
      </c>
      <c r="Z13" s="31"/>
      <c r="AA13" s="46">
        <f t="shared" si="21"/>
        <v>0</v>
      </c>
    </row>
    <row r="14" s="15" customFormat="1" ht="18" customHeight="1" spans="1:27">
      <c r="A14" s="32" t="s">
        <v>247</v>
      </c>
      <c r="B14" s="33">
        <f>B13-D13-F13-H13-J13-L13-N13-P13-R13-T13-V13-X13-Z13</f>
        <v>0</v>
      </c>
      <c r="C14" s="34" t="s">
        <v>321</v>
      </c>
      <c r="D14" s="35"/>
      <c r="E14" s="36">
        <f t="shared" si="10"/>
        <v>0</v>
      </c>
      <c r="F14" s="37"/>
      <c r="G14" s="36">
        <f t="shared" si="12"/>
        <v>0</v>
      </c>
      <c r="H14" s="37"/>
      <c r="I14" s="36">
        <f t="shared" si="13"/>
        <v>0</v>
      </c>
      <c r="J14" s="37"/>
      <c r="K14" s="42">
        <f t="shared" si="11"/>
        <v>0</v>
      </c>
      <c r="L14" s="37"/>
      <c r="M14" s="36">
        <f t="shared" si="14"/>
        <v>0</v>
      </c>
      <c r="N14" s="37"/>
      <c r="O14" s="36">
        <f t="shared" si="15"/>
        <v>0</v>
      </c>
      <c r="P14" s="37"/>
      <c r="Q14" s="36">
        <f t="shared" si="16"/>
        <v>0</v>
      </c>
      <c r="R14" s="37"/>
      <c r="S14" s="36">
        <f t="shared" si="17"/>
        <v>0</v>
      </c>
      <c r="T14" s="37"/>
      <c r="U14" s="36">
        <f t="shared" si="18"/>
        <v>0</v>
      </c>
      <c r="V14" s="37"/>
      <c r="W14" s="36">
        <f t="shared" si="19"/>
        <v>0</v>
      </c>
      <c r="X14" s="37"/>
      <c r="Y14" s="36">
        <f t="shared" si="20"/>
        <v>0</v>
      </c>
      <c r="Z14" s="37"/>
      <c r="AA14" s="47">
        <f t="shared" si="21"/>
        <v>0</v>
      </c>
    </row>
    <row r="15" s="15" customFormat="1" ht="18" customHeight="1" spans="1:27">
      <c r="A15" s="26" t="str">
        <f>⑦原価詳細!A14</f>
        <v>○○</v>
      </c>
      <c r="B15" s="27">
        <f>⑦原価詳細!F14/1000000</f>
        <v>0</v>
      </c>
      <c r="C15" s="28" t="s">
        <v>347</v>
      </c>
      <c r="D15" s="29"/>
      <c r="E15" s="30">
        <f t="shared" si="10"/>
        <v>0</v>
      </c>
      <c r="F15" s="31"/>
      <c r="G15" s="30">
        <f t="shared" si="12"/>
        <v>0</v>
      </c>
      <c r="H15" s="31"/>
      <c r="I15" s="30">
        <f t="shared" si="13"/>
        <v>0</v>
      </c>
      <c r="J15" s="31"/>
      <c r="K15" s="30">
        <f t="shared" si="11"/>
        <v>0</v>
      </c>
      <c r="L15" s="31"/>
      <c r="M15" s="30">
        <f t="shared" si="14"/>
        <v>0</v>
      </c>
      <c r="N15" s="31"/>
      <c r="O15" s="30">
        <f t="shared" si="15"/>
        <v>0</v>
      </c>
      <c r="P15" s="31"/>
      <c r="Q15" s="30">
        <f t="shared" si="16"/>
        <v>0</v>
      </c>
      <c r="R15" s="31"/>
      <c r="S15" s="30">
        <f t="shared" si="17"/>
        <v>0</v>
      </c>
      <c r="T15" s="44"/>
      <c r="U15" s="30">
        <f t="shared" si="18"/>
        <v>0</v>
      </c>
      <c r="V15" s="31"/>
      <c r="W15" s="30">
        <f t="shared" si="19"/>
        <v>0</v>
      </c>
      <c r="X15" s="31"/>
      <c r="Y15" s="30">
        <f t="shared" si="20"/>
        <v>0</v>
      </c>
      <c r="Z15" s="31"/>
      <c r="AA15" s="46">
        <f t="shared" si="21"/>
        <v>0</v>
      </c>
    </row>
    <row r="16" s="15" customFormat="1" ht="18" customHeight="1" spans="1:27">
      <c r="A16" s="32" t="s">
        <v>247</v>
      </c>
      <c r="B16" s="33">
        <f>B15-D15-F15-H15-J15-L15-N15-P15-R15-T15-V15-X15-Z15</f>
        <v>0</v>
      </c>
      <c r="C16" s="34" t="s">
        <v>321</v>
      </c>
      <c r="D16" s="35"/>
      <c r="E16" s="36">
        <f t="shared" si="10"/>
        <v>0</v>
      </c>
      <c r="F16" s="37"/>
      <c r="G16" s="36">
        <f t="shared" si="12"/>
        <v>0</v>
      </c>
      <c r="H16" s="37"/>
      <c r="I16" s="36">
        <f t="shared" si="13"/>
        <v>0</v>
      </c>
      <c r="J16" s="37"/>
      <c r="K16" s="42">
        <f t="shared" si="11"/>
        <v>0</v>
      </c>
      <c r="L16" s="37"/>
      <c r="M16" s="36">
        <f t="shared" si="14"/>
        <v>0</v>
      </c>
      <c r="N16" s="37"/>
      <c r="O16" s="36">
        <f t="shared" si="15"/>
        <v>0</v>
      </c>
      <c r="P16" s="37"/>
      <c r="Q16" s="36">
        <f t="shared" si="16"/>
        <v>0</v>
      </c>
      <c r="R16" s="37"/>
      <c r="S16" s="36">
        <f t="shared" si="17"/>
        <v>0</v>
      </c>
      <c r="T16" s="37"/>
      <c r="U16" s="36">
        <f t="shared" si="18"/>
        <v>0</v>
      </c>
      <c r="V16" s="37"/>
      <c r="W16" s="36">
        <f t="shared" si="19"/>
        <v>0</v>
      </c>
      <c r="X16" s="37"/>
      <c r="Y16" s="36">
        <f t="shared" si="20"/>
        <v>0</v>
      </c>
      <c r="Z16" s="37"/>
      <c r="AA16" s="47">
        <f t="shared" si="21"/>
        <v>0</v>
      </c>
    </row>
    <row r="17" s="15" customFormat="1" ht="18" customHeight="1" spans="1:27">
      <c r="A17" s="26" t="str">
        <f>⑦原価詳細!A15</f>
        <v>○○</v>
      </c>
      <c r="B17" s="27">
        <f>⑦原価詳細!F15/1000000</f>
        <v>0</v>
      </c>
      <c r="C17" s="28" t="s">
        <v>347</v>
      </c>
      <c r="D17" s="29"/>
      <c r="E17" s="30">
        <f t="shared" si="10"/>
        <v>0</v>
      </c>
      <c r="F17" s="31"/>
      <c r="G17" s="30">
        <f t="shared" si="12"/>
        <v>0</v>
      </c>
      <c r="H17" s="31"/>
      <c r="I17" s="30">
        <f t="shared" si="13"/>
        <v>0</v>
      </c>
      <c r="J17" s="31"/>
      <c r="K17" s="30">
        <f t="shared" si="11"/>
        <v>0</v>
      </c>
      <c r="L17" s="31"/>
      <c r="M17" s="30">
        <f t="shared" si="14"/>
        <v>0</v>
      </c>
      <c r="N17" s="31"/>
      <c r="O17" s="30">
        <f t="shared" si="15"/>
        <v>0</v>
      </c>
      <c r="P17" s="31"/>
      <c r="Q17" s="30">
        <f t="shared" si="16"/>
        <v>0</v>
      </c>
      <c r="R17" s="31"/>
      <c r="S17" s="30">
        <f t="shared" si="17"/>
        <v>0</v>
      </c>
      <c r="T17" s="44"/>
      <c r="U17" s="30">
        <f t="shared" si="18"/>
        <v>0</v>
      </c>
      <c r="V17" s="31"/>
      <c r="W17" s="30">
        <f t="shared" si="19"/>
        <v>0</v>
      </c>
      <c r="X17" s="31"/>
      <c r="Y17" s="30">
        <f t="shared" si="20"/>
        <v>0</v>
      </c>
      <c r="Z17" s="31"/>
      <c r="AA17" s="46">
        <f t="shared" si="21"/>
        <v>0</v>
      </c>
    </row>
    <row r="18" s="15" customFormat="1" ht="18" customHeight="1" spans="1:27">
      <c r="A18" s="32" t="s">
        <v>247</v>
      </c>
      <c r="B18" s="33">
        <f>B17-D17-F17-H17-J17-L17-N17-P17-R17-T17-V17-X17-Z17</f>
        <v>0</v>
      </c>
      <c r="C18" s="34" t="s">
        <v>321</v>
      </c>
      <c r="D18" s="35"/>
      <c r="E18" s="36">
        <f t="shared" si="10"/>
        <v>0</v>
      </c>
      <c r="F18" s="37"/>
      <c r="G18" s="36">
        <f t="shared" si="12"/>
        <v>0</v>
      </c>
      <c r="H18" s="37"/>
      <c r="I18" s="36">
        <f t="shared" si="13"/>
        <v>0</v>
      </c>
      <c r="J18" s="37"/>
      <c r="K18" s="42">
        <f t="shared" si="11"/>
        <v>0</v>
      </c>
      <c r="L18" s="37"/>
      <c r="M18" s="36">
        <f t="shared" si="14"/>
        <v>0</v>
      </c>
      <c r="N18" s="37"/>
      <c r="O18" s="36">
        <f t="shared" si="15"/>
        <v>0</v>
      </c>
      <c r="P18" s="37"/>
      <c r="Q18" s="36">
        <f t="shared" si="16"/>
        <v>0</v>
      </c>
      <c r="R18" s="37"/>
      <c r="S18" s="36">
        <f t="shared" si="17"/>
        <v>0</v>
      </c>
      <c r="T18" s="37"/>
      <c r="U18" s="36">
        <f t="shared" si="18"/>
        <v>0</v>
      </c>
      <c r="V18" s="37"/>
      <c r="W18" s="36">
        <f t="shared" si="19"/>
        <v>0</v>
      </c>
      <c r="X18" s="37"/>
      <c r="Y18" s="36">
        <f t="shared" si="20"/>
        <v>0</v>
      </c>
      <c r="Z18" s="37"/>
      <c r="AA18" s="47">
        <f t="shared" si="21"/>
        <v>0</v>
      </c>
    </row>
    <row r="19" s="15" customFormat="1" ht="18" customHeight="1" spans="1:27">
      <c r="A19" s="26" t="str">
        <f>⑦原価詳細!A16</f>
        <v>〇〇</v>
      </c>
      <c r="B19" s="27">
        <f>⑦原価詳細!F16/1000000</f>
        <v>0</v>
      </c>
      <c r="C19" s="28" t="s">
        <v>347</v>
      </c>
      <c r="D19" s="29"/>
      <c r="E19" s="30">
        <f t="shared" si="10"/>
        <v>0</v>
      </c>
      <c r="F19" s="31"/>
      <c r="G19" s="30">
        <f t="shared" si="12"/>
        <v>0</v>
      </c>
      <c r="H19" s="31"/>
      <c r="I19" s="30">
        <f t="shared" si="13"/>
        <v>0</v>
      </c>
      <c r="J19" s="31"/>
      <c r="K19" s="30">
        <f t="shared" si="11"/>
        <v>0</v>
      </c>
      <c r="L19" s="31"/>
      <c r="M19" s="30">
        <f t="shared" si="14"/>
        <v>0</v>
      </c>
      <c r="N19" s="31"/>
      <c r="O19" s="30">
        <f t="shared" si="15"/>
        <v>0</v>
      </c>
      <c r="P19" s="31"/>
      <c r="Q19" s="30">
        <f t="shared" si="16"/>
        <v>0</v>
      </c>
      <c r="R19" s="31"/>
      <c r="S19" s="30">
        <f t="shared" si="17"/>
        <v>0</v>
      </c>
      <c r="T19" s="44"/>
      <c r="U19" s="30">
        <f t="shared" si="18"/>
        <v>0</v>
      </c>
      <c r="V19" s="31"/>
      <c r="W19" s="30">
        <f t="shared" si="19"/>
        <v>0</v>
      </c>
      <c r="X19" s="31"/>
      <c r="Y19" s="30">
        <f t="shared" si="20"/>
        <v>0</v>
      </c>
      <c r="Z19" s="31"/>
      <c r="AA19" s="46">
        <f t="shared" si="21"/>
        <v>0</v>
      </c>
    </row>
    <row r="20" s="15" customFormat="1" ht="18" customHeight="1" spans="1:27">
      <c r="A20" s="32" t="s">
        <v>247</v>
      </c>
      <c r="B20" s="33">
        <f>B19-D19-F19-H19-J19-L19-N19-P19-R19-T19-V19-X19-Z19</f>
        <v>0</v>
      </c>
      <c r="C20" s="34" t="s">
        <v>321</v>
      </c>
      <c r="D20" s="35"/>
      <c r="E20" s="36">
        <f t="shared" si="10"/>
        <v>0</v>
      </c>
      <c r="F20" s="37"/>
      <c r="G20" s="36">
        <f t="shared" si="12"/>
        <v>0</v>
      </c>
      <c r="H20" s="37"/>
      <c r="I20" s="36">
        <f t="shared" si="13"/>
        <v>0</v>
      </c>
      <c r="J20" s="37"/>
      <c r="K20" s="42">
        <f t="shared" si="11"/>
        <v>0</v>
      </c>
      <c r="L20" s="37"/>
      <c r="M20" s="36">
        <f t="shared" si="14"/>
        <v>0</v>
      </c>
      <c r="N20" s="37"/>
      <c r="O20" s="36">
        <f t="shared" si="15"/>
        <v>0</v>
      </c>
      <c r="P20" s="37"/>
      <c r="Q20" s="36">
        <f t="shared" si="16"/>
        <v>0</v>
      </c>
      <c r="R20" s="37"/>
      <c r="S20" s="36">
        <f t="shared" si="17"/>
        <v>0</v>
      </c>
      <c r="T20" s="37"/>
      <c r="U20" s="36">
        <f t="shared" si="18"/>
        <v>0</v>
      </c>
      <c r="V20" s="37"/>
      <c r="W20" s="36">
        <f t="shared" si="19"/>
        <v>0</v>
      </c>
      <c r="X20" s="37"/>
      <c r="Y20" s="36">
        <f t="shared" si="20"/>
        <v>0</v>
      </c>
      <c r="Z20" s="37"/>
      <c r="AA20" s="47">
        <f t="shared" si="21"/>
        <v>0</v>
      </c>
    </row>
    <row r="21" s="15" customFormat="1" ht="18" customHeight="1" spans="1:27">
      <c r="A21" s="26" t="str">
        <f>⑦原価詳細!A17</f>
        <v>○○</v>
      </c>
      <c r="B21" s="27">
        <f>⑦原価詳細!F17/1000000</f>
        <v>0</v>
      </c>
      <c r="C21" s="28" t="s">
        <v>347</v>
      </c>
      <c r="D21" s="29"/>
      <c r="E21" s="30">
        <f t="shared" si="10"/>
        <v>0</v>
      </c>
      <c r="F21" s="31"/>
      <c r="G21" s="30">
        <f t="shared" si="12"/>
        <v>0</v>
      </c>
      <c r="H21" s="31"/>
      <c r="I21" s="30">
        <f t="shared" si="13"/>
        <v>0</v>
      </c>
      <c r="J21" s="31"/>
      <c r="K21" s="30">
        <f t="shared" si="11"/>
        <v>0</v>
      </c>
      <c r="L21" s="31"/>
      <c r="M21" s="30">
        <f t="shared" si="14"/>
        <v>0</v>
      </c>
      <c r="N21" s="31"/>
      <c r="O21" s="30">
        <f t="shared" si="15"/>
        <v>0</v>
      </c>
      <c r="P21" s="31"/>
      <c r="Q21" s="30">
        <f t="shared" si="16"/>
        <v>0</v>
      </c>
      <c r="R21" s="31"/>
      <c r="S21" s="30">
        <f t="shared" si="17"/>
        <v>0</v>
      </c>
      <c r="T21" s="44"/>
      <c r="U21" s="30">
        <f t="shared" si="18"/>
        <v>0</v>
      </c>
      <c r="V21" s="31"/>
      <c r="W21" s="30">
        <f t="shared" si="19"/>
        <v>0</v>
      </c>
      <c r="X21" s="31"/>
      <c r="Y21" s="30">
        <f t="shared" si="20"/>
        <v>0</v>
      </c>
      <c r="Z21" s="31"/>
      <c r="AA21" s="46">
        <f t="shared" si="21"/>
        <v>0</v>
      </c>
    </row>
    <row r="22" s="15" customFormat="1" ht="18" customHeight="1" spans="1:27">
      <c r="A22" s="32" t="s">
        <v>247</v>
      </c>
      <c r="B22" s="33">
        <f>B21-D21-F21-H21-J21-L21-N21-P21-R21-T21-V21-X21-Z21</f>
        <v>0</v>
      </c>
      <c r="C22" s="34" t="s">
        <v>321</v>
      </c>
      <c r="D22" s="35"/>
      <c r="E22" s="36">
        <f t="shared" si="10"/>
        <v>0</v>
      </c>
      <c r="F22" s="37"/>
      <c r="G22" s="36">
        <f t="shared" si="12"/>
        <v>0</v>
      </c>
      <c r="H22" s="37"/>
      <c r="I22" s="36">
        <f t="shared" si="13"/>
        <v>0</v>
      </c>
      <c r="J22" s="37"/>
      <c r="K22" s="42">
        <f t="shared" si="11"/>
        <v>0</v>
      </c>
      <c r="L22" s="37"/>
      <c r="M22" s="36">
        <f t="shared" si="14"/>
        <v>0</v>
      </c>
      <c r="N22" s="37"/>
      <c r="O22" s="36">
        <f t="shared" si="15"/>
        <v>0</v>
      </c>
      <c r="P22" s="37"/>
      <c r="Q22" s="36">
        <f t="shared" si="16"/>
        <v>0</v>
      </c>
      <c r="R22" s="37"/>
      <c r="S22" s="36">
        <f t="shared" si="17"/>
        <v>0</v>
      </c>
      <c r="T22" s="37"/>
      <c r="U22" s="36">
        <f t="shared" si="18"/>
        <v>0</v>
      </c>
      <c r="V22" s="37"/>
      <c r="W22" s="36">
        <f t="shared" si="19"/>
        <v>0</v>
      </c>
      <c r="X22" s="37"/>
      <c r="Y22" s="36">
        <f t="shared" si="20"/>
        <v>0</v>
      </c>
      <c r="Z22" s="37"/>
      <c r="AA22" s="47">
        <f t="shared" si="21"/>
        <v>0</v>
      </c>
    </row>
    <row r="23" s="15" customFormat="1" ht="18" customHeight="1" spans="1:27">
      <c r="A23" s="26" t="str">
        <f>⑦原価詳細!A18</f>
        <v>○○</v>
      </c>
      <c r="B23" s="27">
        <f>⑦原価詳細!F18/1000000</f>
        <v>0</v>
      </c>
      <c r="C23" s="28" t="s">
        <v>347</v>
      </c>
      <c r="D23" s="29"/>
      <c r="E23" s="30">
        <f t="shared" si="10"/>
        <v>0</v>
      </c>
      <c r="F23" s="31"/>
      <c r="G23" s="30">
        <f t="shared" si="12"/>
        <v>0</v>
      </c>
      <c r="H23" s="31"/>
      <c r="I23" s="30">
        <f t="shared" si="13"/>
        <v>0</v>
      </c>
      <c r="J23" s="31"/>
      <c r="K23" s="30">
        <f t="shared" si="11"/>
        <v>0</v>
      </c>
      <c r="L23" s="31"/>
      <c r="M23" s="30">
        <f t="shared" si="14"/>
        <v>0</v>
      </c>
      <c r="N23" s="31"/>
      <c r="O23" s="30">
        <f t="shared" si="15"/>
        <v>0</v>
      </c>
      <c r="P23" s="31"/>
      <c r="Q23" s="30">
        <f t="shared" si="16"/>
        <v>0</v>
      </c>
      <c r="R23" s="31"/>
      <c r="S23" s="30">
        <f t="shared" si="17"/>
        <v>0</v>
      </c>
      <c r="T23" s="44"/>
      <c r="U23" s="30">
        <f t="shared" si="18"/>
        <v>0</v>
      </c>
      <c r="V23" s="31"/>
      <c r="W23" s="30">
        <f t="shared" si="19"/>
        <v>0</v>
      </c>
      <c r="X23" s="31"/>
      <c r="Y23" s="30">
        <f t="shared" si="20"/>
        <v>0</v>
      </c>
      <c r="Z23" s="31"/>
      <c r="AA23" s="46">
        <f t="shared" si="21"/>
        <v>0</v>
      </c>
    </row>
    <row r="24" s="15" customFormat="1" ht="18" customHeight="1" spans="1:27">
      <c r="A24" s="32" t="s">
        <v>247</v>
      </c>
      <c r="B24" s="33">
        <f>B23-D23-F23-H23-J23-L23-N23-P23-R23-T23-V23-X23-Z23</f>
        <v>0</v>
      </c>
      <c r="C24" s="34" t="s">
        <v>321</v>
      </c>
      <c r="D24" s="35"/>
      <c r="E24" s="36">
        <f t="shared" si="10"/>
        <v>0</v>
      </c>
      <c r="F24" s="37"/>
      <c r="G24" s="36">
        <f t="shared" si="12"/>
        <v>0</v>
      </c>
      <c r="H24" s="37"/>
      <c r="I24" s="36">
        <f t="shared" si="13"/>
        <v>0</v>
      </c>
      <c r="J24" s="37"/>
      <c r="K24" s="42">
        <f t="shared" si="11"/>
        <v>0</v>
      </c>
      <c r="L24" s="37"/>
      <c r="M24" s="36">
        <f t="shared" si="14"/>
        <v>0</v>
      </c>
      <c r="N24" s="37"/>
      <c r="O24" s="36">
        <f t="shared" si="15"/>
        <v>0</v>
      </c>
      <c r="P24" s="37"/>
      <c r="Q24" s="36">
        <f t="shared" si="16"/>
        <v>0</v>
      </c>
      <c r="R24" s="37"/>
      <c r="S24" s="36">
        <f t="shared" si="17"/>
        <v>0</v>
      </c>
      <c r="T24" s="37"/>
      <c r="U24" s="36">
        <f t="shared" si="18"/>
        <v>0</v>
      </c>
      <c r="V24" s="37"/>
      <c r="W24" s="36">
        <f t="shared" si="19"/>
        <v>0</v>
      </c>
      <c r="X24" s="37"/>
      <c r="Y24" s="36">
        <f t="shared" si="20"/>
        <v>0</v>
      </c>
      <c r="Z24" s="37"/>
      <c r="AA24" s="47">
        <f t="shared" si="21"/>
        <v>0</v>
      </c>
    </row>
    <row r="25" s="15" customFormat="1" ht="18" customHeight="1" spans="1:27">
      <c r="A25" s="26" t="str">
        <f>⑦原価詳細!A19</f>
        <v>○○</v>
      </c>
      <c r="B25" s="27">
        <f>⑦原価詳細!F19/1000000</f>
        <v>0</v>
      </c>
      <c r="C25" s="28" t="s">
        <v>347</v>
      </c>
      <c r="D25" s="29"/>
      <c r="E25" s="30">
        <f t="shared" si="10"/>
        <v>0</v>
      </c>
      <c r="F25" s="31"/>
      <c r="G25" s="30">
        <f t="shared" si="12"/>
        <v>0</v>
      </c>
      <c r="H25" s="31"/>
      <c r="I25" s="30">
        <f t="shared" si="13"/>
        <v>0</v>
      </c>
      <c r="J25" s="31"/>
      <c r="K25" s="30">
        <f t="shared" si="11"/>
        <v>0</v>
      </c>
      <c r="L25" s="31"/>
      <c r="M25" s="30">
        <f t="shared" si="14"/>
        <v>0</v>
      </c>
      <c r="N25" s="31"/>
      <c r="O25" s="30">
        <f t="shared" si="15"/>
        <v>0</v>
      </c>
      <c r="P25" s="31"/>
      <c r="Q25" s="30">
        <f t="shared" si="16"/>
        <v>0</v>
      </c>
      <c r="R25" s="31"/>
      <c r="S25" s="30">
        <f t="shared" si="17"/>
        <v>0</v>
      </c>
      <c r="T25" s="44"/>
      <c r="U25" s="30">
        <f t="shared" si="18"/>
        <v>0</v>
      </c>
      <c r="V25" s="31"/>
      <c r="W25" s="30">
        <f t="shared" si="19"/>
        <v>0</v>
      </c>
      <c r="X25" s="31"/>
      <c r="Y25" s="30">
        <f t="shared" si="20"/>
        <v>0</v>
      </c>
      <c r="Z25" s="31"/>
      <c r="AA25" s="46">
        <f t="shared" si="21"/>
        <v>0</v>
      </c>
    </row>
    <row r="26" s="15" customFormat="1" ht="18" customHeight="1" spans="1:27">
      <c r="A26" s="32" t="s">
        <v>247</v>
      </c>
      <c r="B26" s="33">
        <f>B25-D25-F25-H25-J25-L25-N25-P25-R25-T25-V25-X25-Z25</f>
        <v>0</v>
      </c>
      <c r="C26" s="34" t="s">
        <v>321</v>
      </c>
      <c r="D26" s="35"/>
      <c r="E26" s="36">
        <f t="shared" si="10"/>
        <v>0</v>
      </c>
      <c r="F26" s="37"/>
      <c r="G26" s="36">
        <f t="shared" si="12"/>
        <v>0</v>
      </c>
      <c r="H26" s="37"/>
      <c r="I26" s="36">
        <f t="shared" si="13"/>
        <v>0</v>
      </c>
      <c r="J26" s="37"/>
      <c r="K26" s="42">
        <f t="shared" si="11"/>
        <v>0</v>
      </c>
      <c r="L26" s="37"/>
      <c r="M26" s="36">
        <f t="shared" si="14"/>
        <v>0</v>
      </c>
      <c r="N26" s="37"/>
      <c r="O26" s="36">
        <f t="shared" si="15"/>
        <v>0</v>
      </c>
      <c r="P26" s="37"/>
      <c r="Q26" s="36">
        <f t="shared" si="16"/>
        <v>0</v>
      </c>
      <c r="R26" s="37"/>
      <c r="S26" s="36">
        <f t="shared" si="17"/>
        <v>0</v>
      </c>
      <c r="T26" s="37"/>
      <c r="U26" s="36">
        <f t="shared" si="18"/>
        <v>0</v>
      </c>
      <c r="V26" s="37"/>
      <c r="W26" s="36">
        <f t="shared" si="19"/>
        <v>0</v>
      </c>
      <c r="X26" s="37"/>
      <c r="Y26" s="36">
        <f t="shared" si="20"/>
        <v>0</v>
      </c>
      <c r="Z26" s="37"/>
      <c r="AA26" s="47">
        <f t="shared" si="21"/>
        <v>0</v>
      </c>
    </row>
    <row r="27" s="15" customFormat="1" ht="18" customHeight="1" spans="1:27">
      <c r="A27" s="26" t="str">
        <f>⑦原価詳細!A20</f>
        <v>○○</v>
      </c>
      <c r="B27" s="27">
        <f>⑦原価詳細!F20/1000000</f>
        <v>0</v>
      </c>
      <c r="C27" s="28" t="s">
        <v>347</v>
      </c>
      <c r="D27" s="29"/>
      <c r="E27" s="30">
        <f t="shared" si="10"/>
        <v>0</v>
      </c>
      <c r="F27" s="31"/>
      <c r="G27" s="30">
        <f t="shared" si="12"/>
        <v>0</v>
      </c>
      <c r="H27" s="31"/>
      <c r="I27" s="30">
        <f t="shared" si="13"/>
        <v>0</v>
      </c>
      <c r="J27" s="31"/>
      <c r="K27" s="30">
        <f t="shared" si="11"/>
        <v>0</v>
      </c>
      <c r="L27" s="31"/>
      <c r="M27" s="30">
        <f t="shared" si="14"/>
        <v>0</v>
      </c>
      <c r="N27" s="31"/>
      <c r="O27" s="30">
        <f t="shared" si="15"/>
        <v>0</v>
      </c>
      <c r="P27" s="31"/>
      <c r="Q27" s="30">
        <f t="shared" si="16"/>
        <v>0</v>
      </c>
      <c r="R27" s="31"/>
      <c r="S27" s="30">
        <f t="shared" si="17"/>
        <v>0</v>
      </c>
      <c r="T27" s="44"/>
      <c r="U27" s="30">
        <f t="shared" si="18"/>
        <v>0</v>
      </c>
      <c r="V27" s="31"/>
      <c r="W27" s="30">
        <f t="shared" si="19"/>
        <v>0</v>
      </c>
      <c r="X27" s="31"/>
      <c r="Y27" s="30">
        <f t="shared" si="20"/>
        <v>0</v>
      </c>
      <c r="Z27" s="31"/>
      <c r="AA27" s="46">
        <f t="shared" si="21"/>
        <v>0</v>
      </c>
    </row>
    <row r="28" s="15" customFormat="1" ht="18" customHeight="1" spans="1:27">
      <c r="A28" s="32" t="s">
        <v>247</v>
      </c>
      <c r="B28" s="33">
        <f>B27-D27-F27-H27-J27-L27-N27-P27-R27-T27-V27-X27-Z27</f>
        <v>0</v>
      </c>
      <c r="C28" s="34" t="s">
        <v>321</v>
      </c>
      <c r="D28" s="35"/>
      <c r="E28" s="36">
        <f t="shared" si="10"/>
        <v>0</v>
      </c>
      <c r="F28" s="37"/>
      <c r="G28" s="36">
        <f t="shared" si="12"/>
        <v>0</v>
      </c>
      <c r="H28" s="37"/>
      <c r="I28" s="36">
        <f t="shared" si="13"/>
        <v>0</v>
      </c>
      <c r="J28" s="37"/>
      <c r="K28" s="42">
        <f t="shared" si="11"/>
        <v>0</v>
      </c>
      <c r="L28" s="37"/>
      <c r="M28" s="36">
        <f t="shared" si="14"/>
        <v>0</v>
      </c>
      <c r="N28" s="37"/>
      <c r="O28" s="36">
        <f t="shared" si="15"/>
        <v>0</v>
      </c>
      <c r="P28" s="37"/>
      <c r="Q28" s="36">
        <f t="shared" si="16"/>
        <v>0</v>
      </c>
      <c r="R28" s="37"/>
      <c r="S28" s="36">
        <f t="shared" si="17"/>
        <v>0</v>
      </c>
      <c r="T28" s="37"/>
      <c r="U28" s="36">
        <f t="shared" si="18"/>
        <v>0</v>
      </c>
      <c r="V28" s="37"/>
      <c r="W28" s="36">
        <f t="shared" si="19"/>
        <v>0</v>
      </c>
      <c r="X28" s="37"/>
      <c r="Y28" s="36">
        <f t="shared" si="20"/>
        <v>0</v>
      </c>
      <c r="Z28" s="37"/>
      <c r="AA28" s="47">
        <f t="shared" si="21"/>
        <v>0</v>
      </c>
    </row>
    <row r="29" s="15" customFormat="1" ht="18" customHeight="1" spans="1:27">
      <c r="A29" s="26" t="str">
        <f>⑦原価詳細!A21</f>
        <v>○○</v>
      </c>
      <c r="B29" s="27">
        <f>⑦原価詳細!F21/1000000</f>
        <v>0</v>
      </c>
      <c r="C29" s="28" t="s">
        <v>347</v>
      </c>
      <c r="D29" s="29"/>
      <c r="E29" s="30">
        <f t="shared" si="10"/>
        <v>0</v>
      </c>
      <c r="F29" s="31"/>
      <c r="G29" s="30">
        <f t="shared" si="12"/>
        <v>0</v>
      </c>
      <c r="H29" s="31"/>
      <c r="I29" s="30">
        <f t="shared" si="13"/>
        <v>0</v>
      </c>
      <c r="J29" s="31"/>
      <c r="K29" s="30">
        <f t="shared" si="11"/>
        <v>0</v>
      </c>
      <c r="L29" s="31"/>
      <c r="M29" s="30">
        <f t="shared" si="14"/>
        <v>0</v>
      </c>
      <c r="N29" s="31"/>
      <c r="O29" s="30">
        <f t="shared" si="15"/>
        <v>0</v>
      </c>
      <c r="P29" s="31"/>
      <c r="Q29" s="30">
        <f t="shared" si="16"/>
        <v>0</v>
      </c>
      <c r="R29" s="31"/>
      <c r="S29" s="30">
        <f t="shared" si="17"/>
        <v>0</v>
      </c>
      <c r="T29" s="44"/>
      <c r="U29" s="30">
        <f t="shared" si="18"/>
        <v>0</v>
      </c>
      <c r="V29" s="31"/>
      <c r="W29" s="30">
        <f t="shared" si="19"/>
        <v>0</v>
      </c>
      <c r="X29" s="31"/>
      <c r="Y29" s="30">
        <f t="shared" si="20"/>
        <v>0</v>
      </c>
      <c r="Z29" s="31"/>
      <c r="AA29" s="46">
        <f t="shared" si="21"/>
        <v>0</v>
      </c>
    </row>
    <row r="30" s="15" customFormat="1" ht="18" customHeight="1" spans="1:27">
      <c r="A30" s="32" t="s">
        <v>247</v>
      </c>
      <c r="B30" s="33">
        <f>B29-D29-F29-H29-J29-L29-N29-P29-R29-T29-V29-X29-Z29</f>
        <v>0</v>
      </c>
      <c r="C30" s="34" t="s">
        <v>321</v>
      </c>
      <c r="D30" s="35"/>
      <c r="E30" s="36">
        <f t="shared" si="10"/>
        <v>0</v>
      </c>
      <c r="F30" s="37"/>
      <c r="G30" s="36">
        <f t="shared" si="12"/>
        <v>0</v>
      </c>
      <c r="H30" s="37"/>
      <c r="I30" s="36">
        <f t="shared" si="13"/>
        <v>0</v>
      </c>
      <c r="J30" s="37"/>
      <c r="K30" s="42">
        <f t="shared" si="11"/>
        <v>0</v>
      </c>
      <c r="L30" s="37"/>
      <c r="M30" s="36">
        <f t="shared" si="14"/>
        <v>0</v>
      </c>
      <c r="N30" s="37"/>
      <c r="O30" s="36">
        <f t="shared" si="15"/>
        <v>0</v>
      </c>
      <c r="P30" s="37"/>
      <c r="Q30" s="36">
        <f t="shared" si="16"/>
        <v>0</v>
      </c>
      <c r="R30" s="37"/>
      <c r="S30" s="36">
        <f t="shared" si="17"/>
        <v>0</v>
      </c>
      <c r="T30" s="37"/>
      <c r="U30" s="36">
        <f t="shared" si="18"/>
        <v>0</v>
      </c>
      <c r="V30" s="37"/>
      <c r="W30" s="36">
        <f t="shared" si="19"/>
        <v>0</v>
      </c>
      <c r="X30" s="37"/>
      <c r="Y30" s="36">
        <f t="shared" si="20"/>
        <v>0</v>
      </c>
      <c r="Z30" s="37"/>
      <c r="AA30" s="47">
        <f t="shared" si="21"/>
        <v>0</v>
      </c>
    </row>
    <row r="31" s="15" customFormat="1" ht="18" customHeight="1" spans="1:27">
      <c r="A31" s="26" t="str">
        <f>⑦原価詳細!A22</f>
        <v>○○</v>
      </c>
      <c r="B31" s="27">
        <f>⑦原価詳細!F22/1000000</f>
        <v>0</v>
      </c>
      <c r="C31" s="28" t="s">
        <v>347</v>
      </c>
      <c r="D31" s="29"/>
      <c r="E31" s="30">
        <f t="shared" si="10"/>
        <v>0</v>
      </c>
      <c r="F31" s="31"/>
      <c r="G31" s="30">
        <f t="shared" si="12"/>
        <v>0</v>
      </c>
      <c r="H31" s="31"/>
      <c r="I31" s="30">
        <f t="shared" si="13"/>
        <v>0</v>
      </c>
      <c r="J31" s="31"/>
      <c r="K31" s="30">
        <f t="shared" si="11"/>
        <v>0</v>
      </c>
      <c r="L31" s="31"/>
      <c r="M31" s="30">
        <f t="shared" si="14"/>
        <v>0</v>
      </c>
      <c r="N31" s="31"/>
      <c r="O31" s="30">
        <f t="shared" si="15"/>
        <v>0</v>
      </c>
      <c r="P31" s="31"/>
      <c r="Q31" s="30">
        <f t="shared" si="16"/>
        <v>0</v>
      </c>
      <c r="R31" s="31"/>
      <c r="S31" s="30">
        <f t="shared" si="17"/>
        <v>0</v>
      </c>
      <c r="T31" s="44"/>
      <c r="U31" s="30">
        <f t="shared" si="18"/>
        <v>0</v>
      </c>
      <c r="V31" s="31"/>
      <c r="W31" s="30">
        <f t="shared" si="19"/>
        <v>0</v>
      </c>
      <c r="X31" s="31"/>
      <c r="Y31" s="30">
        <f t="shared" si="20"/>
        <v>0</v>
      </c>
      <c r="Z31" s="31"/>
      <c r="AA31" s="46">
        <f t="shared" si="21"/>
        <v>0</v>
      </c>
    </row>
    <row r="32" s="15" customFormat="1" ht="18" customHeight="1" spans="1:27">
      <c r="A32" s="32" t="s">
        <v>247</v>
      </c>
      <c r="B32" s="33">
        <f>B31-D31-F31-H31-J31-L31-N31-P31-R31-T31-V31-X31-Z31</f>
        <v>0</v>
      </c>
      <c r="C32" s="34" t="s">
        <v>321</v>
      </c>
      <c r="D32" s="35"/>
      <c r="E32" s="36">
        <f t="shared" si="10"/>
        <v>0</v>
      </c>
      <c r="F32" s="37"/>
      <c r="G32" s="36">
        <f t="shared" si="12"/>
        <v>0</v>
      </c>
      <c r="H32" s="37"/>
      <c r="I32" s="36">
        <f t="shared" si="13"/>
        <v>0</v>
      </c>
      <c r="J32" s="37"/>
      <c r="K32" s="42">
        <f t="shared" si="11"/>
        <v>0</v>
      </c>
      <c r="L32" s="37"/>
      <c r="M32" s="36">
        <f t="shared" si="14"/>
        <v>0</v>
      </c>
      <c r="N32" s="37"/>
      <c r="O32" s="36">
        <f t="shared" si="15"/>
        <v>0</v>
      </c>
      <c r="P32" s="37"/>
      <c r="Q32" s="36">
        <f t="shared" si="16"/>
        <v>0</v>
      </c>
      <c r="R32" s="37"/>
      <c r="S32" s="36">
        <f t="shared" si="17"/>
        <v>0</v>
      </c>
      <c r="T32" s="37"/>
      <c r="U32" s="36">
        <f t="shared" si="18"/>
        <v>0</v>
      </c>
      <c r="V32" s="37"/>
      <c r="W32" s="36">
        <f t="shared" si="19"/>
        <v>0</v>
      </c>
      <c r="X32" s="37"/>
      <c r="Y32" s="36">
        <f t="shared" si="20"/>
        <v>0</v>
      </c>
      <c r="Z32" s="37"/>
      <c r="AA32" s="47">
        <f t="shared" si="21"/>
        <v>0</v>
      </c>
    </row>
    <row r="33" s="15" customFormat="1" ht="18" customHeight="1" spans="1:27">
      <c r="A33" s="26" t="str">
        <f>⑦原価詳細!A23</f>
        <v>○○</v>
      </c>
      <c r="B33" s="27">
        <f>⑦原価詳細!F23/1000000</f>
        <v>0</v>
      </c>
      <c r="C33" s="28" t="s">
        <v>347</v>
      </c>
      <c r="D33" s="29"/>
      <c r="E33" s="30">
        <f t="shared" si="10"/>
        <v>0</v>
      </c>
      <c r="F33" s="31"/>
      <c r="G33" s="30">
        <f t="shared" si="12"/>
        <v>0</v>
      </c>
      <c r="H33" s="31"/>
      <c r="I33" s="30">
        <f t="shared" si="13"/>
        <v>0</v>
      </c>
      <c r="J33" s="31"/>
      <c r="K33" s="30">
        <f t="shared" si="11"/>
        <v>0</v>
      </c>
      <c r="L33" s="31"/>
      <c r="M33" s="30">
        <f t="shared" si="14"/>
        <v>0</v>
      </c>
      <c r="N33" s="31"/>
      <c r="O33" s="30">
        <f t="shared" si="15"/>
        <v>0</v>
      </c>
      <c r="P33" s="31"/>
      <c r="Q33" s="30">
        <f t="shared" si="16"/>
        <v>0</v>
      </c>
      <c r="R33" s="31"/>
      <c r="S33" s="30">
        <f t="shared" si="17"/>
        <v>0</v>
      </c>
      <c r="T33" s="44"/>
      <c r="U33" s="30">
        <f t="shared" si="18"/>
        <v>0</v>
      </c>
      <c r="V33" s="31"/>
      <c r="W33" s="30">
        <f t="shared" si="19"/>
        <v>0</v>
      </c>
      <c r="X33" s="31"/>
      <c r="Y33" s="30">
        <f t="shared" si="20"/>
        <v>0</v>
      </c>
      <c r="Z33" s="31"/>
      <c r="AA33" s="46">
        <f t="shared" si="21"/>
        <v>0</v>
      </c>
    </row>
    <row r="34" s="15" customFormat="1" ht="18" customHeight="1" spans="1:27">
      <c r="A34" s="32" t="s">
        <v>247</v>
      </c>
      <c r="B34" s="33">
        <f>B33-D33-F33-H33-J33-L33-N33-P33-R33-T33-V33-X33-Z33</f>
        <v>0</v>
      </c>
      <c r="C34" s="34" t="s">
        <v>321</v>
      </c>
      <c r="D34" s="35"/>
      <c r="E34" s="36">
        <f t="shared" si="10"/>
        <v>0</v>
      </c>
      <c r="F34" s="37"/>
      <c r="G34" s="36">
        <f t="shared" si="12"/>
        <v>0</v>
      </c>
      <c r="H34" s="37"/>
      <c r="I34" s="36">
        <f t="shared" si="13"/>
        <v>0</v>
      </c>
      <c r="J34" s="37"/>
      <c r="K34" s="42">
        <f t="shared" si="11"/>
        <v>0</v>
      </c>
      <c r="L34" s="37"/>
      <c r="M34" s="36">
        <f t="shared" si="14"/>
        <v>0</v>
      </c>
      <c r="N34" s="37"/>
      <c r="O34" s="36">
        <f t="shared" si="15"/>
        <v>0</v>
      </c>
      <c r="P34" s="37"/>
      <c r="Q34" s="36">
        <f t="shared" si="16"/>
        <v>0</v>
      </c>
      <c r="R34" s="37"/>
      <c r="S34" s="36">
        <f t="shared" si="17"/>
        <v>0</v>
      </c>
      <c r="T34" s="37"/>
      <c r="U34" s="36">
        <f t="shared" si="18"/>
        <v>0</v>
      </c>
      <c r="V34" s="37"/>
      <c r="W34" s="36">
        <f t="shared" si="19"/>
        <v>0</v>
      </c>
      <c r="X34" s="37"/>
      <c r="Y34" s="36">
        <f t="shared" si="20"/>
        <v>0</v>
      </c>
      <c r="Z34" s="37"/>
      <c r="AA34" s="47">
        <f t="shared" si="21"/>
        <v>0</v>
      </c>
    </row>
    <row r="35" s="15" customFormat="1" ht="18" customHeight="1" spans="1:27">
      <c r="A35" s="26" t="str">
        <f>⑦原価詳細!A24</f>
        <v>○○</v>
      </c>
      <c r="B35" s="27">
        <f>⑦原価詳細!F24/1000000</f>
        <v>0</v>
      </c>
      <c r="C35" s="28" t="s">
        <v>347</v>
      </c>
      <c r="D35" s="29"/>
      <c r="E35" s="30">
        <f t="shared" si="10"/>
        <v>0</v>
      </c>
      <c r="F35" s="31"/>
      <c r="G35" s="30">
        <f t="shared" si="12"/>
        <v>0</v>
      </c>
      <c r="H35" s="31"/>
      <c r="I35" s="30">
        <f t="shared" si="13"/>
        <v>0</v>
      </c>
      <c r="J35" s="31"/>
      <c r="K35" s="30">
        <f t="shared" si="11"/>
        <v>0</v>
      </c>
      <c r="L35" s="31"/>
      <c r="M35" s="30">
        <f t="shared" si="14"/>
        <v>0</v>
      </c>
      <c r="N35" s="31"/>
      <c r="O35" s="30">
        <f t="shared" si="15"/>
        <v>0</v>
      </c>
      <c r="P35" s="31"/>
      <c r="Q35" s="30">
        <f t="shared" si="16"/>
        <v>0</v>
      </c>
      <c r="R35" s="31"/>
      <c r="S35" s="30">
        <f t="shared" si="17"/>
        <v>0</v>
      </c>
      <c r="T35" s="44"/>
      <c r="U35" s="30">
        <f t="shared" si="18"/>
        <v>0</v>
      </c>
      <c r="V35" s="31"/>
      <c r="W35" s="30">
        <f t="shared" si="19"/>
        <v>0</v>
      </c>
      <c r="X35" s="31"/>
      <c r="Y35" s="30">
        <f t="shared" si="20"/>
        <v>0</v>
      </c>
      <c r="Z35" s="31"/>
      <c r="AA35" s="46">
        <f t="shared" si="21"/>
        <v>0</v>
      </c>
    </row>
    <row r="36" s="15" customFormat="1" ht="18" customHeight="1" spans="1:27">
      <c r="A36" s="32" t="s">
        <v>247</v>
      </c>
      <c r="B36" s="33">
        <f>B35-D35-F35-H35-J35-L35-N35-P35-R35-T35-V35-X35-Z35</f>
        <v>0</v>
      </c>
      <c r="C36" s="34" t="s">
        <v>321</v>
      </c>
      <c r="D36" s="35"/>
      <c r="E36" s="36">
        <f t="shared" si="10"/>
        <v>0</v>
      </c>
      <c r="F36" s="37"/>
      <c r="G36" s="36">
        <f t="shared" si="12"/>
        <v>0</v>
      </c>
      <c r="H36" s="37"/>
      <c r="I36" s="36">
        <f t="shared" si="13"/>
        <v>0</v>
      </c>
      <c r="J36" s="37"/>
      <c r="K36" s="42">
        <f t="shared" si="11"/>
        <v>0</v>
      </c>
      <c r="L36" s="37"/>
      <c r="M36" s="36">
        <f t="shared" si="14"/>
        <v>0</v>
      </c>
      <c r="N36" s="37"/>
      <c r="O36" s="36">
        <f t="shared" si="15"/>
        <v>0</v>
      </c>
      <c r="P36" s="37"/>
      <c r="Q36" s="36">
        <f t="shared" si="16"/>
        <v>0</v>
      </c>
      <c r="R36" s="37"/>
      <c r="S36" s="36">
        <f t="shared" si="17"/>
        <v>0</v>
      </c>
      <c r="T36" s="37"/>
      <c r="U36" s="36">
        <f t="shared" si="18"/>
        <v>0</v>
      </c>
      <c r="V36" s="37"/>
      <c r="W36" s="36">
        <f t="shared" si="19"/>
        <v>0</v>
      </c>
      <c r="X36" s="37"/>
      <c r="Y36" s="36">
        <f t="shared" si="20"/>
        <v>0</v>
      </c>
      <c r="Z36" s="37"/>
      <c r="AA36" s="47">
        <f t="shared" si="21"/>
        <v>0</v>
      </c>
    </row>
    <row r="37" s="15" customFormat="1" ht="18" customHeight="1" spans="1:27">
      <c r="A37" s="26" t="str">
        <f>⑦原価詳細!A25</f>
        <v>○○</v>
      </c>
      <c r="B37" s="27">
        <f>⑦原価詳細!F25/1000000</f>
        <v>0</v>
      </c>
      <c r="C37" s="28" t="s">
        <v>347</v>
      </c>
      <c r="D37" s="29"/>
      <c r="E37" s="30">
        <f t="shared" si="10"/>
        <v>0</v>
      </c>
      <c r="F37" s="31"/>
      <c r="G37" s="30">
        <f t="shared" si="12"/>
        <v>0</v>
      </c>
      <c r="H37" s="31"/>
      <c r="I37" s="30">
        <f t="shared" si="13"/>
        <v>0</v>
      </c>
      <c r="J37" s="31"/>
      <c r="K37" s="30">
        <f t="shared" si="11"/>
        <v>0</v>
      </c>
      <c r="L37" s="31"/>
      <c r="M37" s="30">
        <f t="shared" si="14"/>
        <v>0</v>
      </c>
      <c r="N37" s="31"/>
      <c r="O37" s="30">
        <f t="shared" si="15"/>
        <v>0</v>
      </c>
      <c r="P37" s="31"/>
      <c r="Q37" s="30">
        <f t="shared" si="16"/>
        <v>0</v>
      </c>
      <c r="R37" s="31"/>
      <c r="S37" s="30">
        <f t="shared" si="17"/>
        <v>0</v>
      </c>
      <c r="T37" s="44"/>
      <c r="U37" s="30">
        <f t="shared" si="18"/>
        <v>0</v>
      </c>
      <c r="V37" s="31"/>
      <c r="W37" s="30">
        <f t="shared" si="19"/>
        <v>0</v>
      </c>
      <c r="X37" s="31"/>
      <c r="Y37" s="30">
        <f t="shared" si="20"/>
        <v>0</v>
      </c>
      <c r="Z37" s="31"/>
      <c r="AA37" s="46">
        <f t="shared" si="21"/>
        <v>0</v>
      </c>
    </row>
    <row r="38" s="15" customFormat="1" ht="18" customHeight="1" spans="1:27">
      <c r="A38" s="32" t="s">
        <v>247</v>
      </c>
      <c r="B38" s="33">
        <f>B37-D37-F37-H37-J37-L37-N37-P37-R37-T37-V37-X37-Z37</f>
        <v>0</v>
      </c>
      <c r="C38" s="34" t="s">
        <v>321</v>
      </c>
      <c r="D38" s="35"/>
      <c r="E38" s="36">
        <f t="shared" si="10"/>
        <v>0</v>
      </c>
      <c r="F38" s="37"/>
      <c r="G38" s="36">
        <f t="shared" si="12"/>
        <v>0</v>
      </c>
      <c r="H38" s="37"/>
      <c r="I38" s="36">
        <f t="shared" si="13"/>
        <v>0</v>
      </c>
      <c r="J38" s="37"/>
      <c r="K38" s="42">
        <f t="shared" si="11"/>
        <v>0</v>
      </c>
      <c r="L38" s="37"/>
      <c r="M38" s="36">
        <f t="shared" si="14"/>
        <v>0</v>
      </c>
      <c r="N38" s="37"/>
      <c r="O38" s="36">
        <f t="shared" si="15"/>
        <v>0</v>
      </c>
      <c r="P38" s="37"/>
      <c r="Q38" s="36">
        <f t="shared" si="16"/>
        <v>0</v>
      </c>
      <c r="R38" s="37"/>
      <c r="S38" s="36">
        <f t="shared" si="17"/>
        <v>0</v>
      </c>
      <c r="T38" s="37"/>
      <c r="U38" s="36">
        <f t="shared" si="18"/>
        <v>0</v>
      </c>
      <c r="V38" s="37"/>
      <c r="W38" s="36">
        <f t="shared" si="19"/>
        <v>0</v>
      </c>
      <c r="X38" s="37"/>
      <c r="Y38" s="36">
        <f t="shared" si="20"/>
        <v>0</v>
      </c>
      <c r="Z38" s="37"/>
      <c r="AA38" s="47">
        <f t="shared" si="21"/>
        <v>0</v>
      </c>
    </row>
    <row r="39" s="15" customFormat="1" ht="18" customHeight="1" spans="1:27">
      <c r="A39" s="26" t="str">
        <f>⑦原価詳細!A26</f>
        <v>○○</v>
      </c>
      <c r="B39" s="27">
        <f>⑦原価詳細!F26/1000000</f>
        <v>0</v>
      </c>
      <c r="C39" s="28" t="s">
        <v>347</v>
      </c>
      <c r="D39" s="29"/>
      <c r="E39" s="30">
        <f t="shared" si="10"/>
        <v>0</v>
      </c>
      <c r="F39" s="31"/>
      <c r="G39" s="30">
        <f t="shared" si="12"/>
        <v>0</v>
      </c>
      <c r="H39" s="31"/>
      <c r="I39" s="30">
        <f t="shared" si="13"/>
        <v>0</v>
      </c>
      <c r="J39" s="31"/>
      <c r="K39" s="30">
        <f t="shared" si="11"/>
        <v>0</v>
      </c>
      <c r="L39" s="31"/>
      <c r="M39" s="30">
        <f t="shared" si="14"/>
        <v>0</v>
      </c>
      <c r="N39" s="31"/>
      <c r="O39" s="30">
        <f t="shared" si="15"/>
        <v>0</v>
      </c>
      <c r="P39" s="31"/>
      <c r="Q39" s="30">
        <f t="shared" si="16"/>
        <v>0</v>
      </c>
      <c r="R39" s="31"/>
      <c r="S39" s="30">
        <f t="shared" si="17"/>
        <v>0</v>
      </c>
      <c r="T39" s="44"/>
      <c r="U39" s="30">
        <f t="shared" si="18"/>
        <v>0</v>
      </c>
      <c r="V39" s="31"/>
      <c r="W39" s="30">
        <f t="shared" si="19"/>
        <v>0</v>
      </c>
      <c r="X39" s="31"/>
      <c r="Y39" s="30">
        <f t="shared" si="20"/>
        <v>0</v>
      </c>
      <c r="Z39" s="31"/>
      <c r="AA39" s="46">
        <f t="shared" si="21"/>
        <v>0</v>
      </c>
    </row>
    <row r="40" s="15" customFormat="1" ht="18" customHeight="1" spans="1:27">
      <c r="A40" s="32" t="s">
        <v>247</v>
      </c>
      <c r="B40" s="33">
        <f>B39-D39-F39-H39-J39-L39-N39-P39-R39-T39-V39-X39-Z39</f>
        <v>0</v>
      </c>
      <c r="C40" s="34" t="s">
        <v>321</v>
      </c>
      <c r="D40" s="35"/>
      <c r="E40" s="36">
        <f t="shared" si="10"/>
        <v>0</v>
      </c>
      <c r="F40" s="37"/>
      <c r="G40" s="36">
        <f t="shared" si="12"/>
        <v>0</v>
      </c>
      <c r="H40" s="37"/>
      <c r="I40" s="36">
        <f t="shared" si="13"/>
        <v>0</v>
      </c>
      <c r="J40" s="37"/>
      <c r="K40" s="42">
        <f t="shared" si="11"/>
        <v>0</v>
      </c>
      <c r="L40" s="37"/>
      <c r="M40" s="36">
        <f t="shared" si="14"/>
        <v>0</v>
      </c>
      <c r="N40" s="37"/>
      <c r="O40" s="36">
        <f t="shared" si="15"/>
        <v>0</v>
      </c>
      <c r="P40" s="37"/>
      <c r="Q40" s="36">
        <f t="shared" si="16"/>
        <v>0</v>
      </c>
      <c r="R40" s="37"/>
      <c r="S40" s="36">
        <f t="shared" si="17"/>
        <v>0</v>
      </c>
      <c r="T40" s="37"/>
      <c r="U40" s="36">
        <f t="shared" si="18"/>
        <v>0</v>
      </c>
      <c r="V40" s="37"/>
      <c r="W40" s="36">
        <f t="shared" si="19"/>
        <v>0</v>
      </c>
      <c r="X40" s="37"/>
      <c r="Y40" s="36">
        <f t="shared" si="20"/>
        <v>0</v>
      </c>
      <c r="Z40" s="37"/>
      <c r="AA40" s="47">
        <f t="shared" si="21"/>
        <v>0</v>
      </c>
    </row>
    <row r="41" s="15" customFormat="1" ht="18" customHeight="1" spans="1:27">
      <c r="A41" s="26" t="str">
        <f>⑦原価詳細!A27</f>
        <v>○○</v>
      </c>
      <c r="B41" s="27">
        <f>⑦原価詳細!F27/1000000</f>
        <v>0</v>
      </c>
      <c r="C41" s="28" t="s">
        <v>347</v>
      </c>
      <c r="D41" s="29"/>
      <c r="E41" s="30">
        <f t="shared" si="10"/>
        <v>0</v>
      </c>
      <c r="F41" s="31"/>
      <c r="G41" s="30">
        <f t="shared" si="12"/>
        <v>0</v>
      </c>
      <c r="H41" s="31"/>
      <c r="I41" s="30">
        <f t="shared" si="13"/>
        <v>0</v>
      </c>
      <c r="J41" s="31"/>
      <c r="K41" s="30">
        <f t="shared" si="11"/>
        <v>0</v>
      </c>
      <c r="L41" s="31"/>
      <c r="M41" s="30">
        <f t="shared" si="14"/>
        <v>0</v>
      </c>
      <c r="N41" s="31"/>
      <c r="O41" s="30">
        <f t="shared" si="15"/>
        <v>0</v>
      </c>
      <c r="P41" s="31"/>
      <c r="Q41" s="30">
        <f t="shared" si="16"/>
        <v>0</v>
      </c>
      <c r="R41" s="31"/>
      <c r="S41" s="30">
        <f t="shared" si="17"/>
        <v>0</v>
      </c>
      <c r="T41" s="44"/>
      <c r="U41" s="30">
        <f t="shared" si="18"/>
        <v>0</v>
      </c>
      <c r="V41" s="31"/>
      <c r="W41" s="30">
        <f t="shared" si="19"/>
        <v>0</v>
      </c>
      <c r="X41" s="31"/>
      <c r="Y41" s="30">
        <f t="shared" si="20"/>
        <v>0</v>
      </c>
      <c r="Z41" s="31"/>
      <c r="AA41" s="46">
        <f t="shared" si="21"/>
        <v>0</v>
      </c>
    </row>
    <row r="42" s="15" customFormat="1" ht="18" customHeight="1" spans="1:27">
      <c r="A42" s="32" t="s">
        <v>247</v>
      </c>
      <c r="B42" s="33">
        <f>B41-D41-F41-H41-J41-L41-N41-P41-R41-T41-V41-X41-Z41</f>
        <v>0</v>
      </c>
      <c r="C42" s="34" t="s">
        <v>321</v>
      </c>
      <c r="D42" s="35"/>
      <c r="E42" s="36">
        <f t="shared" si="10"/>
        <v>0</v>
      </c>
      <c r="F42" s="37"/>
      <c r="G42" s="36">
        <f t="shared" si="12"/>
        <v>0</v>
      </c>
      <c r="H42" s="37"/>
      <c r="I42" s="36">
        <f t="shared" si="13"/>
        <v>0</v>
      </c>
      <c r="J42" s="37"/>
      <c r="K42" s="42">
        <f t="shared" si="11"/>
        <v>0</v>
      </c>
      <c r="L42" s="37"/>
      <c r="M42" s="36">
        <f t="shared" si="14"/>
        <v>0</v>
      </c>
      <c r="N42" s="37"/>
      <c r="O42" s="36">
        <f t="shared" si="15"/>
        <v>0</v>
      </c>
      <c r="P42" s="37"/>
      <c r="Q42" s="36">
        <f t="shared" si="16"/>
        <v>0</v>
      </c>
      <c r="R42" s="37"/>
      <c r="S42" s="36">
        <f t="shared" si="17"/>
        <v>0</v>
      </c>
      <c r="T42" s="37"/>
      <c r="U42" s="36">
        <f t="shared" si="18"/>
        <v>0</v>
      </c>
      <c r="V42" s="37"/>
      <c r="W42" s="36">
        <f t="shared" si="19"/>
        <v>0</v>
      </c>
      <c r="X42" s="37"/>
      <c r="Y42" s="36">
        <f t="shared" si="20"/>
        <v>0</v>
      </c>
      <c r="Z42" s="37"/>
      <c r="AA42" s="47">
        <f t="shared" si="21"/>
        <v>0</v>
      </c>
    </row>
    <row r="43" s="15" customFormat="1" ht="18" customHeight="1" spans="1:27">
      <c r="A43" s="26" t="str">
        <f>⑦原価詳細!A28</f>
        <v>○○</v>
      </c>
      <c r="B43" s="27">
        <f>⑦原価詳細!F28/1000000</f>
        <v>0</v>
      </c>
      <c r="C43" s="28" t="s">
        <v>347</v>
      </c>
      <c r="D43" s="29"/>
      <c r="E43" s="30">
        <f t="shared" si="10"/>
        <v>0</v>
      </c>
      <c r="F43" s="31"/>
      <c r="G43" s="30">
        <f t="shared" si="12"/>
        <v>0</v>
      </c>
      <c r="H43" s="31"/>
      <c r="I43" s="30">
        <f t="shared" si="13"/>
        <v>0</v>
      </c>
      <c r="J43" s="31"/>
      <c r="K43" s="30">
        <f t="shared" si="11"/>
        <v>0</v>
      </c>
      <c r="L43" s="31"/>
      <c r="M43" s="30">
        <f t="shared" si="14"/>
        <v>0</v>
      </c>
      <c r="N43" s="31"/>
      <c r="O43" s="30">
        <f t="shared" si="15"/>
        <v>0</v>
      </c>
      <c r="P43" s="31"/>
      <c r="Q43" s="30">
        <f t="shared" si="16"/>
        <v>0</v>
      </c>
      <c r="R43" s="31"/>
      <c r="S43" s="30">
        <f t="shared" si="17"/>
        <v>0</v>
      </c>
      <c r="T43" s="44"/>
      <c r="U43" s="30">
        <f t="shared" si="18"/>
        <v>0</v>
      </c>
      <c r="V43" s="31"/>
      <c r="W43" s="30">
        <f t="shared" si="19"/>
        <v>0</v>
      </c>
      <c r="X43" s="31"/>
      <c r="Y43" s="30">
        <f t="shared" si="20"/>
        <v>0</v>
      </c>
      <c r="Z43" s="31"/>
      <c r="AA43" s="46">
        <f t="shared" si="21"/>
        <v>0</v>
      </c>
    </row>
    <row r="44" s="15" customFormat="1" ht="18" customHeight="1" spans="1:27">
      <c r="A44" s="32" t="s">
        <v>247</v>
      </c>
      <c r="B44" s="33">
        <f>B43-D43-F43-H43-J43-L43-N43-P43-R43-T43-V43-X43-Z43</f>
        <v>0</v>
      </c>
      <c r="C44" s="34" t="s">
        <v>321</v>
      </c>
      <c r="D44" s="35"/>
      <c r="E44" s="36">
        <f t="shared" si="10"/>
        <v>0</v>
      </c>
      <c r="F44" s="37"/>
      <c r="G44" s="36">
        <f t="shared" si="12"/>
        <v>0</v>
      </c>
      <c r="H44" s="37"/>
      <c r="I44" s="36">
        <f t="shared" si="13"/>
        <v>0</v>
      </c>
      <c r="J44" s="37"/>
      <c r="K44" s="42">
        <f t="shared" si="11"/>
        <v>0</v>
      </c>
      <c r="L44" s="37"/>
      <c r="M44" s="36">
        <f t="shared" si="14"/>
        <v>0</v>
      </c>
      <c r="N44" s="37"/>
      <c r="O44" s="36">
        <f t="shared" si="15"/>
        <v>0</v>
      </c>
      <c r="P44" s="37"/>
      <c r="Q44" s="36">
        <f t="shared" si="16"/>
        <v>0</v>
      </c>
      <c r="R44" s="37"/>
      <c r="S44" s="36">
        <f t="shared" si="17"/>
        <v>0</v>
      </c>
      <c r="T44" s="37"/>
      <c r="U44" s="36">
        <f t="shared" si="18"/>
        <v>0</v>
      </c>
      <c r="V44" s="37"/>
      <c r="W44" s="36">
        <f t="shared" si="19"/>
        <v>0</v>
      </c>
      <c r="X44" s="37"/>
      <c r="Y44" s="36">
        <f t="shared" si="20"/>
        <v>0</v>
      </c>
      <c r="Z44" s="37"/>
      <c r="AA44" s="47">
        <f t="shared" si="21"/>
        <v>0</v>
      </c>
    </row>
    <row r="45" s="15" customFormat="1" ht="18" customHeight="1" spans="1:27">
      <c r="A45" s="26" t="str">
        <f>⑦原価詳細!A29</f>
        <v>○○</v>
      </c>
      <c r="B45" s="27">
        <f>⑦原価詳細!F29/1000000</f>
        <v>0</v>
      </c>
      <c r="C45" s="28" t="s">
        <v>347</v>
      </c>
      <c r="D45" s="29"/>
      <c r="E45" s="30">
        <f t="shared" si="10"/>
        <v>0</v>
      </c>
      <c r="F45" s="31"/>
      <c r="G45" s="30">
        <f t="shared" si="12"/>
        <v>0</v>
      </c>
      <c r="H45" s="31"/>
      <c r="I45" s="30">
        <f t="shared" si="13"/>
        <v>0</v>
      </c>
      <c r="J45" s="31"/>
      <c r="K45" s="30">
        <f t="shared" si="11"/>
        <v>0</v>
      </c>
      <c r="L45" s="31"/>
      <c r="M45" s="30">
        <f t="shared" si="14"/>
        <v>0</v>
      </c>
      <c r="N45" s="31"/>
      <c r="O45" s="30">
        <f t="shared" si="15"/>
        <v>0</v>
      </c>
      <c r="P45" s="31"/>
      <c r="Q45" s="30">
        <f t="shared" si="16"/>
        <v>0</v>
      </c>
      <c r="R45" s="31"/>
      <c r="S45" s="30">
        <f t="shared" si="17"/>
        <v>0</v>
      </c>
      <c r="T45" s="44"/>
      <c r="U45" s="30">
        <f t="shared" si="18"/>
        <v>0</v>
      </c>
      <c r="V45" s="31"/>
      <c r="W45" s="30">
        <f t="shared" si="19"/>
        <v>0</v>
      </c>
      <c r="X45" s="31"/>
      <c r="Y45" s="30">
        <f t="shared" si="20"/>
        <v>0</v>
      </c>
      <c r="Z45" s="31"/>
      <c r="AA45" s="46">
        <f t="shared" si="21"/>
        <v>0</v>
      </c>
    </row>
    <row r="46" s="15" customFormat="1" ht="18" customHeight="1" spans="1:27">
      <c r="A46" s="32" t="s">
        <v>247</v>
      </c>
      <c r="B46" s="38">
        <f>B45-D45-F45-H45-J45-L45-N45-P45-R45-T45-V45-X45-Z45</f>
        <v>0</v>
      </c>
      <c r="C46" s="39" t="s">
        <v>321</v>
      </c>
      <c r="D46" s="35"/>
      <c r="E46" s="36">
        <f t="shared" si="10"/>
        <v>0</v>
      </c>
      <c r="F46" s="37"/>
      <c r="G46" s="36">
        <f t="shared" si="12"/>
        <v>0</v>
      </c>
      <c r="H46" s="37"/>
      <c r="I46" s="36">
        <f t="shared" si="13"/>
        <v>0</v>
      </c>
      <c r="J46" s="37"/>
      <c r="K46" s="42">
        <f t="shared" si="11"/>
        <v>0</v>
      </c>
      <c r="L46" s="37"/>
      <c r="M46" s="36">
        <f t="shared" si="14"/>
        <v>0</v>
      </c>
      <c r="N46" s="37"/>
      <c r="O46" s="36">
        <f t="shared" si="15"/>
        <v>0</v>
      </c>
      <c r="P46" s="37"/>
      <c r="Q46" s="36">
        <f t="shared" si="16"/>
        <v>0</v>
      </c>
      <c r="R46" s="37"/>
      <c r="S46" s="36">
        <f t="shared" si="17"/>
        <v>0</v>
      </c>
      <c r="T46" s="37"/>
      <c r="U46" s="36">
        <f t="shared" si="18"/>
        <v>0</v>
      </c>
      <c r="V46" s="37"/>
      <c r="W46" s="36">
        <f t="shared" si="19"/>
        <v>0</v>
      </c>
      <c r="X46" s="37"/>
      <c r="Y46" s="36">
        <f t="shared" si="20"/>
        <v>0</v>
      </c>
      <c r="Z46" s="37"/>
      <c r="AA46" s="47">
        <f t="shared" si="21"/>
        <v>0</v>
      </c>
    </row>
    <row r="47" spans="2:27">
      <c r="B47" s="40"/>
      <c r="C47" s="40"/>
      <c r="E47" s="40"/>
      <c r="F47" s="40"/>
      <c r="G47" s="40"/>
      <c r="H47" s="40"/>
      <c r="I47" s="40"/>
      <c r="J47" s="40"/>
      <c r="K47" s="40"/>
      <c r="L47" s="40"/>
      <c r="M47" s="40"/>
      <c r="N47" s="40"/>
      <c r="O47" s="40"/>
      <c r="P47" s="40"/>
      <c r="Q47" s="40"/>
      <c r="R47" s="40"/>
      <c r="S47" s="40"/>
      <c r="T47" s="40"/>
      <c r="U47" s="40"/>
      <c r="V47" s="40"/>
      <c r="W47" s="40"/>
      <c r="X47" s="40"/>
      <c r="Y47" s="40"/>
      <c r="Z47" s="40"/>
      <c r="AA47" s="40"/>
    </row>
    <row r="48" spans="2:27">
      <c r="B48" s="41"/>
      <c r="D48" s="41"/>
      <c r="E48" s="41"/>
      <c r="F48" s="41"/>
      <c r="G48" s="41"/>
      <c r="H48" s="41"/>
      <c r="I48" s="41"/>
      <c r="J48" s="41"/>
      <c r="K48" s="41"/>
      <c r="L48" s="41"/>
      <c r="M48" s="41"/>
      <c r="N48" s="41"/>
      <c r="O48" s="41"/>
      <c r="P48" s="41"/>
      <c r="Q48" s="41"/>
      <c r="R48" s="41"/>
      <c r="S48" s="41"/>
      <c r="T48" s="41"/>
      <c r="U48" s="41"/>
      <c r="V48" s="41"/>
      <c r="W48" s="41"/>
      <c r="X48" s="41"/>
      <c r="Y48" s="41"/>
      <c r="Z48" s="41"/>
      <c r="AA48" s="41"/>
    </row>
    <row r="49" spans="2:27">
      <c r="B49" s="41"/>
      <c r="D49" s="41"/>
      <c r="E49" s="41"/>
      <c r="F49" s="41"/>
      <c r="G49" s="41"/>
      <c r="H49" s="41"/>
      <c r="I49" s="41"/>
      <c r="J49" s="41"/>
      <c r="K49" s="41"/>
      <c r="L49" s="41"/>
      <c r="M49" s="41"/>
      <c r="N49" s="41"/>
      <c r="O49" s="41"/>
      <c r="P49" s="41"/>
      <c r="Q49" s="41"/>
      <c r="R49" s="41"/>
      <c r="S49" s="41"/>
      <c r="T49" s="41"/>
      <c r="U49" s="41"/>
      <c r="V49" s="41"/>
      <c r="W49" s="41"/>
      <c r="X49" s="41"/>
      <c r="Y49" s="41"/>
      <c r="Z49" s="41"/>
      <c r="AA49" s="41"/>
    </row>
    <row r="50" spans="2:27">
      <c r="B50" s="41"/>
      <c r="D50" s="41"/>
      <c r="E50" s="41"/>
      <c r="F50" s="41"/>
      <c r="G50" s="41"/>
      <c r="H50" s="41"/>
      <c r="I50" s="41"/>
      <c r="J50" s="41"/>
      <c r="K50" s="41"/>
      <c r="L50" s="41"/>
      <c r="M50" s="41"/>
      <c r="N50" s="41"/>
      <c r="O50" s="41"/>
      <c r="P50" s="41"/>
      <c r="Q50" s="41"/>
      <c r="R50" s="41"/>
      <c r="S50" s="41"/>
      <c r="T50" s="41"/>
      <c r="U50" s="41"/>
      <c r="V50" s="41"/>
      <c r="W50" s="41"/>
      <c r="X50" s="41"/>
      <c r="Y50" s="41"/>
      <c r="Z50" s="41"/>
      <c r="AA50" s="41"/>
    </row>
    <row r="51" spans="2:27">
      <c r="B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spans="2:27">
      <c r="B52" s="41"/>
      <c r="D52" s="41"/>
      <c r="E52" s="41"/>
      <c r="F52" s="41"/>
      <c r="G52" s="41"/>
      <c r="H52" s="41"/>
      <c r="I52" s="41"/>
      <c r="J52" s="41"/>
      <c r="K52" s="41"/>
      <c r="L52" s="41"/>
      <c r="M52" s="41"/>
      <c r="N52" s="41"/>
      <c r="O52" s="41"/>
      <c r="P52" s="41"/>
      <c r="Q52" s="41"/>
      <c r="R52" s="41"/>
      <c r="S52" s="41"/>
      <c r="T52" s="41"/>
      <c r="U52" s="41"/>
      <c r="V52" s="41"/>
      <c r="W52" s="41"/>
      <c r="X52" s="41"/>
      <c r="Y52" s="41"/>
      <c r="Z52" s="41"/>
      <c r="AA52" s="41"/>
    </row>
    <row r="53" spans="2:27">
      <c r="B53" s="41"/>
      <c r="D53" s="41"/>
      <c r="E53" s="41"/>
      <c r="F53" s="41"/>
      <c r="G53" s="41"/>
      <c r="H53" s="41"/>
      <c r="I53" s="41"/>
      <c r="J53" s="41"/>
      <c r="K53" s="41"/>
      <c r="L53" s="41"/>
      <c r="M53" s="41"/>
      <c r="N53" s="41"/>
      <c r="O53" s="41"/>
      <c r="P53" s="41"/>
      <c r="Q53" s="41"/>
      <c r="R53" s="41"/>
      <c r="S53" s="41"/>
      <c r="T53" s="41"/>
      <c r="U53" s="41"/>
      <c r="V53" s="41"/>
      <c r="W53" s="41"/>
      <c r="X53" s="41"/>
      <c r="Y53" s="41"/>
      <c r="Z53" s="41"/>
      <c r="AA53" s="41"/>
    </row>
    <row r="54" spans="2:27">
      <c r="B54" s="41"/>
      <c r="D54" s="41"/>
      <c r="E54" s="41"/>
      <c r="F54" s="41"/>
      <c r="G54" s="41"/>
      <c r="H54" s="41"/>
      <c r="I54" s="41"/>
      <c r="J54" s="41"/>
      <c r="K54" s="41"/>
      <c r="L54" s="41"/>
      <c r="M54" s="41"/>
      <c r="N54" s="41"/>
      <c r="O54" s="41"/>
      <c r="P54" s="41"/>
      <c r="Q54" s="41"/>
      <c r="R54" s="41"/>
      <c r="S54" s="41"/>
      <c r="T54" s="41"/>
      <c r="U54" s="41"/>
      <c r="V54" s="41"/>
      <c r="W54" s="41"/>
      <c r="X54" s="41"/>
      <c r="Y54" s="41"/>
      <c r="Z54" s="41"/>
      <c r="AA54" s="41"/>
    </row>
    <row r="55" spans="2:27">
      <c r="B55" s="41"/>
      <c r="D55" s="41"/>
      <c r="E55" s="41"/>
      <c r="F55" s="41"/>
      <c r="G55" s="41"/>
      <c r="H55" s="41"/>
      <c r="I55" s="41"/>
      <c r="J55" s="41"/>
      <c r="K55" s="41"/>
      <c r="L55" s="41"/>
      <c r="M55" s="41"/>
      <c r="N55" s="41"/>
      <c r="O55" s="41"/>
      <c r="P55" s="41"/>
      <c r="Q55" s="41"/>
      <c r="R55" s="41"/>
      <c r="S55" s="41"/>
      <c r="T55" s="41"/>
      <c r="U55" s="41"/>
      <c r="V55" s="41"/>
      <c r="W55" s="41"/>
      <c r="X55" s="41"/>
      <c r="Y55" s="41"/>
      <c r="Z55" s="41"/>
      <c r="AA55" s="41"/>
    </row>
    <row r="56" spans="2:27">
      <c r="B56" s="41"/>
      <c r="D56" s="41"/>
      <c r="E56" s="41"/>
      <c r="F56" s="41"/>
      <c r="G56" s="41"/>
      <c r="H56" s="41"/>
      <c r="I56" s="41"/>
      <c r="J56" s="41"/>
      <c r="K56" s="41"/>
      <c r="L56" s="41"/>
      <c r="M56" s="41"/>
      <c r="N56" s="41"/>
      <c r="O56" s="41"/>
      <c r="P56" s="41"/>
      <c r="Q56" s="41"/>
      <c r="R56" s="41"/>
      <c r="S56" s="41"/>
      <c r="T56" s="41"/>
      <c r="U56" s="41"/>
      <c r="V56" s="41"/>
      <c r="W56" s="41"/>
      <c r="X56" s="41"/>
      <c r="Y56" s="41"/>
      <c r="Z56" s="41"/>
      <c r="AA56" s="41"/>
    </row>
    <row r="57" spans="2:27">
      <c r="B57" s="41"/>
      <c r="D57" s="41"/>
      <c r="E57" s="41"/>
      <c r="F57" s="41"/>
      <c r="G57" s="41"/>
      <c r="H57" s="41"/>
      <c r="I57" s="41"/>
      <c r="J57" s="41"/>
      <c r="K57" s="41"/>
      <c r="L57" s="41"/>
      <c r="M57" s="41"/>
      <c r="N57" s="41"/>
      <c r="O57" s="41"/>
      <c r="P57" s="41"/>
      <c r="Q57" s="41"/>
      <c r="R57" s="41"/>
      <c r="S57" s="41"/>
      <c r="T57" s="41"/>
      <c r="U57" s="41"/>
      <c r="V57" s="41"/>
      <c r="W57" s="41"/>
      <c r="X57" s="41"/>
      <c r="Y57" s="41"/>
      <c r="Z57" s="41"/>
      <c r="AA57" s="41"/>
    </row>
    <row r="58" spans="2:27">
      <c r="B58" s="41"/>
      <c r="D58" s="41"/>
      <c r="E58" s="41"/>
      <c r="F58" s="41"/>
      <c r="G58" s="41"/>
      <c r="H58" s="41"/>
      <c r="I58" s="41"/>
      <c r="J58" s="41"/>
      <c r="K58" s="41"/>
      <c r="L58" s="41"/>
      <c r="M58" s="41"/>
      <c r="N58" s="41"/>
      <c r="O58" s="41"/>
      <c r="P58" s="41"/>
      <c r="Q58" s="41"/>
      <c r="R58" s="41"/>
      <c r="S58" s="41"/>
      <c r="T58" s="41"/>
      <c r="U58" s="41"/>
      <c r="V58" s="41"/>
      <c r="W58" s="41"/>
      <c r="X58" s="41"/>
      <c r="Y58" s="41"/>
      <c r="Z58" s="41"/>
      <c r="AA58" s="41"/>
    </row>
    <row r="59" spans="2:27">
      <c r="B59" s="41"/>
      <c r="D59" s="41"/>
      <c r="E59" s="41"/>
      <c r="F59" s="41"/>
      <c r="G59" s="41"/>
      <c r="H59" s="41"/>
      <c r="I59" s="41"/>
      <c r="J59" s="41"/>
      <c r="K59" s="41"/>
      <c r="L59" s="41"/>
      <c r="M59" s="41"/>
      <c r="N59" s="41"/>
      <c r="O59" s="41"/>
      <c r="P59" s="41"/>
      <c r="Q59" s="41"/>
      <c r="R59" s="41"/>
      <c r="S59" s="41"/>
      <c r="T59" s="41"/>
      <c r="U59" s="41"/>
      <c r="V59" s="41"/>
      <c r="W59" s="41"/>
      <c r="X59" s="41"/>
      <c r="Y59" s="41"/>
      <c r="Z59" s="41"/>
      <c r="AA59" s="41"/>
    </row>
    <row r="60" spans="2:27">
      <c r="B60" s="41"/>
      <c r="D60" s="41"/>
      <c r="E60" s="41"/>
      <c r="F60" s="41"/>
      <c r="G60" s="41"/>
      <c r="H60" s="41"/>
      <c r="I60" s="41"/>
      <c r="J60" s="41"/>
      <c r="K60" s="41"/>
      <c r="L60" s="41"/>
      <c r="M60" s="41"/>
      <c r="N60" s="41"/>
      <c r="O60" s="41"/>
      <c r="P60" s="41"/>
      <c r="Q60" s="41"/>
      <c r="R60" s="41"/>
      <c r="S60" s="41"/>
      <c r="T60" s="41"/>
      <c r="U60" s="41"/>
      <c r="V60" s="41"/>
      <c r="W60" s="41"/>
      <c r="X60" s="41"/>
      <c r="Y60" s="41"/>
      <c r="Z60" s="41"/>
      <c r="AA60" s="41"/>
    </row>
    <row r="61" spans="2:27">
      <c r="B61" s="41"/>
      <c r="D61" s="41"/>
      <c r="E61" s="41"/>
      <c r="F61" s="41"/>
      <c r="G61" s="41"/>
      <c r="H61" s="41"/>
      <c r="I61" s="41"/>
      <c r="J61" s="41"/>
      <c r="K61" s="41"/>
      <c r="L61" s="41"/>
      <c r="M61" s="41"/>
      <c r="N61" s="41"/>
      <c r="O61" s="41"/>
      <c r="P61" s="41"/>
      <c r="Q61" s="41"/>
      <c r="R61" s="41"/>
      <c r="S61" s="41"/>
      <c r="T61" s="41"/>
      <c r="U61" s="41"/>
      <c r="V61" s="41"/>
      <c r="W61" s="41"/>
      <c r="X61" s="41"/>
      <c r="Y61" s="41"/>
      <c r="Z61" s="41"/>
      <c r="AA61" s="41"/>
    </row>
    <row r="62" spans="2:27">
      <c r="B62" s="41"/>
      <c r="D62" s="41"/>
      <c r="E62" s="41"/>
      <c r="F62" s="41"/>
      <c r="G62" s="41"/>
      <c r="H62" s="41"/>
      <c r="I62" s="41"/>
      <c r="J62" s="41"/>
      <c r="K62" s="41"/>
      <c r="L62" s="41"/>
      <c r="M62" s="41"/>
      <c r="N62" s="41"/>
      <c r="O62" s="41"/>
      <c r="P62" s="41"/>
      <c r="Q62" s="41"/>
      <c r="R62" s="41"/>
      <c r="S62" s="41"/>
      <c r="T62" s="41"/>
      <c r="U62" s="41"/>
      <c r="V62" s="41"/>
      <c r="W62" s="41"/>
      <c r="X62" s="41"/>
      <c r="Y62" s="41"/>
      <c r="Z62" s="41"/>
      <c r="AA62" s="41"/>
    </row>
    <row r="63" spans="2:27">
      <c r="B63" s="41"/>
      <c r="D63" s="41"/>
      <c r="E63" s="41"/>
      <c r="F63" s="41"/>
      <c r="G63" s="41"/>
      <c r="H63" s="41"/>
      <c r="I63" s="41"/>
      <c r="J63" s="41"/>
      <c r="K63" s="41"/>
      <c r="L63" s="41"/>
      <c r="M63" s="41"/>
      <c r="N63" s="41"/>
      <c r="O63" s="41"/>
      <c r="P63" s="41"/>
      <c r="Q63" s="41"/>
      <c r="R63" s="41"/>
      <c r="S63" s="41"/>
      <c r="T63" s="41"/>
      <c r="U63" s="41"/>
      <c r="V63" s="41"/>
      <c r="W63" s="41"/>
      <c r="X63" s="41"/>
      <c r="Y63" s="41"/>
      <c r="Z63" s="41"/>
      <c r="AA63" s="41"/>
    </row>
    <row r="64" spans="2:27">
      <c r="B64" s="41"/>
      <c r="D64" s="41"/>
      <c r="E64" s="41"/>
      <c r="F64" s="41"/>
      <c r="G64" s="41"/>
      <c r="H64" s="41"/>
      <c r="I64" s="41"/>
      <c r="J64" s="41"/>
      <c r="K64" s="41"/>
      <c r="L64" s="41"/>
      <c r="M64" s="41"/>
      <c r="N64" s="41"/>
      <c r="O64" s="41"/>
      <c r="P64" s="41"/>
      <c r="Q64" s="41"/>
      <c r="R64" s="41"/>
      <c r="S64" s="41"/>
      <c r="T64" s="41"/>
      <c r="U64" s="41"/>
      <c r="V64" s="41"/>
      <c r="W64" s="41"/>
      <c r="X64" s="41"/>
      <c r="Y64" s="41"/>
      <c r="Z64" s="41"/>
      <c r="AA64" s="41"/>
    </row>
    <row r="65" spans="2:27">
      <c r="B65" s="41"/>
      <c r="D65" s="41"/>
      <c r="E65" s="41"/>
      <c r="F65" s="41"/>
      <c r="G65" s="41"/>
      <c r="H65" s="41"/>
      <c r="I65" s="41"/>
      <c r="J65" s="41"/>
      <c r="K65" s="41"/>
      <c r="L65" s="41"/>
      <c r="M65" s="41"/>
      <c r="N65" s="41"/>
      <c r="O65" s="41"/>
      <c r="P65" s="41"/>
      <c r="Q65" s="41"/>
      <c r="R65" s="41"/>
      <c r="S65" s="41"/>
      <c r="T65" s="41"/>
      <c r="U65" s="41"/>
      <c r="V65" s="41"/>
      <c r="W65" s="41"/>
      <c r="X65" s="41"/>
      <c r="Y65" s="41"/>
      <c r="Z65" s="41"/>
      <c r="AA65" s="41"/>
    </row>
    <row r="66" spans="2:27">
      <c r="B66" s="41"/>
      <c r="D66" s="41"/>
      <c r="E66" s="41"/>
      <c r="F66" s="41"/>
      <c r="G66" s="41"/>
      <c r="H66" s="41"/>
      <c r="I66" s="41"/>
      <c r="J66" s="41"/>
      <c r="K66" s="41"/>
      <c r="L66" s="41"/>
      <c r="M66" s="41"/>
      <c r="N66" s="41"/>
      <c r="O66" s="41"/>
      <c r="P66" s="41"/>
      <c r="Q66" s="41"/>
      <c r="R66" s="41"/>
      <c r="S66" s="41"/>
      <c r="T66" s="41"/>
      <c r="U66" s="41"/>
      <c r="V66" s="41"/>
      <c r="W66" s="41"/>
      <c r="X66" s="41"/>
      <c r="Y66" s="41"/>
      <c r="Z66" s="41"/>
      <c r="AA66" s="41"/>
    </row>
    <row r="67" spans="2:27">
      <c r="B67" s="41"/>
      <c r="D67" s="41"/>
      <c r="E67" s="41"/>
      <c r="F67" s="41"/>
      <c r="G67" s="41"/>
      <c r="H67" s="41"/>
      <c r="I67" s="41"/>
      <c r="J67" s="41"/>
      <c r="K67" s="41"/>
      <c r="L67" s="41"/>
      <c r="M67" s="41"/>
      <c r="N67" s="41"/>
      <c r="O67" s="41"/>
      <c r="P67" s="41"/>
      <c r="Q67" s="41"/>
      <c r="R67" s="41"/>
      <c r="S67" s="41"/>
      <c r="T67" s="41"/>
      <c r="U67" s="41"/>
      <c r="V67" s="41"/>
      <c r="W67" s="41"/>
      <c r="X67" s="41"/>
      <c r="Y67" s="41"/>
      <c r="Z67" s="41"/>
      <c r="AA67" s="41"/>
    </row>
    <row r="68" spans="2:27">
      <c r="B68" s="41"/>
      <c r="D68" s="41"/>
      <c r="E68" s="41"/>
      <c r="F68" s="41"/>
      <c r="G68" s="41"/>
      <c r="H68" s="41"/>
      <c r="I68" s="41"/>
      <c r="J68" s="41"/>
      <c r="K68" s="41"/>
      <c r="L68" s="41"/>
      <c r="M68" s="41"/>
      <c r="N68" s="41"/>
      <c r="O68" s="41"/>
      <c r="P68" s="41"/>
      <c r="Q68" s="41"/>
      <c r="R68" s="41"/>
      <c r="S68" s="41"/>
      <c r="T68" s="41"/>
      <c r="U68" s="41"/>
      <c r="V68" s="41"/>
      <c r="W68" s="41"/>
      <c r="X68" s="41"/>
      <c r="Y68" s="41"/>
      <c r="Z68" s="41"/>
      <c r="AA68" s="41"/>
    </row>
    <row r="69" spans="2:27">
      <c r="B69" s="41"/>
      <c r="D69" s="41"/>
      <c r="E69" s="41"/>
      <c r="F69" s="41"/>
      <c r="G69" s="41"/>
      <c r="H69" s="41"/>
      <c r="I69" s="41"/>
      <c r="J69" s="41"/>
      <c r="K69" s="41"/>
      <c r="L69" s="41"/>
      <c r="M69" s="41"/>
      <c r="N69" s="41"/>
      <c r="O69" s="41"/>
      <c r="P69" s="41"/>
      <c r="Q69" s="41"/>
      <c r="R69" s="41"/>
      <c r="S69" s="41"/>
      <c r="T69" s="41"/>
      <c r="U69" s="41"/>
      <c r="V69" s="41"/>
      <c r="W69" s="41"/>
      <c r="X69" s="41"/>
      <c r="Y69" s="41"/>
      <c r="Z69" s="41"/>
      <c r="AA69" s="41"/>
    </row>
    <row r="70" spans="2:27">
      <c r="B70" s="41"/>
      <c r="D70" s="41"/>
      <c r="E70" s="41"/>
      <c r="F70" s="41"/>
      <c r="G70" s="41"/>
      <c r="H70" s="41"/>
      <c r="I70" s="41"/>
      <c r="J70" s="41"/>
      <c r="K70" s="41"/>
      <c r="L70" s="41"/>
      <c r="M70" s="41"/>
      <c r="N70" s="41"/>
      <c r="O70" s="41"/>
      <c r="P70" s="41"/>
      <c r="Q70" s="41"/>
      <c r="R70" s="41"/>
      <c r="S70" s="41"/>
      <c r="T70" s="41"/>
      <c r="U70" s="41"/>
      <c r="V70" s="41"/>
      <c r="W70" s="41"/>
      <c r="X70" s="41"/>
      <c r="Y70" s="41"/>
      <c r="Z70" s="41"/>
      <c r="AA70" s="41"/>
    </row>
    <row r="71" spans="2:27">
      <c r="B71" s="41"/>
      <c r="D71" s="41"/>
      <c r="E71" s="41"/>
      <c r="F71" s="41"/>
      <c r="G71" s="41"/>
      <c r="H71" s="41"/>
      <c r="I71" s="41"/>
      <c r="J71" s="41"/>
      <c r="K71" s="41"/>
      <c r="L71" s="41"/>
      <c r="M71" s="41"/>
      <c r="N71" s="41"/>
      <c r="O71" s="41"/>
      <c r="P71" s="41"/>
      <c r="Q71" s="41"/>
      <c r="R71" s="41"/>
      <c r="S71" s="41"/>
      <c r="T71" s="41"/>
      <c r="U71" s="41"/>
      <c r="V71" s="41"/>
      <c r="W71" s="41"/>
      <c r="X71" s="41"/>
      <c r="Y71" s="41"/>
      <c r="Z71" s="41"/>
      <c r="AA71" s="41"/>
    </row>
    <row r="72" spans="2:27">
      <c r="B72" s="41"/>
      <c r="D72" s="41"/>
      <c r="E72" s="41"/>
      <c r="F72" s="41"/>
      <c r="G72" s="41"/>
      <c r="H72" s="41"/>
      <c r="I72" s="41"/>
      <c r="J72" s="41"/>
      <c r="K72" s="41"/>
      <c r="L72" s="41"/>
      <c r="M72" s="41"/>
      <c r="N72" s="41"/>
      <c r="O72" s="41"/>
      <c r="P72" s="41"/>
      <c r="Q72" s="41"/>
      <c r="R72" s="41"/>
      <c r="S72" s="41"/>
      <c r="T72" s="41"/>
      <c r="U72" s="41"/>
      <c r="V72" s="41"/>
      <c r="W72" s="41"/>
      <c r="X72" s="41"/>
      <c r="Y72" s="41"/>
      <c r="Z72" s="41"/>
      <c r="AA72" s="41"/>
    </row>
    <row r="73" spans="2:27">
      <c r="B73" s="41"/>
      <c r="D73" s="41"/>
      <c r="E73" s="41"/>
      <c r="F73" s="41"/>
      <c r="G73" s="41"/>
      <c r="H73" s="41"/>
      <c r="I73" s="41"/>
      <c r="J73" s="41"/>
      <c r="K73" s="41"/>
      <c r="L73" s="41"/>
      <c r="M73" s="41"/>
      <c r="N73" s="41"/>
      <c r="O73" s="41"/>
      <c r="P73" s="41"/>
      <c r="Q73" s="41"/>
      <c r="R73" s="41"/>
      <c r="S73" s="41"/>
      <c r="T73" s="41"/>
      <c r="U73" s="41"/>
      <c r="V73" s="41"/>
      <c r="W73" s="41"/>
      <c r="X73" s="41"/>
      <c r="Y73" s="41"/>
      <c r="Z73" s="41"/>
      <c r="AA73" s="41"/>
    </row>
    <row r="74" spans="2:27">
      <c r="B74" s="41"/>
      <c r="D74" s="41"/>
      <c r="E74" s="41"/>
      <c r="F74" s="41"/>
      <c r="G74" s="41"/>
      <c r="H74" s="41"/>
      <c r="I74" s="41"/>
      <c r="J74" s="41"/>
      <c r="K74" s="41"/>
      <c r="L74" s="41"/>
      <c r="M74" s="41"/>
      <c r="N74" s="41"/>
      <c r="O74" s="41"/>
      <c r="P74" s="41"/>
      <c r="Q74" s="41"/>
      <c r="R74" s="41"/>
      <c r="S74" s="41"/>
      <c r="T74" s="41"/>
      <c r="U74" s="41"/>
      <c r="V74" s="41"/>
      <c r="W74" s="41"/>
      <c r="X74" s="41"/>
      <c r="Y74" s="41"/>
      <c r="Z74" s="41"/>
      <c r="AA74" s="41"/>
    </row>
    <row r="75" spans="2:27">
      <c r="B75" s="41"/>
      <c r="D75" s="41"/>
      <c r="E75" s="41"/>
      <c r="F75" s="41"/>
      <c r="G75" s="41"/>
      <c r="H75" s="41"/>
      <c r="I75" s="41"/>
      <c r="J75" s="41"/>
      <c r="K75" s="41"/>
      <c r="L75" s="41"/>
      <c r="M75" s="41"/>
      <c r="N75" s="41"/>
      <c r="O75" s="41"/>
      <c r="P75" s="41"/>
      <c r="Q75" s="41"/>
      <c r="R75" s="41"/>
      <c r="S75" s="41"/>
      <c r="T75" s="41"/>
      <c r="U75" s="41"/>
      <c r="V75" s="41"/>
      <c r="W75" s="41"/>
      <c r="X75" s="41"/>
      <c r="Y75" s="41"/>
      <c r="Z75" s="41"/>
      <c r="AA75" s="41"/>
    </row>
    <row r="76" spans="2:27">
      <c r="B76" s="41"/>
      <c r="D76" s="41"/>
      <c r="E76" s="41"/>
      <c r="F76" s="41"/>
      <c r="G76" s="41"/>
      <c r="H76" s="41"/>
      <c r="I76" s="41"/>
      <c r="J76" s="41"/>
      <c r="K76" s="41"/>
      <c r="L76" s="41"/>
      <c r="M76" s="41"/>
      <c r="N76" s="41"/>
      <c r="O76" s="41"/>
      <c r="P76" s="41"/>
      <c r="Q76" s="41"/>
      <c r="R76" s="41"/>
      <c r="S76" s="41"/>
      <c r="T76" s="41"/>
      <c r="U76" s="41"/>
      <c r="V76" s="41"/>
      <c r="W76" s="41"/>
      <c r="X76" s="41"/>
      <c r="Y76" s="41"/>
      <c r="Z76" s="41"/>
      <c r="AA76" s="41"/>
    </row>
    <row r="77" spans="2:27">
      <c r="B77" s="41"/>
      <c r="D77" s="41"/>
      <c r="E77" s="41"/>
      <c r="F77" s="41"/>
      <c r="G77" s="41"/>
      <c r="H77" s="41"/>
      <c r="I77" s="41"/>
      <c r="J77" s="41"/>
      <c r="K77" s="41"/>
      <c r="L77" s="41"/>
      <c r="M77" s="41"/>
      <c r="N77" s="41"/>
      <c r="O77" s="41"/>
      <c r="P77" s="41"/>
      <c r="Q77" s="41"/>
      <c r="R77" s="41"/>
      <c r="S77" s="41"/>
      <c r="T77" s="41"/>
      <c r="U77" s="41"/>
      <c r="V77" s="41"/>
      <c r="W77" s="41"/>
      <c r="X77" s="41"/>
      <c r="Y77" s="41"/>
      <c r="Z77" s="41"/>
      <c r="AA77" s="41"/>
    </row>
    <row r="78" spans="2:27">
      <c r="B78" s="41"/>
      <c r="D78" s="41"/>
      <c r="E78" s="41"/>
      <c r="F78" s="41"/>
      <c r="G78" s="41"/>
      <c r="H78" s="41"/>
      <c r="I78" s="41"/>
      <c r="J78" s="41"/>
      <c r="K78" s="41"/>
      <c r="L78" s="41"/>
      <c r="M78" s="41"/>
      <c r="N78" s="41"/>
      <c r="O78" s="41"/>
      <c r="P78" s="41"/>
      <c r="Q78" s="41"/>
      <c r="R78" s="41"/>
      <c r="S78" s="41"/>
      <c r="T78" s="41"/>
      <c r="U78" s="41"/>
      <c r="V78" s="41"/>
      <c r="W78" s="41"/>
      <c r="X78" s="41"/>
      <c r="Y78" s="41"/>
      <c r="Z78" s="41"/>
      <c r="AA78" s="41"/>
    </row>
    <row r="79" spans="2:27">
      <c r="B79" s="41"/>
      <c r="D79" s="41"/>
      <c r="E79" s="41"/>
      <c r="F79" s="41"/>
      <c r="G79" s="41"/>
      <c r="H79" s="41"/>
      <c r="I79" s="41"/>
      <c r="J79" s="41"/>
      <c r="K79" s="41"/>
      <c r="L79" s="41"/>
      <c r="M79" s="41"/>
      <c r="N79" s="41"/>
      <c r="O79" s="41"/>
      <c r="P79" s="41"/>
      <c r="Q79" s="41"/>
      <c r="R79" s="41"/>
      <c r="S79" s="41"/>
      <c r="T79" s="41"/>
      <c r="U79" s="41"/>
      <c r="V79" s="41"/>
      <c r="W79" s="41"/>
      <c r="X79" s="41"/>
      <c r="Y79" s="41"/>
      <c r="Z79" s="41"/>
      <c r="AA79" s="41"/>
    </row>
    <row r="80" spans="2:27">
      <c r="B80" s="41"/>
      <c r="D80" s="41"/>
      <c r="E80" s="41"/>
      <c r="F80" s="41"/>
      <c r="G80" s="41"/>
      <c r="H80" s="41"/>
      <c r="I80" s="41"/>
      <c r="J80" s="41"/>
      <c r="K80" s="41"/>
      <c r="L80" s="41"/>
      <c r="M80" s="41"/>
      <c r="N80" s="41"/>
      <c r="O80" s="41"/>
      <c r="P80" s="41"/>
      <c r="Q80" s="41"/>
      <c r="R80" s="41"/>
      <c r="S80" s="41"/>
      <c r="T80" s="41"/>
      <c r="U80" s="41"/>
      <c r="V80" s="41"/>
      <c r="W80" s="41"/>
      <c r="X80" s="41"/>
      <c r="Y80" s="41"/>
      <c r="Z80" s="41"/>
      <c r="AA80" s="41"/>
    </row>
    <row r="81" spans="2:27">
      <c r="B81" s="41"/>
      <c r="D81" s="41"/>
      <c r="E81" s="41"/>
      <c r="F81" s="41"/>
      <c r="G81" s="41"/>
      <c r="H81" s="41"/>
      <c r="I81" s="41"/>
      <c r="J81" s="41"/>
      <c r="K81" s="41"/>
      <c r="L81" s="41"/>
      <c r="M81" s="41"/>
      <c r="N81" s="41"/>
      <c r="O81" s="41"/>
      <c r="P81" s="41"/>
      <c r="Q81" s="41"/>
      <c r="R81" s="41"/>
      <c r="S81" s="41"/>
      <c r="T81" s="41"/>
      <c r="U81" s="41"/>
      <c r="V81" s="41"/>
      <c r="W81" s="41"/>
      <c r="X81" s="41"/>
      <c r="Y81" s="41"/>
      <c r="Z81" s="41"/>
      <c r="AA81" s="41"/>
    </row>
    <row r="82" spans="2:27">
      <c r="B82" s="41"/>
      <c r="D82" s="41"/>
      <c r="E82" s="41"/>
      <c r="F82" s="41"/>
      <c r="G82" s="41"/>
      <c r="H82" s="41"/>
      <c r="I82" s="41"/>
      <c r="J82" s="41"/>
      <c r="K82" s="41"/>
      <c r="L82" s="41"/>
      <c r="M82" s="41"/>
      <c r="N82" s="41"/>
      <c r="O82" s="41"/>
      <c r="P82" s="41"/>
      <c r="Q82" s="41"/>
      <c r="R82" s="41"/>
      <c r="S82" s="41"/>
      <c r="T82" s="41"/>
      <c r="U82" s="41"/>
      <c r="V82" s="41"/>
      <c r="W82" s="41"/>
      <c r="X82" s="41"/>
      <c r="Y82" s="41"/>
      <c r="Z82" s="41"/>
      <c r="AA82" s="41"/>
    </row>
    <row r="83" spans="2:27">
      <c r="B83" s="41"/>
      <c r="D83" s="41"/>
      <c r="E83" s="41"/>
      <c r="F83" s="41"/>
      <c r="G83" s="41"/>
      <c r="H83" s="41"/>
      <c r="I83" s="41"/>
      <c r="J83" s="41"/>
      <c r="K83" s="41"/>
      <c r="L83" s="41"/>
      <c r="M83" s="41"/>
      <c r="N83" s="41"/>
      <c r="O83" s="41"/>
      <c r="P83" s="41"/>
      <c r="Q83" s="41"/>
      <c r="R83" s="41"/>
      <c r="S83" s="41"/>
      <c r="T83" s="41"/>
      <c r="U83" s="41"/>
      <c r="V83" s="41"/>
      <c r="W83" s="41"/>
      <c r="X83" s="41"/>
      <c r="Y83" s="41"/>
      <c r="Z83" s="41"/>
      <c r="AA83" s="41"/>
    </row>
    <row r="84" spans="2:27">
      <c r="B84" s="41"/>
      <c r="D84" s="41"/>
      <c r="E84" s="41"/>
      <c r="F84" s="41"/>
      <c r="G84" s="41"/>
      <c r="H84" s="41"/>
      <c r="I84" s="41"/>
      <c r="J84" s="41"/>
      <c r="K84" s="41"/>
      <c r="L84" s="41"/>
      <c r="M84" s="41"/>
      <c r="N84" s="41"/>
      <c r="O84" s="41"/>
      <c r="P84" s="41"/>
      <c r="Q84" s="41"/>
      <c r="R84" s="41"/>
      <c r="S84" s="41"/>
      <c r="T84" s="41"/>
      <c r="U84" s="41"/>
      <c r="V84" s="41"/>
      <c r="W84" s="41"/>
      <c r="X84" s="41"/>
      <c r="Y84" s="41"/>
      <c r="Z84" s="41"/>
      <c r="AA84" s="41"/>
    </row>
    <row r="85" spans="2:27">
      <c r="B85" s="41"/>
      <c r="D85" s="41"/>
      <c r="E85" s="41"/>
      <c r="F85" s="41"/>
      <c r="G85" s="41"/>
      <c r="H85" s="41"/>
      <c r="I85" s="41"/>
      <c r="J85" s="41"/>
      <c r="K85" s="41"/>
      <c r="L85" s="41"/>
      <c r="M85" s="41"/>
      <c r="N85" s="41"/>
      <c r="O85" s="41"/>
      <c r="P85" s="41"/>
      <c r="Q85" s="41"/>
      <c r="R85" s="41"/>
      <c r="S85" s="41"/>
      <c r="T85" s="41"/>
      <c r="U85" s="41"/>
      <c r="V85" s="41"/>
      <c r="W85" s="41"/>
      <c r="X85" s="41"/>
      <c r="Y85" s="41"/>
      <c r="Z85" s="41"/>
      <c r="AA85" s="41"/>
    </row>
    <row r="86" spans="2:27">
      <c r="B86" s="41"/>
      <c r="D86" s="41"/>
      <c r="E86" s="41"/>
      <c r="F86" s="41"/>
      <c r="G86" s="41"/>
      <c r="H86" s="41"/>
      <c r="I86" s="41"/>
      <c r="J86" s="41"/>
      <c r="K86" s="41"/>
      <c r="L86" s="41"/>
      <c r="M86" s="41"/>
      <c r="N86" s="41"/>
      <c r="O86" s="41"/>
      <c r="P86" s="41"/>
      <c r="Q86" s="41"/>
      <c r="R86" s="41"/>
      <c r="S86" s="41"/>
      <c r="T86" s="41"/>
      <c r="U86" s="41"/>
      <c r="V86" s="41"/>
      <c r="W86" s="41"/>
      <c r="X86" s="41"/>
      <c r="Y86" s="41"/>
      <c r="Z86" s="41"/>
      <c r="AA86" s="41"/>
    </row>
    <row r="87" spans="2:27">
      <c r="B87" s="41"/>
      <c r="D87" s="41"/>
      <c r="E87" s="41"/>
      <c r="F87" s="41"/>
      <c r="G87" s="41"/>
      <c r="H87" s="41"/>
      <c r="I87" s="41"/>
      <c r="J87" s="41"/>
      <c r="K87" s="41"/>
      <c r="L87" s="41"/>
      <c r="M87" s="41"/>
      <c r="N87" s="41"/>
      <c r="O87" s="41"/>
      <c r="P87" s="41"/>
      <c r="Q87" s="41"/>
      <c r="R87" s="41"/>
      <c r="S87" s="41"/>
      <c r="T87" s="41"/>
      <c r="U87" s="41"/>
      <c r="V87" s="41"/>
      <c r="W87" s="41"/>
      <c r="X87" s="41"/>
      <c r="Y87" s="41"/>
      <c r="Z87" s="41"/>
      <c r="AA87" s="41"/>
    </row>
    <row r="88" spans="2:27">
      <c r="B88" s="41"/>
      <c r="D88" s="41"/>
      <c r="E88" s="41"/>
      <c r="F88" s="41"/>
      <c r="G88" s="41"/>
      <c r="H88" s="41"/>
      <c r="I88" s="41"/>
      <c r="J88" s="41"/>
      <c r="K88" s="41"/>
      <c r="L88" s="41"/>
      <c r="M88" s="41"/>
      <c r="N88" s="41"/>
      <c r="O88" s="41"/>
      <c r="P88" s="41"/>
      <c r="Q88" s="41"/>
      <c r="R88" s="41"/>
      <c r="S88" s="41"/>
      <c r="T88" s="41"/>
      <c r="U88" s="41"/>
      <c r="V88" s="41"/>
      <c r="W88" s="41"/>
      <c r="X88" s="41"/>
      <c r="Y88" s="41"/>
      <c r="Z88" s="41"/>
      <c r="AA88" s="41"/>
    </row>
    <row r="89" spans="2:27">
      <c r="B89" s="41"/>
      <c r="D89" s="41"/>
      <c r="E89" s="41"/>
      <c r="F89" s="41"/>
      <c r="G89" s="41"/>
      <c r="H89" s="41"/>
      <c r="I89" s="41"/>
      <c r="J89" s="41"/>
      <c r="K89" s="41"/>
      <c r="L89" s="41"/>
      <c r="M89" s="41"/>
      <c r="N89" s="41"/>
      <c r="O89" s="41"/>
      <c r="P89" s="41"/>
      <c r="Q89" s="41"/>
      <c r="R89" s="41"/>
      <c r="S89" s="41"/>
      <c r="T89" s="41"/>
      <c r="U89" s="41"/>
      <c r="V89" s="41"/>
      <c r="W89" s="41"/>
      <c r="X89" s="41"/>
      <c r="Y89" s="41"/>
      <c r="Z89" s="41"/>
      <c r="AA89" s="41"/>
    </row>
    <row r="90" spans="2:27">
      <c r="B90" s="41"/>
      <c r="D90" s="41"/>
      <c r="E90" s="41"/>
      <c r="F90" s="41"/>
      <c r="G90" s="41"/>
      <c r="H90" s="41"/>
      <c r="I90" s="41"/>
      <c r="J90" s="41"/>
      <c r="K90" s="41"/>
      <c r="L90" s="41"/>
      <c r="M90" s="41"/>
      <c r="N90" s="41"/>
      <c r="O90" s="41"/>
      <c r="P90" s="41"/>
      <c r="Q90" s="41"/>
      <c r="R90" s="41"/>
      <c r="S90" s="41"/>
      <c r="T90" s="41"/>
      <c r="U90" s="41"/>
      <c r="V90" s="41"/>
      <c r="W90" s="41"/>
      <c r="X90" s="41"/>
      <c r="Y90" s="41"/>
      <c r="Z90" s="41"/>
      <c r="AA90" s="41"/>
    </row>
    <row r="91" spans="2:27">
      <c r="B91" s="41"/>
      <c r="D91" s="41"/>
      <c r="E91" s="41"/>
      <c r="F91" s="41"/>
      <c r="G91" s="41"/>
      <c r="H91" s="41"/>
      <c r="I91" s="41"/>
      <c r="J91" s="41"/>
      <c r="K91" s="41"/>
      <c r="L91" s="41"/>
      <c r="M91" s="41"/>
      <c r="N91" s="41"/>
      <c r="O91" s="41"/>
      <c r="P91" s="41"/>
      <c r="Q91" s="41"/>
      <c r="R91" s="41"/>
      <c r="S91" s="41"/>
      <c r="T91" s="41"/>
      <c r="U91" s="41"/>
      <c r="V91" s="41"/>
      <c r="W91" s="41"/>
      <c r="X91" s="41"/>
      <c r="Y91" s="41"/>
      <c r="Z91" s="41"/>
      <c r="AA91" s="41"/>
    </row>
    <row r="92" spans="2:27">
      <c r="B92" s="41"/>
      <c r="D92" s="41"/>
      <c r="E92" s="41"/>
      <c r="F92" s="41"/>
      <c r="G92" s="41"/>
      <c r="H92" s="41"/>
      <c r="I92" s="41"/>
      <c r="J92" s="41"/>
      <c r="K92" s="41"/>
      <c r="L92" s="41"/>
      <c r="M92" s="41"/>
      <c r="N92" s="41"/>
      <c r="O92" s="41"/>
      <c r="P92" s="41"/>
      <c r="Q92" s="41"/>
      <c r="R92" s="41"/>
      <c r="S92" s="41"/>
      <c r="T92" s="41"/>
      <c r="U92" s="41"/>
      <c r="V92" s="41"/>
      <c r="W92" s="41"/>
      <c r="X92" s="41"/>
      <c r="Y92" s="41"/>
      <c r="Z92" s="41"/>
      <c r="AA92" s="41"/>
    </row>
    <row r="93" spans="2:27">
      <c r="B93" s="41"/>
      <c r="D93" s="41"/>
      <c r="E93" s="41"/>
      <c r="F93" s="41"/>
      <c r="G93" s="41"/>
      <c r="H93" s="41"/>
      <c r="I93" s="41"/>
      <c r="J93" s="41"/>
      <c r="K93" s="41"/>
      <c r="L93" s="41"/>
      <c r="M93" s="41"/>
      <c r="N93" s="41"/>
      <c r="O93" s="41"/>
      <c r="P93" s="41"/>
      <c r="Q93" s="41"/>
      <c r="R93" s="41"/>
      <c r="S93" s="41"/>
      <c r="T93" s="41"/>
      <c r="U93" s="41"/>
      <c r="V93" s="41"/>
      <c r="W93" s="41"/>
      <c r="X93" s="41"/>
      <c r="Y93" s="41"/>
      <c r="Z93" s="41"/>
      <c r="AA93" s="41"/>
    </row>
    <row r="94" spans="2:27">
      <c r="B94" s="41"/>
      <c r="D94" s="41"/>
      <c r="E94" s="41"/>
      <c r="F94" s="41"/>
      <c r="G94" s="41"/>
      <c r="H94" s="41"/>
      <c r="I94" s="41"/>
      <c r="J94" s="41"/>
      <c r="K94" s="41"/>
      <c r="L94" s="41"/>
      <c r="M94" s="41"/>
      <c r="N94" s="41"/>
      <c r="O94" s="41"/>
      <c r="P94" s="41"/>
      <c r="Q94" s="41"/>
      <c r="R94" s="41"/>
      <c r="S94" s="41"/>
      <c r="T94" s="41"/>
      <c r="U94" s="41"/>
      <c r="V94" s="41"/>
      <c r="W94" s="41"/>
      <c r="X94" s="41"/>
      <c r="Y94" s="41"/>
      <c r="Z94" s="41"/>
      <c r="AA94" s="41"/>
    </row>
    <row r="95" spans="2:27">
      <c r="B95" s="41"/>
      <c r="D95" s="41"/>
      <c r="E95" s="41"/>
      <c r="F95" s="41"/>
      <c r="G95" s="41"/>
      <c r="H95" s="41"/>
      <c r="I95" s="41"/>
      <c r="J95" s="41"/>
      <c r="K95" s="41"/>
      <c r="L95" s="41"/>
      <c r="M95" s="41"/>
      <c r="N95" s="41"/>
      <c r="O95" s="41"/>
      <c r="P95" s="41"/>
      <c r="Q95" s="41"/>
      <c r="R95" s="41"/>
      <c r="S95" s="41"/>
      <c r="T95" s="41"/>
      <c r="U95" s="41"/>
      <c r="V95" s="41"/>
      <c r="W95" s="41"/>
      <c r="X95" s="41"/>
      <c r="Y95" s="41"/>
      <c r="Z95" s="41"/>
      <c r="AA95" s="41"/>
    </row>
    <row r="96" spans="2:27">
      <c r="B96" s="41"/>
      <c r="D96" s="41"/>
      <c r="E96" s="41"/>
      <c r="F96" s="41"/>
      <c r="G96" s="41"/>
      <c r="H96" s="41"/>
      <c r="I96" s="41"/>
      <c r="J96" s="41"/>
      <c r="K96" s="41"/>
      <c r="L96" s="41"/>
      <c r="M96" s="41"/>
      <c r="N96" s="41"/>
      <c r="O96" s="41"/>
      <c r="P96" s="41"/>
      <c r="Q96" s="41"/>
      <c r="R96" s="41"/>
      <c r="S96" s="41"/>
      <c r="T96" s="41"/>
      <c r="U96" s="41"/>
      <c r="V96" s="41"/>
      <c r="W96" s="41"/>
      <c r="X96" s="41"/>
      <c r="Y96" s="41"/>
      <c r="Z96" s="41"/>
      <c r="AA96" s="41"/>
    </row>
    <row r="97" spans="2:27">
      <c r="B97" s="41"/>
      <c r="D97" s="41"/>
      <c r="E97" s="41"/>
      <c r="F97" s="41"/>
      <c r="G97" s="41"/>
      <c r="H97" s="41"/>
      <c r="I97" s="41"/>
      <c r="J97" s="41"/>
      <c r="K97" s="41"/>
      <c r="L97" s="41"/>
      <c r="M97" s="41"/>
      <c r="N97" s="41"/>
      <c r="O97" s="41"/>
      <c r="P97" s="41"/>
      <c r="Q97" s="41"/>
      <c r="R97" s="41"/>
      <c r="S97" s="41"/>
      <c r="T97" s="41"/>
      <c r="U97" s="41"/>
      <c r="V97" s="41"/>
      <c r="W97" s="41"/>
      <c r="X97" s="41"/>
      <c r="Y97" s="41"/>
      <c r="Z97" s="41"/>
      <c r="AA97" s="41"/>
    </row>
    <row r="98" spans="2:27">
      <c r="B98" s="41"/>
      <c r="D98" s="41"/>
      <c r="E98" s="41"/>
      <c r="F98" s="41"/>
      <c r="G98" s="41"/>
      <c r="H98" s="41"/>
      <c r="I98" s="41"/>
      <c r="J98" s="41"/>
      <c r="K98" s="41"/>
      <c r="L98" s="41"/>
      <c r="M98" s="41"/>
      <c r="N98" s="41"/>
      <c r="O98" s="41"/>
      <c r="P98" s="41"/>
      <c r="Q98" s="41"/>
      <c r="R98" s="41"/>
      <c r="S98" s="41"/>
      <c r="T98" s="41"/>
      <c r="U98" s="41"/>
      <c r="V98" s="41"/>
      <c r="W98" s="41"/>
      <c r="X98" s="41"/>
      <c r="Y98" s="41"/>
      <c r="Z98" s="41"/>
      <c r="AA98" s="41"/>
    </row>
    <row r="99" spans="2:27">
      <c r="B99" s="41"/>
      <c r="D99" s="41"/>
      <c r="E99" s="41"/>
      <c r="F99" s="41"/>
      <c r="G99" s="41"/>
      <c r="H99" s="41"/>
      <c r="I99" s="41"/>
      <c r="J99" s="41"/>
      <c r="K99" s="41"/>
      <c r="L99" s="41"/>
      <c r="M99" s="41"/>
      <c r="N99" s="41"/>
      <c r="O99" s="41"/>
      <c r="P99" s="41"/>
      <c r="Q99" s="41"/>
      <c r="R99" s="41"/>
      <c r="S99" s="41"/>
      <c r="T99" s="41"/>
      <c r="U99" s="41"/>
      <c r="V99" s="41"/>
      <c r="W99" s="41"/>
      <c r="X99" s="41"/>
      <c r="Y99" s="41"/>
      <c r="Z99" s="41"/>
      <c r="AA99" s="41"/>
    </row>
    <row r="100" spans="2:27">
      <c r="B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row>
    <row r="101" spans="2:27">
      <c r="B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row>
    <row r="102" spans="2:27">
      <c r="B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row>
    <row r="103" spans="2:27">
      <c r="B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row>
    <row r="104" spans="2:27">
      <c r="B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row>
    <row r="105" spans="2:27">
      <c r="B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row>
    <row r="106" spans="2:27">
      <c r="B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row>
    <row r="107" spans="2:27">
      <c r="B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row>
    <row r="108" spans="2:27">
      <c r="B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row>
    <row r="109" spans="2:27">
      <c r="B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row>
    <row r="141" spans="1:1">
      <c r="A141" s="40"/>
    </row>
  </sheetData>
  <sheetProtection algorithmName="SHA-512" hashValue="5rNVT0Mscp+Q0oopul0N65Evk2sKZVTNnPsgyIOx0+HcBWfjQ3oCZpgIr2Kj0ykacish2yL9p8/SryJ7ya3bqg==" saltValue="IrS7+s2LI4K8Wpg7PW0pXg==" spinCount="100000" sheet="1" objects="1" scenarios="1"/>
  <mergeCells count="12">
    <mergeCell ref="D1:E1"/>
    <mergeCell ref="F1:G1"/>
    <mergeCell ref="H1:I1"/>
    <mergeCell ref="J1:K1"/>
    <mergeCell ref="L1:M1"/>
    <mergeCell ref="N1:O1"/>
    <mergeCell ref="P1:Q1"/>
    <mergeCell ref="R1:S1"/>
    <mergeCell ref="T1:U1"/>
    <mergeCell ref="V1:W1"/>
    <mergeCell ref="X1:Y1"/>
    <mergeCell ref="Z1:AA1"/>
  </mergeCells>
  <pageMargins left="0.7" right="0.7" top="0.75" bottom="0.75" header="0.3" footer="0.3"/>
  <pageSetup paperSize="8" scale="59" fitToHeight="0" orientation="portrait"/>
  <headerFooter/>
  <rowBreaks count="1" manualBreakCount="1">
    <brk id="46" max="26" man="1"/>
  </row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A1:M25"/>
  <sheetViews>
    <sheetView view="pageBreakPreview" zoomScale="90" zoomScaleNormal="90" workbookViewId="0">
      <selection activeCell="C18" sqref="C18"/>
    </sheetView>
  </sheetViews>
  <sheetFormatPr defaultColWidth="9" defaultRowHeight="15"/>
  <cols>
    <col min="2" max="2" width="14" customWidth="1"/>
    <col min="3" max="12" width="14.4" customWidth="1"/>
  </cols>
  <sheetData>
    <row r="1" ht="36" customHeight="1" spans="1:12">
      <c r="A1" s="1" t="s">
        <v>359</v>
      </c>
      <c r="B1" s="2"/>
      <c r="C1" s="2"/>
      <c r="D1" s="2"/>
      <c r="E1" s="2"/>
      <c r="F1" s="2"/>
      <c r="G1" s="2"/>
      <c r="H1" s="2"/>
      <c r="I1" s="2"/>
      <c r="J1" s="2"/>
      <c r="K1" s="2"/>
      <c r="L1" s="14"/>
    </row>
    <row r="2" ht="34.95" customHeight="1" spans="1:13">
      <c r="A2" s="3"/>
      <c r="B2" s="4" t="s">
        <v>7</v>
      </c>
      <c r="C2" s="3" t="s">
        <v>360</v>
      </c>
      <c r="D2" s="3" t="s">
        <v>361</v>
      </c>
      <c r="E2" s="3" t="s">
        <v>362</v>
      </c>
      <c r="F2" s="3" t="s">
        <v>363</v>
      </c>
      <c r="G2" s="3" t="s">
        <v>364</v>
      </c>
      <c r="H2" s="3" t="s">
        <v>365</v>
      </c>
      <c r="I2" s="3" t="s">
        <v>366</v>
      </c>
      <c r="J2" s="3" t="s">
        <v>367</v>
      </c>
      <c r="K2" s="3" t="s">
        <v>368</v>
      </c>
      <c r="L2" s="3" t="s">
        <v>369</v>
      </c>
      <c r="M2" t="s">
        <v>3</v>
      </c>
    </row>
    <row r="3" spans="1:12">
      <c r="A3" s="5"/>
      <c r="B3" s="6" t="e">
        <f>B6/B4</f>
        <v>#DIV/0!</v>
      </c>
      <c r="C3" s="6" t="e">
        <f>B3+0.01</f>
        <v>#DIV/0!</v>
      </c>
      <c r="D3" s="6" t="e">
        <f t="shared" ref="D3:L3" si="0">C3+0.01</f>
        <v>#DIV/0!</v>
      </c>
      <c r="E3" s="6" t="e">
        <f t="shared" si="0"/>
        <v>#DIV/0!</v>
      </c>
      <c r="F3" s="6" t="e">
        <f t="shared" si="0"/>
        <v>#DIV/0!</v>
      </c>
      <c r="G3" s="6" t="e">
        <f t="shared" si="0"/>
        <v>#DIV/0!</v>
      </c>
      <c r="H3" s="6" t="e">
        <f t="shared" si="0"/>
        <v>#DIV/0!</v>
      </c>
      <c r="I3" s="6" t="e">
        <f t="shared" si="0"/>
        <v>#DIV/0!</v>
      </c>
      <c r="J3" s="6" t="e">
        <f t="shared" si="0"/>
        <v>#DIV/0!</v>
      </c>
      <c r="K3" s="6" t="e">
        <f t="shared" si="0"/>
        <v>#DIV/0!</v>
      </c>
      <c r="L3" s="6" t="e">
        <f t="shared" si="0"/>
        <v>#DIV/0!</v>
      </c>
    </row>
    <row r="4" spans="1:12">
      <c r="A4" s="5" t="s">
        <v>14</v>
      </c>
      <c r="B4" s="7">
        <f>⑦原価詳細!F31</f>
        <v>0</v>
      </c>
      <c r="C4" s="7">
        <f>$B$4</f>
        <v>0</v>
      </c>
      <c r="D4" s="7">
        <f>$B$4</f>
        <v>0</v>
      </c>
      <c r="E4" s="7">
        <f>$B$4</f>
        <v>0</v>
      </c>
      <c r="F4" s="7">
        <f t="shared" ref="F4:L4" si="1">$B$4</f>
        <v>0</v>
      </c>
      <c r="G4" s="7">
        <f t="shared" si="1"/>
        <v>0</v>
      </c>
      <c r="H4" s="7">
        <f t="shared" si="1"/>
        <v>0</v>
      </c>
      <c r="I4" s="7">
        <f t="shared" si="1"/>
        <v>0</v>
      </c>
      <c r="J4" s="7">
        <f t="shared" si="1"/>
        <v>0</v>
      </c>
      <c r="K4" s="7">
        <f t="shared" si="1"/>
        <v>0</v>
      </c>
      <c r="L4" s="7">
        <f t="shared" si="1"/>
        <v>0</v>
      </c>
    </row>
    <row r="5" spans="1:12">
      <c r="A5" s="5" t="s">
        <v>22</v>
      </c>
      <c r="B5" s="7">
        <f>'②⑧MQ（未来）'!F3*1000000</f>
        <v>0</v>
      </c>
      <c r="C5" s="7" t="e">
        <f>C4-C6</f>
        <v>#DIV/0!</v>
      </c>
      <c r="D5" s="7" t="e">
        <f>D4-D6</f>
        <v>#DIV/0!</v>
      </c>
      <c r="E5" s="7" t="e">
        <f t="shared" ref="E5:L5" si="2">E4-E6</f>
        <v>#DIV/0!</v>
      </c>
      <c r="F5" s="7" t="e">
        <f t="shared" si="2"/>
        <v>#DIV/0!</v>
      </c>
      <c r="G5" s="7" t="e">
        <f t="shared" si="2"/>
        <v>#DIV/0!</v>
      </c>
      <c r="H5" s="7" t="e">
        <f t="shared" si="2"/>
        <v>#DIV/0!</v>
      </c>
      <c r="I5" s="7" t="e">
        <f t="shared" si="2"/>
        <v>#DIV/0!</v>
      </c>
      <c r="J5" s="7" t="e">
        <f t="shared" si="2"/>
        <v>#DIV/0!</v>
      </c>
      <c r="K5" s="7" t="e">
        <f t="shared" si="2"/>
        <v>#DIV/0!</v>
      </c>
      <c r="L5" s="7" t="e">
        <f t="shared" si="2"/>
        <v>#DIV/0!</v>
      </c>
    </row>
    <row r="6" spans="1:12">
      <c r="A6" s="5" t="s">
        <v>370</v>
      </c>
      <c r="B6" s="7">
        <f>B4-B5</f>
        <v>0</v>
      </c>
      <c r="C6" s="7" t="e">
        <f>$B$4*C3</f>
        <v>#DIV/0!</v>
      </c>
      <c r="D6" s="7" t="e">
        <f>$B$4*D3</f>
        <v>#DIV/0!</v>
      </c>
      <c r="E6" s="7" t="e">
        <f>$B$4*E3</f>
        <v>#DIV/0!</v>
      </c>
      <c r="F6" s="7" t="e">
        <f t="shared" ref="F6:L6" si="3">$B$4*F3</f>
        <v>#DIV/0!</v>
      </c>
      <c r="G6" s="7" t="e">
        <f t="shared" si="3"/>
        <v>#DIV/0!</v>
      </c>
      <c r="H6" s="7" t="e">
        <f t="shared" si="3"/>
        <v>#DIV/0!</v>
      </c>
      <c r="I6" s="7" t="e">
        <f t="shared" si="3"/>
        <v>#DIV/0!</v>
      </c>
      <c r="J6" s="7" t="e">
        <f t="shared" si="3"/>
        <v>#DIV/0!</v>
      </c>
      <c r="K6" s="7" t="e">
        <f t="shared" si="3"/>
        <v>#DIV/0!</v>
      </c>
      <c r="L6" s="7" t="e">
        <f t="shared" si="3"/>
        <v>#DIV/0!</v>
      </c>
    </row>
    <row r="7" spans="1:12">
      <c r="A7" s="5" t="s">
        <v>338</v>
      </c>
      <c r="B7" s="7">
        <f>'②⑧MQ（未来）'!H13*1000000</f>
        <v>0</v>
      </c>
      <c r="C7" s="7">
        <f>B7</f>
        <v>0</v>
      </c>
      <c r="D7" s="7">
        <f>C7</f>
        <v>0</v>
      </c>
      <c r="E7" s="7">
        <f>D7</f>
        <v>0</v>
      </c>
      <c r="F7" s="7">
        <f t="shared" ref="F7:L7" si="4">E7</f>
        <v>0</v>
      </c>
      <c r="G7" s="7">
        <f t="shared" si="4"/>
        <v>0</v>
      </c>
      <c r="H7" s="7">
        <f t="shared" si="4"/>
        <v>0</v>
      </c>
      <c r="I7" s="7">
        <f t="shared" si="4"/>
        <v>0</v>
      </c>
      <c r="J7" s="7">
        <f t="shared" si="4"/>
        <v>0</v>
      </c>
      <c r="K7" s="7">
        <f t="shared" si="4"/>
        <v>0</v>
      </c>
      <c r="L7" s="7">
        <f t="shared" si="4"/>
        <v>0</v>
      </c>
    </row>
    <row r="8" spans="1:12">
      <c r="A8" s="5" t="s">
        <v>227</v>
      </c>
      <c r="B8" s="7">
        <f t="shared" ref="B8:L8" si="5">B4-B5-B7</f>
        <v>0</v>
      </c>
      <c r="C8" s="7" t="e">
        <f t="shared" si="5"/>
        <v>#DIV/0!</v>
      </c>
      <c r="D8" s="7" t="e">
        <f t="shared" si="5"/>
        <v>#DIV/0!</v>
      </c>
      <c r="E8" s="7" t="e">
        <f t="shared" si="5"/>
        <v>#DIV/0!</v>
      </c>
      <c r="F8" s="7" t="e">
        <f t="shared" si="5"/>
        <v>#DIV/0!</v>
      </c>
      <c r="G8" s="7" t="e">
        <f t="shared" si="5"/>
        <v>#DIV/0!</v>
      </c>
      <c r="H8" s="7" t="e">
        <f t="shared" si="5"/>
        <v>#DIV/0!</v>
      </c>
      <c r="I8" s="7" t="e">
        <f t="shared" si="5"/>
        <v>#DIV/0!</v>
      </c>
      <c r="J8" s="7" t="e">
        <f t="shared" si="5"/>
        <v>#DIV/0!</v>
      </c>
      <c r="K8" s="7" t="e">
        <f t="shared" si="5"/>
        <v>#DIV/0!</v>
      </c>
      <c r="L8" s="7" t="e">
        <f t="shared" si="5"/>
        <v>#DIV/0!</v>
      </c>
    </row>
    <row r="9" spans="1:12">
      <c r="A9" s="5" t="s">
        <v>19</v>
      </c>
      <c r="B9" s="6" t="e">
        <f>B8/B4</f>
        <v>#DIV/0!</v>
      </c>
      <c r="C9" s="6" t="e">
        <f t="shared" ref="C9:L9" si="6">C8/C4</f>
        <v>#DIV/0!</v>
      </c>
      <c r="D9" s="6" t="e">
        <f t="shared" si="6"/>
        <v>#DIV/0!</v>
      </c>
      <c r="E9" s="6" t="e">
        <f t="shared" si="6"/>
        <v>#DIV/0!</v>
      </c>
      <c r="F9" s="6" t="e">
        <f t="shared" si="6"/>
        <v>#DIV/0!</v>
      </c>
      <c r="G9" s="6" t="e">
        <f t="shared" si="6"/>
        <v>#DIV/0!</v>
      </c>
      <c r="H9" s="6" t="e">
        <f t="shared" si="6"/>
        <v>#DIV/0!</v>
      </c>
      <c r="I9" s="6" t="e">
        <f t="shared" si="6"/>
        <v>#DIV/0!</v>
      </c>
      <c r="J9" s="6" t="e">
        <f t="shared" si="6"/>
        <v>#DIV/0!</v>
      </c>
      <c r="K9" s="6" t="e">
        <f t="shared" si="6"/>
        <v>#DIV/0!</v>
      </c>
      <c r="L9" s="6" t="e">
        <f t="shared" si="6"/>
        <v>#DIV/0!</v>
      </c>
    </row>
    <row r="10" ht="34.95" customHeight="1" spans="1:12">
      <c r="A10" s="3"/>
      <c r="B10" s="4" t="s">
        <v>7</v>
      </c>
      <c r="C10" s="8" t="s">
        <v>371</v>
      </c>
      <c r="D10" s="8" t="s">
        <v>372</v>
      </c>
      <c r="E10" s="8" t="s">
        <v>373</v>
      </c>
      <c r="F10" s="8" t="s">
        <v>374</v>
      </c>
      <c r="G10" s="8" t="s">
        <v>375</v>
      </c>
      <c r="H10" s="8" t="s">
        <v>376</v>
      </c>
      <c r="I10" s="8" t="s">
        <v>377</v>
      </c>
      <c r="J10" s="8" t="s">
        <v>378</v>
      </c>
      <c r="K10" s="8" t="s">
        <v>379</v>
      </c>
      <c r="L10" s="8" t="s">
        <v>380</v>
      </c>
    </row>
    <row r="11" spans="1:12">
      <c r="A11" s="5"/>
      <c r="B11" s="9"/>
      <c r="C11" s="6" t="e">
        <f>B3-0.01</f>
        <v>#DIV/0!</v>
      </c>
      <c r="D11" s="6" t="e">
        <f>C11-0.01</f>
        <v>#DIV/0!</v>
      </c>
      <c r="E11" s="6" t="e">
        <f t="shared" ref="E11:L11" si="7">D11-0.01</f>
        <v>#DIV/0!</v>
      </c>
      <c r="F11" s="6" t="e">
        <f t="shared" si="7"/>
        <v>#DIV/0!</v>
      </c>
      <c r="G11" s="6" t="e">
        <f t="shared" si="7"/>
        <v>#DIV/0!</v>
      </c>
      <c r="H11" s="6" t="e">
        <f t="shared" si="7"/>
        <v>#DIV/0!</v>
      </c>
      <c r="I11" s="6" t="e">
        <f t="shared" si="7"/>
        <v>#DIV/0!</v>
      </c>
      <c r="J11" s="6" t="e">
        <f t="shared" si="7"/>
        <v>#DIV/0!</v>
      </c>
      <c r="K11" s="6" t="e">
        <f t="shared" si="7"/>
        <v>#DIV/0!</v>
      </c>
      <c r="L11" s="6" t="e">
        <f t="shared" si="7"/>
        <v>#DIV/0!</v>
      </c>
    </row>
    <row r="12" spans="1:12">
      <c r="A12" s="5" t="s">
        <v>14</v>
      </c>
      <c r="B12" s="7">
        <f>$B$4</f>
        <v>0</v>
      </c>
      <c r="C12" s="7">
        <f t="shared" ref="C12:L12" si="8">$B$4</f>
        <v>0</v>
      </c>
      <c r="D12" s="7">
        <f t="shared" si="8"/>
        <v>0</v>
      </c>
      <c r="E12" s="7">
        <f t="shared" si="8"/>
        <v>0</v>
      </c>
      <c r="F12" s="7">
        <f t="shared" si="8"/>
        <v>0</v>
      </c>
      <c r="G12" s="7">
        <f t="shared" si="8"/>
        <v>0</v>
      </c>
      <c r="H12" s="7">
        <f t="shared" si="8"/>
        <v>0</v>
      </c>
      <c r="I12" s="7">
        <f t="shared" si="8"/>
        <v>0</v>
      </c>
      <c r="J12" s="7">
        <f t="shared" si="8"/>
        <v>0</v>
      </c>
      <c r="K12" s="7">
        <f t="shared" si="8"/>
        <v>0</v>
      </c>
      <c r="L12" s="7">
        <f t="shared" si="8"/>
        <v>0</v>
      </c>
    </row>
    <row r="13" spans="1:12">
      <c r="A13" s="5" t="s">
        <v>22</v>
      </c>
      <c r="B13" s="7">
        <v>279200000</v>
      </c>
      <c r="C13" s="7" t="e">
        <f>C12-C14</f>
        <v>#DIV/0!</v>
      </c>
      <c r="D13" s="7" t="e">
        <f>D12-D14</f>
        <v>#DIV/0!</v>
      </c>
      <c r="E13" s="7" t="e">
        <f t="shared" ref="E13" si="9">E12-E14</f>
        <v>#DIV/0!</v>
      </c>
      <c r="F13" s="7" t="e">
        <f t="shared" ref="F13" si="10">F12-F14</f>
        <v>#DIV/0!</v>
      </c>
      <c r="G13" s="7" t="e">
        <f t="shared" ref="G13" si="11">G12-G14</f>
        <v>#DIV/0!</v>
      </c>
      <c r="H13" s="7" t="e">
        <f t="shared" ref="H13" si="12">H12-H14</f>
        <v>#DIV/0!</v>
      </c>
      <c r="I13" s="7" t="e">
        <f t="shared" ref="I13" si="13">I12-I14</f>
        <v>#DIV/0!</v>
      </c>
      <c r="J13" s="7" t="e">
        <f t="shared" ref="J13" si="14">J12-J14</f>
        <v>#DIV/0!</v>
      </c>
      <c r="K13" s="7" t="e">
        <f t="shared" ref="K13" si="15">K12-K14</f>
        <v>#DIV/0!</v>
      </c>
      <c r="L13" s="7" t="e">
        <f t="shared" ref="L13" si="16">L12-L14</f>
        <v>#DIV/0!</v>
      </c>
    </row>
    <row r="14" spans="1:12">
      <c r="A14" s="5" t="s">
        <v>370</v>
      </c>
      <c r="B14" s="7">
        <v>170800000</v>
      </c>
      <c r="C14" s="7" t="e">
        <f>$B$4*C11</f>
        <v>#DIV/0!</v>
      </c>
      <c r="D14" s="7" t="e">
        <f>$B$4*D11</f>
        <v>#DIV/0!</v>
      </c>
      <c r="E14" s="7" t="e">
        <f t="shared" ref="E14:L14" si="17">$B$4*E11</f>
        <v>#DIV/0!</v>
      </c>
      <c r="F14" s="7" t="e">
        <f t="shared" si="17"/>
        <v>#DIV/0!</v>
      </c>
      <c r="G14" s="7" t="e">
        <f t="shared" si="17"/>
        <v>#DIV/0!</v>
      </c>
      <c r="H14" s="7" t="e">
        <f t="shared" si="17"/>
        <v>#DIV/0!</v>
      </c>
      <c r="I14" s="7" t="e">
        <f t="shared" si="17"/>
        <v>#DIV/0!</v>
      </c>
      <c r="J14" s="7" t="e">
        <f t="shared" si="17"/>
        <v>#DIV/0!</v>
      </c>
      <c r="K14" s="7" t="e">
        <f t="shared" si="17"/>
        <v>#DIV/0!</v>
      </c>
      <c r="L14" s="7" t="e">
        <f t="shared" si="17"/>
        <v>#DIV/0!</v>
      </c>
    </row>
    <row r="15" spans="1:12">
      <c r="A15" s="5" t="s">
        <v>338</v>
      </c>
      <c r="B15" s="7">
        <f>'②⑧MQ（未来）'!H13*1000000</f>
        <v>0</v>
      </c>
      <c r="C15" s="7">
        <f>B15</f>
        <v>0</v>
      </c>
      <c r="D15" s="7">
        <f t="shared" ref="D15:L15" si="18">C15</f>
        <v>0</v>
      </c>
      <c r="E15" s="7">
        <f t="shared" si="18"/>
        <v>0</v>
      </c>
      <c r="F15" s="7">
        <f t="shared" si="18"/>
        <v>0</v>
      </c>
      <c r="G15" s="7">
        <f t="shared" si="18"/>
        <v>0</v>
      </c>
      <c r="H15" s="7">
        <f t="shared" si="18"/>
        <v>0</v>
      </c>
      <c r="I15" s="7">
        <f t="shared" si="18"/>
        <v>0</v>
      </c>
      <c r="J15" s="7">
        <f t="shared" si="18"/>
        <v>0</v>
      </c>
      <c r="K15" s="7">
        <f t="shared" si="18"/>
        <v>0</v>
      </c>
      <c r="L15" s="7">
        <f t="shared" si="18"/>
        <v>0</v>
      </c>
    </row>
    <row r="16" spans="1:12">
      <c r="A16" s="5" t="s">
        <v>227</v>
      </c>
      <c r="B16" s="7">
        <v>45900000</v>
      </c>
      <c r="C16" s="7" t="e">
        <f t="shared" ref="C16" si="19">C12-C13-C15</f>
        <v>#DIV/0!</v>
      </c>
      <c r="D16" s="7" t="e">
        <f t="shared" ref="D16" si="20">D12-D13-D15</f>
        <v>#DIV/0!</v>
      </c>
      <c r="E16" s="7" t="e">
        <f t="shared" ref="E16" si="21">E12-E13-E15</f>
        <v>#DIV/0!</v>
      </c>
      <c r="F16" s="7" t="e">
        <f t="shared" ref="F16" si="22">F12-F13-F15</f>
        <v>#DIV/0!</v>
      </c>
      <c r="G16" s="7" t="e">
        <f t="shared" ref="G16" si="23">G12-G13-G15</f>
        <v>#DIV/0!</v>
      </c>
      <c r="H16" s="7" t="e">
        <f t="shared" ref="H16" si="24">H12-H13-H15</f>
        <v>#DIV/0!</v>
      </c>
      <c r="I16" s="7" t="e">
        <f t="shared" ref="I16" si="25">I12-I13-I15</f>
        <v>#DIV/0!</v>
      </c>
      <c r="J16" s="7" t="e">
        <f t="shared" ref="J16" si="26">J12-J13-J15</f>
        <v>#DIV/0!</v>
      </c>
      <c r="K16" s="7" t="e">
        <f t="shared" ref="K16" si="27">K12-K13-K15</f>
        <v>#DIV/0!</v>
      </c>
      <c r="L16" s="7" t="e">
        <f t="shared" ref="L16" si="28">L12-L13-L15</f>
        <v>#DIV/0!</v>
      </c>
    </row>
    <row r="17" ht="18.75" spans="1:12">
      <c r="A17" s="5" t="s">
        <v>19</v>
      </c>
      <c r="B17" s="10" t="e">
        <f>B8/B4</f>
        <v>#DIV/0!</v>
      </c>
      <c r="C17" s="11" t="e">
        <f>C16/C12</f>
        <v>#DIV/0!</v>
      </c>
      <c r="D17" s="11" t="e">
        <f t="shared" ref="D17:L17" si="29">D16/D12</f>
        <v>#DIV/0!</v>
      </c>
      <c r="E17" s="11" t="e">
        <f t="shared" si="29"/>
        <v>#DIV/0!</v>
      </c>
      <c r="F17" s="11" t="e">
        <f t="shared" si="29"/>
        <v>#DIV/0!</v>
      </c>
      <c r="G17" s="11" t="e">
        <f t="shared" si="29"/>
        <v>#DIV/0!</v>
      </c>
      <c r="H17" s="11" t="e">
        <f t="shared" si="29"/>
        <v>#DIV/0!</v>
      </c>
      <c r="I17" s="11" t="e">
        <f t="shared" si="29"/>
        <v>#DIV/0!</v>
      </c>
      <c r="J17" s="11" t="e">
        <f t="shared" si="29"/>
        <v>#DIV/0!</v>
      </c>
      <c r="K17" s="11" t="e">
        <f t="shared" si="29"/>
        <v>#DIV/0!</v>
      </c>
      <c r="L17" s="11" t="e">
        <f t="shared" si="29"/>
        <v>#DIV/0!</v>
      </c>
    </row>
    <row r="18" spans="1:9">
      <c r="A18" t="s">
        <v>381</v>
      </c>
      <c r="D18" s="12" t="s">
        <v>382</v>
      </c>
      <c r="E18" s="12"/>
      <c r="F18" s="12"/>
      <c r="G18" s="12"/>
      <c r="H18" s="12"/>
      <c r="I18" s="12"/>
    </row>
    <row r="19" spans="1:9">
      <c r="A19" t="s">
        <v>383</v>
      </c>
      <c r="D19" s="13"/>
      <c r="E19" s="13"/>
      <c r="F19" s="13"/>
      <c r="G19" s="13"/>
      <c r="H19" s="13"/>
      <c r="I19" s="13"/>
    </row>
    <row r="20" spans="4:9">
      <c r="D20" s="13"/>
      <c r="E20" s="13"/>
      <c r="F20" s="13"/>
      <c r="G20" s="13"/>
      <c r="H20" s="13"/>
      <c r="I20" s="13"/>
    </row>
    <row r="21" spans="4:9">
      <c r="D21" s="13"/>
      <c r="E21" s="13"/>
      <c r="F21" s="13"/>
      <c r="G21" s="13"/>
      <c r="H21" s="13"/>
      <c r="I21" s="13"/>
    </row>
    <row r="22" spans="4:9">
      <c r="D22" s="13"/>
      <c r="E22" s="13"/>
      <c r="F22" s="13"/>
      <c r="G22" s="13"/>
      <c r="H22" s="13"/>
      <c r="I22" s="13"/>
    </row>
    <row r="23" spans="4:9">
      <c r="D23" s="13"/>
      <c r="E23" s="13"/>
      <c r="F23" s="13"/>
      <c r="G23" s="13"/>
      <c r="H23" s="13"/>
      <c r="I23" s="13"/>
    </row>
    <row r="24" spans="4:9">
      <c r="D24" s="13"/>
      <c r="E24" s="13"/>
      <c r="F24" s="13"/>
      <c r="G24" s="13"/>
      <c r="H24" s="13"/>
      <c r="I24" s="13"/>
    </row>
    <row r="25" spans="4:9">
      <c r="D25" s="13"/>
      <c r="E25" s="13"/>
      <c r="F25" s="13"/>
      <c r="G25" s="13"/>
      <c r="H25" s="13"/>
      <c r="I25" s="13"/>
    </row>
  </sheetData>
  <sheetProtection algorithmName="SHA-512" hashValue="iGEcvHmhCUJQSEtMp8bdkjKsuElsSPADrRayYK95tKLR4frSYJEMYIkiXZjBPnBP1wthJgMObK9UqGcOn+dvvg==" saltValue="RNRBdQ/QqeV/JBPGB79fIA==" spinCount="100000" sheet="1" objects="1" scenarios="1"/>
  <mergeCells count="2">
    <mergeCell ref="A1:L1"/>
    <mergeCell ref="D18:I25"/>
  </mergeCells>
  <pageMargins left="0.7" right="0.7" top="0.75" bottom="0.75" header="0.3" footer="0.3"/>
  <pageSetup paperSize="8" scale="78" fitToHeight="0"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9" master="" otherUserPermission="visible"/>
  <rangeList sheetStid="10" master="" otherUserPermission="visible"/>
  <rangeList sheetStid="4" master="" otherUserPermission="visible"/>
  <rangeList sheetStid="3" master="" otherUserPermission="visible"/>
  <rangeList sheetStid="5" master="" otherUserPermission="visible"/>
  <rangeList sheetStid="6" master="" otherUserPermission="visible"/>
  <rangeList sheetStid="13" master="" otherUserPermission="visible"/>
  <rangeList sheetStid="14" master="" otherUserPermission="visible"/>
  <rangeList sheetStid="15" master="" otherUserPermission="visible"/>
  <rangeList sheetStid="17" master="" otherUserPermission="visible"/>
  <rangeList sheetStid="1" master="" otherUserPermission="visible"/>
  <rangeList sheetStid="16" master="" otherUserPermission="visible"/>
  <rangeList sheetStid="18" master="" otherUserPermission="visible"/>
</allowEditUser>
</file>

<file path=customXml/item2.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9FD50D11-921B-449B-83B7-097658210AF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スタート</vt:lpstr>
      <vt:lpstr>MQ（現状）</vt:lpstr>
      <vt:lpstr>①利益</vt:lpstr>
      <vt:lpstr>②⑧MQ（未来）</vt:lpstr>
      <vt:lpstr>③給料</vt:lpstr>
      <vt:lpstr>④経費</vt:lpstr>
      <vt:lpstr>⑤製造原価 (人）</vt:lpstr>
      <vt:lpstr>⑥製造（経費)</vt:lpstr>
      <vt:lpstr>⑦原価詳細</vt:lpstr>
      <vt:lpstr>損益分岐点</vt:lpstr>
      <vt:lpstr>進捗実績値入力シート</vt:lpstr>
      <vt:lpstr>部門別販売計画</vt:lpstr>
      <vt:lpstr>利益計画表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伸太郎 結城</dc:creator>
  <cp:lastModifiedBy>Aesop</cp:lastModifiedBy>
  <dcterms:created xsi:type="dcterms:W3CDTF">2024-06-24T08:13:00Z</dcterms:created>
  <cp:lastPrinted>2025-03-22T10:03:00Z</cp:lastPrinted>
  <dcterms:modified xsi:type="dcterms:W3CDTF">2025-10-15T13:52:05Z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5A8174E003844D169D98E5BB06F82434_12</vt:lpwstr>
  </property>
  <property fmtid="{D5CDD505-2E9C-101B-9397-08002B2CF9AE}" pid="3" name="KSOProductBuildVer">
    <vt:lpwstr>1033-12.2.0.22549</vt:lpwstr>
  </property>
</Properties>
</file>