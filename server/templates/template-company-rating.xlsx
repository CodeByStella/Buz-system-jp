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activeTab="3"/>
  </bookViews>
  <sheets>
    <sheet name="入力データ" sheetId="1" r:id="rId1"/>
    <sheet name="結果" sheetId="2" r:id="rId2"/>
    <sheet name="スコア表" sheetId="3" r:id="rId3"/>
    <sheet name="安全指標について" sheetId="4" r:id="rId4"/>
  </sheets>
  <definedNames>
    <definedName name="_xlnm.Print_Area" localSheetId="0">入力データ!$A$1:$F$24</definedName>
    <definedName name="_xlnm.Print_Area" localSheetId="1">結果!$A$1:$N$48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<sst xmlns="http://schemas.openxmlformats.org/spreadsheetml/2006/main" count="345" uniqueCount="240">
  <si>
    <t>会社名</t>
  </si>
  <si>
    <t>日付</t>
  </si>
  <si>
    <t>この色の部分を打ち込む</t>
  </si>
  <si>
    <t>資本の部合計(純資産）</t>
  </si>
  <si>
    <t>負債及び純資産合計</t>
  </si>
  <si>
    <t>自己資本比率</t>
  </si>
  <si>
    <t>÷</t>
  </si>
  <si>
    <t>×１００</t>
  </si>
  <si>
    <t>短期借入金＋長期借入金＋社債</t>
  </si>
  <si>
    <t>ギアリング比率</t>
  </si>
  <si>
    <t>固定資産合計</t>
  </si>
  <si>
    <t>固定負債＋自己資本</t>
  </si>
  <si>
    <t>固定長期適合率</t>
  </si>
  <si>
    <t>流動資産合計</t>
  </si>
  <si>
    <t>流動負債合計</t>
  </si>
  <si>
    <t>流動比率</t>
  </si>
  <si>
    <t>経常利益</t>
  </si>
  <si>
    <t>当期売上高</t>
  </si>
  <si>
    <t>売上高経常利益率</t>
  </si>
  <si>
    <t>総資本経常利益率（ROA)</t>
  </si>
  <si>
    <t>経常利益-前期経常利益</t>
  </si>
  <si>
    <t>前期経常利益</t>
  </si>
  <si>
    <t>経常利益増加率</t>
  </si>
  <si>
    <t>経常利益＋減価償却費－法人税等</t>
  </si>
  <si>
    <t>債務償還年数</t>
  </si>
  <si>
    <t>営業利益＋受取利息・配当金</t>
  </si>
  <si>
    <t>支払利息・割引き料</t>
  </si>
  <si>
    <t>インタレスト・カバレッジ・レシオ</t>
  </si>
  <si>
    <t>営業利益＋当期減価償却実施額</t>
  </si>
  <si>
    <t>キャッシュフロー額</t>
  </si>
  <si>
    <t>事業者に有利な年数</t>
  </si>
  <si>
    <t>有利子負債-現預金-売掛金</t>
  </si>
  <si>
    <t>債務償還年数②</t>
  </si>
  <si>
    <t>結果</t>
  </si>
  <si>
    <t>位</t>
  </si>
  <si>
    <t>配点</t>
  </si>
  <si>
    <t>評価</t>
  </si>
  <si>
    <t>安全性項目</t>
  </si>
  <si>
    <t>自動計算項目</t>
  </si>
  <si>
    <t>％</t>
  </si>
  <si>
    <t>収益性項目</t>
  </si>
  <si>
    <t>総資本経常利益率</t>
  </si>
  <si>
    <t>スコア</t>
  </si>
  <si>
    <t>格付け</t>
  </si>
  <si>
    <t>収益フロー</t>
  </si>
  <si>
    <t>3期連続黒字</t>
  </si>
  <si>
    <t>90以上</t>
  </si>
  <si>
    <t>倒産指数０</t>
  </si>
  <si>
    <t>80以上</t>
  </si>
  <si>
    <t>超優良企業</t>
  </si>
  <si>
    <t>成長性項目</t>
  </si>
  <si>
    <t>65以上</t>
  </si>
  <si>
    <t>優良企業</t>
  </si>
  <si>
    <t>50以上</t>
  </si>
  <si>
    <t>良好</t>
  </si>
  <si>
    <t>自己資本額</t>
  </si>
  <si>
    <t>40以上</t>
  </si>
  <si>
    <t>普通</t>
  </si>
  <si>
    <t>売上高</t>
  </si>
  <si>
    <t>25以上</t>
  </si>
  <si>
    <t>やや普通</t>
  </si>
  <si>
    <t>25未満</t>
  </si>
  <si>
    <t>やや警戒</t>
  </si>
  <si>
    <t>返済能力</t>
  </si>
  <si>
    <t>警戒先</t>
  </si>
  <si>
    <t>年</t>
  </si>
  <si>
    <t>延滞先</t>
  </si>
  <si>
    <t>倍</t>
  </si>
  <si>
    <t>事故先</t>
  </si>
  <si>
    <t>事業者に有利な債務償還年数</t>
  </si>
  <si>
    <t>定量要因</t>
  </si>
  <si>
    <t>定量要因小計</t>
  </si>
  <si>
    <t>格付け判定</t>
  </si>
  <si>
    <t>主観項目</t>
  </si>
  <si>
    <t>市場動向</t>
  </si>
  <si>
    <t>景気感応度</t>
  </si>
  <si>
    <t>市場規模</t>
  </si>
  <si>
    <t>180以上</t>
  </si>
  <si>
    <t>リスクなし</t>
  </si>
  <si>
    <t>競合状態</t>
  </si>
  <si>
    <t>160以上</t>
  </si>
  <si>
    <t>殆どリスクなし</t>
  </si>
  <si>
    <t>業歴</t>
  </si>
  <si>
    <t>130以上</t>
  </si>
  <si>
    <t>リスク些少</t>
  </si>
  <si>
    <t>経営者・経営方針</t>
  </si>
  <si>
    <t>100以上</t>
  </si>
  <si>
    <t>リスクあるが良好水準</t>
  </si>
  <si>
    <t>株主</t>
  </si>
  <si>
    <t>リスクあるが平均的水準</t>
  </si>
  <si>
    <t>従業員モラル</t>
  </si>
  <si>
    <t>リスクやや高いが許容範囲</t>
  </si>
  <si>
    <t>営業基盤</t>
  </si>
  <si>
    <t>50未満</t>
  </si>
  <si>
    <t>リスク高く管理徹底</t>
  </si>
  <si>
    <t>競争力</t>
  </si>
  <si>
    <t>行き詰まる可能性あり</t>
  </si>
  <si>
    <t>シェア</t>
  </si>
  <si>
    <t>回復難しく不良債権解消目処なし</t>
  </si>
  <si>
    <t>償却を要する</t>
  </si>
  <si>
    <t>定性要因小計</t>
  </si>
  <si>
    <t>定量・定性要因</t>
  </si>
  <si>
    <t>スコア合計</t>
  </si>
  <si>
    <t>１５％未満</t>
  </si>
  <si>
    <t>１５％以上</t>
  </si>
  <si>
    <t>２０％以上</t>
  </si>
  <si>
    <t>２５％以上</t>
  </si>
  <si>
    <t>３０％以上</t>
  </si>
  <si>
    <t>３５％以上</t>
  </si>
  <si>
    <t>４０％以上</t>
  </si>
  <si>
    <t>５０％以上</t>
  </si>
  <si>
    <t>６０＆以上</t>
  </si>
  <si>
    <t>２５０％超</t>
  </si>
  <si>
    <t>２５０％以内</t>
  </si>
  <si>
    <t>２００％以内</t>
  </si>
  <si>
    <t>１５０％以内</t>
  </si>
  <si>
    <t>１００％以内</t>
  </si>
  <si>
    <t>５０％以内</t>
  </si>
  <si>
    <t>１００％超</t>
  </si>
  <si>
    <t>８０％以内</t>
  </si>
  <si>
    <t>６０％以内</t>
  </si>
  <si>
    <t>100未満</t>
  </si>
  <si>
    <t>１００％以上</t>
  </si>
  <si>
    <t>１２０％以上</t>
  </si>
  <si>
    <t>１４０％以上</t>
  </si>
  <si>
    <t>１６０％以上</t>
  </si>
  <si>
    <t>マイナス</t>
  </si>
  <si>
    <t>１％未満</t>
  </si>
  <si>
    <t>１％以上</t>
  </si>
  <si>
    <t>２％以上</t>
  </si>
  <si>
    <t>３％以上</t>
  </si>
  <si>
    <t>４％以上</t>
  </si>
  <si>
    <t>その他</t>
  </si>
  <si>
    <t>2期連続黒字</t>
  </si>
  <si>
    <t>５％未満</t>
  </si>
  <si>
    <t>５％以上</t>
  </si>
  <si>
    <t>１０％以上</t>
  </si>
  <si>
    <t>債務超過</t>
  </si>
  <si>
    <t>５０００万以下</t>
  </si>
  <si>
    <t>１億円以下</t>
  </si>
  <si>
    <t>3億円以下</t>
  </si>
  <si>
    <t>5億円以下</t>
  </si>
  <si>
    <t>7億円以下</t>
  </si>
  <si>
    <t>10億円以下</t>
  </si>
  <si>
    <t>30億円以下</t>
  </si>
  <si>
    <t>50億円以下</t>
  </si>
  <si>
    <t>70億円以下</t>
  </si>
  <si>
    <t>100億円以下</t>
  </si>
  <si>
    <t>100億円超</t>
  </si>
  <si>
    <t>1億未満</t>
  </si>
  <si>
    <t>1億円以上</t>
  </si>
  <si>
    <t>5億以上</t>
  </si>
  <si>
    <t>10億円以上</t>
  </si>
  <si>
    <t>30億円以上</t>
  </si>
  <si>
    <t>50億円以上</t>
  </si>
  <si>
    <t>100億円以上</t>
  </si>
  <si>
    <t>1000億以上</t>
  </si>
  <si>
    <t>20年超</t>
  </si>
  <si>
    <t>20年以内</t>
  </si>
  <si>
    <t>15年以内</t>
  </si>
  <si>
    <t>12年以内</t>
  </si>
  <si>
    <t>9年以内</t>
  </si>
  <si>
    <t>7年以内</t>
  </si>
  <si>
    <t>5年以内</t>
  </si>
  <si>
    <t>3年以内</t>
  </si>
  <si>
    <t>1年以内</t>
  </si>
  <si>
    <t>1倍未満</t>
  </si>
  <si>
    <t>1.25倍以内</t>
  </si>
  <si>
    <t>１．５倍以内</t>
  </si>
  <si>
    <t>1.75倍以内</t>
  </si>
  <si>
    <t>2倍以内</t>
  </si>
  <si>
    <t>2.5倍以内</t>
  </si>
  <si>
    <t>3倍以内</t>
  </si>
  <si>
    <t>4倍以内</t>
  </si>
  <si>
    <t>5倍以内</t>
  </si>
  <si>
    <t>5倍超</t>
  </si>
  <si>
    <t>1億円以下</t>
  </si>
  <si>
    <t>懸念（根本的な解決へ）</t>
  </si>
  <si>
    <t>注意（新規融資厳しめ）</t>
  </si>
  <si>
    <t>普通（保証協会付）</t>
  </si>
  <si>
    <t>良好（プロパー狙える）</t>
  </si>
  <si>
    <t>債務償還年数（優しい）</t>
  </si>
  <si>
    <t>無</t>
  </si>
  <si>
    <t>２０年超</t>
  </si>
  <si>
    <t>１５年以上</t>
  </si>
  <si>
    <t>１０～１５年</t>
  </si>
  <si>
    <t>１０年未満</t>
  </si>
  <si>
    <t>定性要因</t>
  </si>
  <si>
    <t>成長期</t>
  </si>
  <si>
    <t>成熟期</t>
  </si>
  <si>
    <t>導入期</t>
  </si>
  <si>
    <t>飽和期</t>
  </si>
  <si>
    <t>衰退期</t>
  </si>
  <si>
    <t>急減期</t>
  </si>
  <si>
    <t>主に主観</t>
  </si>
  <si>
    <t>景観感応度</t>
  </si>
  <si>
    <t>高い</t>
  </si>
  <si>
    <t>低い</t>
  </si>
  <si>
    <t>地域特性や景気による業況影響</t>
  </si>
  <si>
    <t>1兆円以上</t>
  </si>
  <si>
    <t>1000億円以上</t>
  </si>
  <si>
    <t>300億円以上</t>
  </si>
  <si>
    <t>300億円未満</t>
  </si>
  <si>
    <t>業界の市場規模</t>
  </si>
  <si>
    <t>独占</t>
  </si>
  <si>
    <t>競合緩やか</t>
  </si>
  <si>
    <t>競合激しい</t>
  </si>
  <si>
    <t>適当競争</t>
  </si>
  <si>
    <t>30年以上</t>
  </si>
  <si>
    <t>10年以上</t>
  </si>
  <si>
    <t>5年以上</t>
  </si>
  <si>
    <t>5年未満</t>
  </si>
  <si>
    <t>優良</t>
  </si>
  <si>
    <t>やや劣る</t>
  </si>
  <si>
    <t>劣る</t>
  </si>
  <si>
    <t>対外的な評価？</t>
  </si>
  <si>
    <t>上場かつ安定</t>
  </si>
  <si>
    <t>上場かつ大
きな問題なし</t>
  </si>
  <si>
    <t>非上場だが安定</t>
  </si>
  <si>
    <t>問題あり</t>
  </si>
  <si>
    <t>従業員のモラル</t>
  </si>
  <si>
    <t>問題なし</t>
  </si>
  <si>
    <t>問題あるが
影響なし</t>
  </si>
  <si>
    <t>経営に影響あり</t>
  </si>
  <si>
    <t>モラル・活気・オフィス内や環境整備</t>
  </si>
  <si>
    <t>極めて強固</t>
  </si>
  <si>
    <t>強固</t>
  </si>
  <si>
    <t>相応の基盤あり</t>
  </si>
  <si>
    <t>販売体制や供給能力・顧客サポート体制など</t>
  </si>
  <si>
    <t>非常に強い</t>
  </si>
  <si>
    <t>強い</t>
  </si>
  <si>
    <t>今後3～5年生き残っていけるか？</t>
  </si>
  <si>
    <t>シェア率（世帯数）</t>
  </si>
  <si>
    <t>地域１５％</t>
  </si>
  <si>
    <t>地域１０％</t>
  </si>
  <si>
    <t>地域５％</t>
  </si>
  <si>
    <t>普通・限定地域で独占</t>
  </si>
  <si>
    <t>地域１％</t>
  </si>
  <si>
    <t>地域での顧客獲得率</t>
  </si>
  <si>
    <t>パス　1111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</si>
</sst>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_ "/>
  </numFmts>
  <fonts count="26">
    <font>
      <sz val="11"/>
      <color rgb="FF000000"/>
      <name val="MS PGothic"/>
      <charset val="134"/>
    </font>
    <font>
      <b/>
      <sz val="11"/>
      <color rgb="FF000000"/>
      <name val="MS PGothic"/>
      <charset val="134"/>
    </font>
    <font>
      <sz val="11"/>
      <color rgb="FFA8D08D"/>
      <name val="MS PGothic"/>
      <charset val="134"/>
    </font>
    <font>
      <sz val="11"/>
      <color theme="1"/>
      <name val="Calibri"/>
      <charset val="134"/>
    </font>
    <font>
      <b/>
      <sz val="11"/>
      <color rgb="FFFFFFFF"/>
      <name val="MS PGothic"/>
      <charset val="134"/>
    </font>
    <font>
      <sz val="11"/>
      <color rgb="FFFFFFFF"/>
      <name val="MS PGothic"/>
      <charset val="134"/>
    </font>
    <font>
      <sz val="9"/>
      <color rgb="FF000000"/>
      <name val="MS PGothic"/>
      <charset val="134"/>
    </font>
    <font>
      <sz val="11"/>
      <color theme="1"/>
      <name val="Calibri"/>
      <charset val="134"/>
      <scheme val="minor"/>
    </font>
    <font>
      <u/>
      <sz val="11"/>
      <color rgb="FF0000FF"/>
      <name val="Calibri"/>
      <charset val="134"/>
      <scheme val="minor"/>
    </font>
    <font>
      <u/>
      <sz val="11"/>
      <color rgb="FF800080"/>
      <name val="Calibri"/>
      <charset val="134"/>
      <scheme val="minor"/>
    </font>
    <font>
      <sz val="11"/>
      <color rgb="FFFF000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7">
    <fill>
      <patternFill patternType="none"/>
    </fill>
    <fill>
      <patternFill patternType="gray125"/>
    </fill>
    <fill>
      <patternFill patternType="solid">
        <fgColor rgb="FFFFFF00"/>
        <bgColor indexed="64"/>
      </patternFill>
    </fill>
    <fill>
      <patternFill patternType="solid">
        <fgColor rgb="FFBDD6EE"/>
        <bgColor indexed="64"/>
      </patternFill>
    </fill>
    <fill>
      <patternFill patternType="solid">
        <fgColor theme="7"/>
        <bgColor indexed="64"/>
      </patternFill>
    </fill>
    <fill>
      <patternFill patternType="solid">
        <fgColor rgb="FFA8D08D"/>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8"/>
        <bgColor indexed="64"/>
      </patternFill>
    </fill>
    <fill>
      <patternFill patternType="solid">
        <fgColor theme="4" tint="0.6"/>
        <bgColor indexed="64"/>
      </patternFill>
    </fill>
    <fill>
      <patternFill patternType="solid">
        <fgColor theme="4" tint="0.4"/>
        <bgColor indexed="64"/>
      </patternFill>
    </fill>
    <fill>
      <patternFill patternType="solid">
        <fgColor theme="5"/>
        <bgColor indexed="64"/>
      </patternFill>
    </fill>
    <fill>
      <patternFill patternType="solid">
        <fgColor theme="5" tint="0.8"/>
        <bgColor indexed="64"/>
      </patternFill>
    </fill>
    <fill>
      <patternFill patternType="solid">
        <fgColor theme="5" tint="0.6"/>
        <bgColor indexed="64"/>
      </patternFill>
    </fill>
    <fill>
      <patternFill patternType="solid">
        <fgColor theme="5" tint="0.4"/>
        <bgColor indexed="64"/>
      </patternFill>
    </fill>
    <fill>
      <patternFill patternType="solid">
        <fgColor theme="6"/>
        <bgColor indexed="64"/>
      </patternFill>
    </fill>
    <fill>
      <patternFill patternType="solid">
        <fgColor theme="6" tint="0.8"/>
        <bgColor indexed="64"/>
      </patternFill>
    </fill>
    <fill>
      <patternFill patternType="solid">
        <fgColor theme="6" tint="0.6"/>
        <bgColor indexed="64"/>
      </patternFill>
    </fill>
    <fill>
      <patternFill patternType="solid">
        <fgColor theme="6" tint="0.4"/>
        <bgColor indexed="64"/>
      </patternFill>
    </fill>
    <fill>
      <patternFill patternType="solid">
        <fgColor theme="7" tint="0.8"/>
        <bgColor indexed="64"/>
      </patternFill>
    </fill>
    <fill>
      <patternFill patternType="solid">
        <fgColor theme="7" tint="0.6"/>
        <bgColor indexed="64"/>
      </patternFill>
    </fill>
    <fill>
      <patternFill patternType="solid">
        <fgColor theme="7" tint="0.4"/>
        <bgColor indexed="64"/>
      </patternFill>
    </fill>
    <fill>
      <patternFill patternType="solid">
        <fgColor theme="8"/>
        <bgColor indexed="64"/>
      </patternFill>
    </fill>
    <fill>
      <patternFill patternType="solid">
        <fgColor theme="8" tint="0.8"/>
        <bgColor indexed="64"/>
      </patternFill>
    </fill>
    <fill>
      <patternFill patternType="solid">
        <fgColor theme="8" tint="0.6"/>
        <bgColor indexed="64"/>
      </patternFill>
    </fill>
    <fill>
      <patternFill patternType="solid">
        <fgColor theme="8" tint="0.4"/>
        <bgColor indexed="64"/>
      </patternFill>
    </fill>
    <fill>
      <patternFill patternType="solid">
        <fgColor theme="9"/>
        <bgColor indexed="64"/>
      </patternFill>
    </fill>
    <fill>
      <patternFill patternType="solid">
        <fgColor theme="9" tint="0.8"/>
        <bgColor indexed="64"/>
      </patternFill>
    </fill>
    <fill>
      <patternFill patternType="solid">
        <fgColor theme="9" tint="0.6"/>
        <bgColor indexed="64"/>
      </patternFill>
    </fill>
    <fill>
      <patternFill patternType="solid">
        <fgColor theme="9" tint="0.4"/>
        <bgColor indexed="64"/>
      </patternFill>
    </fill>
  </fills>
  <borders count="35">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ck">
        <color rgb="FF000000"/>
      </left>
      <right style="thick">
        <color rgb="FF000000"/>
      </right>
      <top style="thick">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2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8" applyNumberFormat="0" applyFill="0" applyAlignment="0" applyProtection="0">
      <alignment vertical="center"/>
    </xf>
    <xf numFmtId="0" fontId="14" fillId="0" borderId="28" applyNumberFormat="0" applyFill="0" applyAlignment="0" applyProtection="0">
      <alignment vertical="center"/>
    </xf>
    <xf numFmtId="0" fontId="15" fillId="0" borderId="29" applyNumberFormat="0" applyFill="0" applyAlignment="0" applyProtection="0">
      <alignment vertical="center"/>
    </xf>
    <xf numFmtId="0" fontId="15" fillId="0" borderId="0" applyNumberFormat="0" applyFill="0" applyBorder="0" applyAlignment="0" applyProtection="0">
      <alignment vertical="center"/>
    </xf>
    <xf numFmtId="0" fontId="16" fillId="8" borderId="30" applyNumberFormat="0" applyAlignment="0" applyProtection="0">
      <alignment vertical="center"/>
    </xf>
    <xf numFmtId="0" fontId="17" fillId="9" borderId="31" applyNumberFormat="0" applyAlignment="0" applyProtection="0">
      <alignment vertical="center"/>
    </xf>
    <xf numFmtId="0" fontId="18" fillId="9" borderId="30" applyNumberFormat="0" applyAlignment="0" applyProtection="0">
      <alignment vertical="center"/>
    </xf>
    <xf numFmtId="0" fontId="19" fillId="10" borderId="32" applyNumberFormat="0" applyAlignment="0" applyProtection="0">
      <alignment vertical="center"/>
    </xf>
    <xf numFmtId="0" fontId="20" fillId="0" borderId="33" applyNumberFormat="0" applyFill="0" applyAlignment="0" applyProtection="0">
      <alignment vertical="center"/>
    </xf>
    <xf numFmtId="0" fontId="21" fillId="0" borderId="34"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25" fillId="25" borderId="0" applyNumberFormat="0" applyBorder="0" applyAlignment="0" applyProtection="0">
      <alignment vertical="center"/>
    </xf>
    <xf numFmtId="0" fontId="25" fillId="4"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95">
    <xf numFmtId="0" fontId="0" fillId="0" borderId="0" xfId="0"/>
    <xf numFmtId="0" fontId="1" fillId="2" borderId="1" xfId="0" applyFont="1" applyFill="1" applyBorder="1" applyAlignment="1">
      <alignment vertical="center"/>
    </xf>
    <xf numFmtId="0" fontId="0" fillId="0" borderId="0" xfId="0" applyAlignment="1">
      <alignment horizontal="center" vertical="center"/>
    </xf>
    <xf numFmtId="0" fontId="0" fillId="0" borderId="2" xfId="0" applyBorder="1" applyAlignment="1">
      <alignment vertical="center"/>
    </xf>
    <xf numFmtId="0" fontId="1" fillId="3" borderId="3" xfId="0" applyFont="1" applyFill="1" applyBorder="1" applyAlignment="1">
      <alignment horizontal="center" vertical="center"/>
    </xf>
    <xf numFmtId="0" fontId="0" fillId="0" borderId="4" xfId="0" applyBorder="1" applyAlignment="1">
      <alignment vertical="center"/>
    </xf>
    <xf numFmtId="0" fontId="0" fillId="2" borderId="5" xfId="0" applyFill="1" applyBorder="1" applyAlignment="1">
      <alignment horizontal="center" vertical="center"/>
    </xf>
    <xf numFmtId="0" fontId="0" fillId="0" borderId="5" xfId="0" applyBorder="1" applyAlignment="1">
      <alignment vertical="center"/>
    </xf>
    <xf numFmtId="0" fontId="0" fillId="3" borderId="4" xfId="0" applyFill="1" applyBorder="1" applyAlignment="1">
      <alignment vertical="center"/>
    </xf>
    <xf numFmtId="0" fontId="0" fillId="0" borderId="6" xfId="0" applyBorder="1" applyAlignment="1">
      <alignment vertical="center"/>
    </xf>
    <xf numFmtId="0" fontId="0" fillId="2" borderId="7" xfId="0" applyFill="1" applyBorder="1" applyAlignment="1">
      <alignment horizontal="center" vertical="center"/>
    </xf>
    <xf numFmtId="0" fontId="0" fillId="0" borderId="7" xfId="0" applyBorder="1" applyAlignment="1">
      <alignment vertical="center"/>
    </xf>
    <xf numFmtId="0" fontId="0" fillId="4" borderId="6" xfId="0" applyFill="1" applyBorder="1" applyAlignment="1">
      <alignment vertical="center"/>
    </xf>
    <xf numFmtId="0" fontId="0" fillId="4" borderId="7" xfId="0" applyFill="1" applyBorder="1" applyAlignment="1">
      <alignment horizontal="center"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9" xfId="0" applyFill="1" applyBorder="1" applyAlignment="1">
      <alignment horizontal="center" vertical="center"/>
    </xf>
    <xf numFmtId="0" fontId="0" fillId="4" borderId="9" xfId="0" applyFill="1" applyBorder="1" applyAlignment="1">
      <alignment vertical="center"/>
    </xf>
    <xf numFmtId="0" fontId="1" fillId="2" borderId="10" xfId="0" applyFont="1" applyFill="1" applyBorder="1" applyAlignment="1">
      <alignment vertical="center"/>
    </xf>
    <xf numFmtId="0" fontId="0" fillId="0" borderId="8" xfId="0" applyBorder="1" applyAlignment="1">
      <alignment vertical="center"/>
    </xf>
    <xf numFmtId="0" fontId="0" fillId="2" borderId="9" xfId="0" applyFill="1" applyBorder="1" applyAlignment="1">
      <alignment horizontal="center" vertical="center"/>
    </xf>
    <xf numFmtId="0" fontId="0" fillId="0" borderId="9" xfId="0" applyBorder="1" applyAlignment="1">
      <alignment vertical="center"/>
    </xf>
    <xf numFmtId="0" fontId="0" fillId="0" borderId="9" xfId="0" applyBorder="1" applyAlignment="1">
      <alignment vertical="center" wrapText="1"/>
    </xf>
    <xf numFmtId="0" fontId="2" fillId="5" borderId="0" xfId="0" applyFont="1" applyFill="1" applyAlignment="1">
      <alignment vertical="center"/>
    </xf>
    <xf numFmtId="0" fontId="1" fillId="3" borderId="11" xfId="0" applyFont="1" applyFill="1" applyBorder="1" applyAlignment="1">
      <alignment horizontal="center" vertical="center"/>
    </xf>
    <xf numFmtId="0" fontId="0" fillId="0" borderId="12" xfId="0" applyBorder="1" applyAlignment="1">
      <alignment vertical="center"/>
    </xf>
    <xf numFmtId="0" fontId="3" fillId="0" borderId="0" xfId="0" applyFont="1" applyAlignment="1">
      <alignment vertical="center"/>
    </xf>
    <xf numFmtId="0" fontId="0" fillId="0" borderId="13" xfId="0" applyBorder="1" applyAlignment="1">
      <alignment vertical="center"/>
    </xf>
    <xf numFmtId="0" fontId="0" fillId="0" borderId="5" xfId="0" applyBorder="1" applyAlignment="1">
      <alignment vertical="center" wrapText="1"/>
    </xf>
    <xf numFmtId="0" fontId="0" fillId="0" borderId="12" xfId="0" applyBorder="1" applyAlignment="1">
      <alignment vertical="center" wrapText="1"/>
    </xf>
    <xf numFmtId="0" fontId="0" fillId="0" borderId="14" xfId="0" applyBorder="1" applyAlignment="1">
      <alignment vertical="center"/>
    </xf>
    <xf numFmtId="0" fontId="0" fillId="0" borderId="0" xfId="0" applyAlignment="1">
      <alignment vertical="center"/>
    </xf>
    <xf numFmtId="0" fontId="0" fillId="0" borderId="15" xfId="0" applyBorder="1" applyAlignment="1">
      <alignment vertical="center"/>
    </xf>
    <xf numFmtId="0" fontId="0" fillId="4" borderId="15" xfId="0" applyFill="1" applyBorder="1" applyAlignment="1">
      <alignment vertical="center"/>
    </xf>
    <xf numFmtId="0" fontId="0" fillId="4" borderId="14" xfId="0" applyFill="1" applyBorder="1" applyAlignment="1">
      <alignment vertical="center"/>
    </xf>
    <xf numFmtId="178" fontId="0" fillId="0" borderId="0" xfId="0" applyNumberFormat="1" applyAlignment="1">
      <alignment vertical="center"/>
    </xf>
    <xf numFmtId="0" fontId="0" fillId="0" borderId="16" xfId="0" applyBorder="1" applyAlignment="1">
      <alignment vertical="center"/>
    </xf>
    <xf numFmtId="0" fontId="0" fillId="3" borderId="3" xfId="0" applyFill="1" applyBorder="1" applyAlignment="1">
      <alignment vertical="center"/>
    </xf>
    <xf numFmtId="178" fontId="0" fillId="3" borderId="17" xfId="0" applyNumberFormat="1" applyFill="1" applyBorder="1" applyAlignment="1">
      <alignment horizontal="center" vertical="center"/>
    </xf>
    <xf numFmtId="0" fontId="0" fillId="3" borderId="3" xfId="0" applyFill="1" applyBorder="1" applyAlignment="1">
      <alignment horizontal="center" vertical="center"/>
    </xf>
    <xf numFmtId="0" fontId="0" fillId="3" borderId="11" xfId="0" applyFill="1" applyBorder="1" applyAlignment="1">
      <alignment horizontal="center" vertical="center"/>
    </xf>
    <xf numFmtId="0" fontId="0" fillId="3" borderId="18" xfId="0" applyFill="1" applyBorder="1" applyAlignment="1">
      <alignment vertical="center"/>
    </xf>
    <xf numFmtId="178" fontId="4" fillId="6" borderId="1" xfId="0" applyNumberFormat="1" applyFont="1" applyFill="1" applyBorder="1" applyAlignment="1">
      <alignment vertical="center"/>
    </xf>
    <xf numFmtId="0" fontId="0" fillId="0" borderId="19" xfId="0" applyBorder="1" applyAlignment="1">
      <alignment horizontal="center" vertical="center"/>
    </xf>
    <xf numFmtId="0" fontId="0" fillId="5" borderId="5" xfId="0" applyFill="1" applyBorder="1" applyAlignment="1" applyProtection="1">
      <alignment vertical="center"/>
      <protection locked="0"/>
    </xf>
    <xf numFmtId="0" fontId="0" fillId="0" borderId="18" xfId="0" applyBorder="1" applyAlignment="1">
      <alignment vertical="center"/>
    </xf>
    <xf numFmtId="178" fontId="5" fillId="6" borderId="20" xfId="0" applyNumberFormat="1" applyFont="1" applyFill="1" applyBorder="1" applyAlignment="1">
      <alignment vertical="center"/>
    </xf>
    <xf numFmtId="178" fontId="6" fillId="5" borderId="20" xfId="0" applyNumberFormat="1" applyFont="1" applyFill="1" applyBorder="1" applyAlignment="1" applyProtection="1">
      <alignment horizontal="center" vertical="center"/>
      <protection locked="0"/>
    </xf>
    <xf numFmtId="178" fontId="5" fillId="6" borderId="21" xfId="0" applyNumberFormat="1" applyFont="1" applyFill="1" applyBorder="1" applyAlignment="1">
      <alignment vertical="center"/>
    </xf>
    <xf numFmtId="0" fontId="1" fillId="2" borderId="5" xfId="0" applyFont="1" applyFill="1" applyBorder="1" applyAlignment="1">
      <alignment vertical="center"/>
    </xf>
    <xf numFmtId="178" fontId="1" fillId="2" borderId="22" xfId="0" applyNumberFormat="1" applyFont="1" applyFill="1" applyBorder="1" applyAlignment="1">
      <alignment vertical="center"/>
    </xf>
    <xf numFmtId="0" fontId="1" fillId="2" borderId="5" xfId="0" applyFont="1" applyFill="1" applyBorder="1" applyAlignment="1">
      <alignment horizontal="center" vertical="center"/>
    </xf>
    <xf numFmtId="0" fontId="0" fillId="2" borderId="5" xfId="0" applyFill="1" applyBorder="1" applyAlignment="1">
      <alignment vertical="center"/>
    </xf>
    <xf numFmtId="0" fontId="0" fillId="2" borderId="12" xfId="0" applyFill="1" applyBorder="1" applyAlignment="1">
      <alignment vertical="center"/>
    </xf>
    <xf numFmtId="178" fontId="0" fillId="0" borderId="5" xfId="0" applyNumberFormat="1" applyBorder="1" applyAlignment="1">
      <alignment vertical="center"/>
    </xf>
    <xf numFmtId="0" fontId="0" fillId="0" borderId="5" xfId="0" applyBorder="1" applyAlignment="1">
      <alignment horizontal="center" vertical="center"/>
    </xf>
    <xf numFmtId="0" fontId="1" fillId="5" borderId="5" xfId="0" applyFont="1" applyFill="1" applyBorder="1" applyAlignment="1">
      <alignment vertical="center"/>
    </xf>
    <xf numFmtId="178" fontId="1" fillId="2" borderId="5" xfId="0" applyNumberFormat="1" applyFont="1" applyFill="1" applyBorder="1" applyAlignment="1">
      <alignment vertical="center"/>
    </xf>
    <xf numFmtId="0" fontId="1" fillId="2" borderId="9" xfId="0" applyFont="1" applyFill="1" applyBorder="1" applyAlignment="1">
      <alignment vertical="center"/>
    </xf>
    <xf numFmtId="178" fontId="1" fillId="2" borderId="9" xfId="0" applyNumberFormat="1" applyFont="1" applyFill="1" applyBorder="1" applyAlignment="1">
      <alignment vertical="center"/>
    </xf>
    <xf numFmtId="0" fontId="1" fillId="2" borderId="9" xfId="0" applyFont="1" applyFill="1" applyBorder="1" applyAlignment="1">
      <alignment horizontal="center" vertical="center"/>
    </xf>
    <xf numFmtId="0" fontId="1" fillId="2" borderId="14" xfId="0" applyFont="1" applyFill="1" applyBorder="1"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23" xfId="0" applyFont="1" applyBorder="1" applyAlignment="1">
      <alignment vertical="center"/>
    </xf>
    <xf numFmtId="0" fontId="1" fillId="3" borderId="16" xfId="0" applyFont="1" applyFill="1" applyBorder="1" applyAlignment="1">
      <alignment vertical="center"/>
    </xf>
    <xf numFmtId="0" fontId="1" fillId="0" borderId="4" xfId="0" applyFont="1" applyBorder="1" applyAlignment="1">
      <alignment vertical="center"/>
    </xf>
    <xf numFmtId="0" fontId="1" fillId="2" borderId="12" xfId="0" applyFont="1" applyFill="1" applyBorder="1" applyAlignment="1">
      <alignment vertical="center"/>
    </xf>
    <xf numFmtId="0" fontId="1" fillId="0" borderId="8" xfId="0" applyFont="1" applyBorder="1" applyAlignment="1">
      <alignment vertical="center"/>
    </xf>
    <xf numFmtId="0" fontId="1" fillId="0" borderId="24" xfId="0" applyFont="1" applyBorder="1" applyAlignment="1">
      <alignment vertical="center"/>
    </xf>
    <xf numFmtId="0" fontId="1" fillId="0" borderId="24" xfId="0" applyFont="1" applyBorder="1" applyAlignment="1" applyProtection="1">
      <alignment vertical="center"/>
      <protection locked="0"/>
    </xf>
    <xf numFmtId="0" fontId="1" fillId="0" borderId="25" xfId="0" applyFont="1" applyBorder="1" applyAlignment="1">
      <alignment vertical="center"/>
    </xf>
    <xf numFmtId="0" fontId="1" fillId="0" borderId="26" xfId="0" applyFont="1" applyBorder="1" applyAlignment="1">
      <alignment vertical="center"/>
    </xf>
    <xf numFmtId="0" fontId="0" fillId="0" borderId="24" xfId="0" applyBorder="1" applyAlignment="1">
      <alignment horizontal="right" vertical="center"/>
    </xf>
    <xf numFmtId="0" fontId="0" fillId="0" borderId="24" xfId="0" applyBorder="1" applyAlignment="1" applyProtection="1">
      <alignment vertical="center"/>
      <protection locked="0"/>
    </xf>
    <xf numFmtId="0" fontId="0" fillId="0" borderId="24" xfId="0" applyBorder="1" applyAlignment="1">
      <alignment vertical="center" textRotation="255"/>
    </xf>
    <xf numFmtId="58" fontId="0" fillId="0" borderId="24" xfId="0" applyNumberFormat="1" applyBorder="1" applyAlignment="1" applyProtection="1">
      <alignment vertical="center"/>
      <protection locked="0"/>
    </xf>
    <xf numFmtId="0" fontId="0" fillId="0" borderId="24" xfId="0" applyBorder="1" applyAlignment="1">
      <alignment vertical="center"/>
    </xf>
    <xf numFmtId="0" fontId="1" fillId="5" borderId="24" xfId="0" applyFont="1" applyFill="1" applyBorder="1" applyAlignment="1">
      <alignment vertical="center"/>
    </xf>
    <xf numFmtId="0" fontId="0" fillId="3" borderId="11" xfId="0" applyFill="1" applyBorder="1" applyAlignment="1">
      <alignment vertical="center"/>
    </xf>
    <xf numFmtId="0" fontId="0" fillId="2" borderId="4" xfId="0" applyFill="1" applyBorder="1" applyAlignment="1">
      <alignment vertical="center"/>
    </xf>
    <xf numFmtId="3" fontId="0" fillId="5" borderId="5" xfId="0" applyNumberFormat="1" applyFill="1" applyBorder="1" applyAlignment="1" applyProtection="1">
      <alignment vertical="center"/>
      <protection locked="0"/>
    </xf>
    <xf numFmtId="3" fontId="0" fillId="0" borderId="5" xfId="0" applyNumberFormat="1" applyBorder="1" applyAlignment="1">
      <alignment horizontal="center" vertical="center"/>
    </xf>
    <xf numFmtId="3" fontId="0" fillId="3" borderId="5" xfId="0" applyNumberFormat="1" applyFill="1" applyBorder="1" applyAlignment="1">
      <alignment vertical="center"/>
    </xf>
    <xf numFmtId="3" fontId="0" fillId="3" borderId="5" xfId="0" applyNumberFormat="1" applyFill="1" applyBorder="1" applyAlignment="1">
      <alignment horizontal="center" vertical="center"/>
    </xf>
    <xf numFmtId="0" fontId="0" fillId="3" borderId="12" xfId="0" applyFill="1" applyBorder="1" applyAlignment="1">
      <alignment vertical="center"/>
    </xf>
    <xf numFmtId="0" fontId="0" fillId="2" borderId="8" xfId="0" applyFill="1" applyBorder="1" applyAlignment="1">
      <alignment vertical="center"/>
    </xf>
    <xf numFmtId="3" fontId="0" fillId="5" borderId="9" xfId="0" applyNumberFormat="1" applyFill="1" applyBorder="1" applyAlignment="1" applyProtection="1">
      <alignment vertical="center"/>
      <protection locked="0"/>
    </xf>
    <xf numFmtId="3" fontId="0" fillId="0" borderId="9" xfId="0" applyNumberFormat="1" applyBorder="1" applyAlignment="1">
      <alignment vertical="center"/>
    </xf>
    <xf numFmtId="0" fontId="1" fillId="4" borderId="4" xfId="0" applyFont="1" applyFill="1" applyBorder="1" applyAlignment="1">
      <alignment vertical="center"/>
    </xf>
    <xf numFmtId="3" fontId="0" fillId="4" borderId="5" xfId="0" applyNumberFormat="1" applyFill="1" applyBorder="1" applyAlignment="1">
      <alignment vertical="center"/>
    </xf>
    <xf numFmtId="3" fontId="0" fillId="4" borderId="5" xfId="0" applyNumberFormat="1" applyFill="1" applyBorder="1" applyAlignment="1">
      <alignment horizontal="center" vertical="center"/>
    </xf>
    <xf numFmtId="0" fontId="0" fillId="4" borderId="12" xfId="0" applyFill="1" applyBorder="1" applyAlignment="1">
      <alignment vertical="center"/>
    </xf>
    <xf numFmtId="0" fontId="0" fillId="4" borderId="4" xfId="0" applyFill="1" applyBorder="1" applyAlignment="1">
      <alignment vertical="center"/>
    </xf>
    <xf numFmtId="3" fontId="0" fillId="4" borderId="5" xfId="0" applyNumberFormat="1" applyFill="1" applyBorder="1" applyAlignment="1" applyProtection="1">
      <alignment vertical="center"/>
      <protection locked="0"/>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85725</xdr:colOff>
      <xdr:row>3</xdr:row>
      <xdr:rowOff>19050</xdr:rowOff>
    </xdr:from>
    <xdr:to>
      <xdr:col>9</xdr:col>
      <xdr:colOff>207645</xdr:colOff>
      <xdr:row>5</xdr:row>
      <xdr:rowOff>121920</xdr:rowOff>
    </xdr:to>
    <xdr:sp>
      <xdr:nvSpPr>
        <xdr:cNvPr id="3" name="Shape 3"/>
        <xdr:cNvSpPr txBox="1"/>
      </xdr:nvSpPr>
      <xdr:spPr>
        <a:xfrm>
          <a:off x="5156200" y="571500"/>
          <a:ext cx="1569720" cy="445770"/>
        </a:xfrm>
        <a:prstGeom prst="rect">
          <a:avLst/>
        </a:prstGeom>
        <a:solidFill>
          <a:schemeClr val="bg1"/>
        </a:solidFill>
        <a:ln w="9525" cap="flat" cmpd="sng">
          <a:solidFill>
            <a:srgbClr val="BABABA"/>
          </a:solidFill>
          <a:prstDash val="solid"/>
          <a:round/>
          <a:headEnd type="none" w="sm" len="sm"/>
          <a:tailEnd type="none" w="sm" len="sm"/>
        </a:ln>
      </xdr:spPr>
      <xdr:style>
        <a:lnRef idx="2">
          <a:schemeClr val="accent1"/>
        </a:lnRef>
        <a:fillRef idx="1">
          <a:schemeClr val="accent1"/>
        </a:fillRef>
        <a:effectRef idx="0">
          <a:schemeClr val="accent1"/>
        </a:effectRef>
        <a:fontRef idx="minor">
          <a:schemeClr val="bg1"/>
        </a:fontRef>
      </xdr:style>
      <xdr:txBody>
        <a:bodyPr spcFirstLastPara="1" vert="horz" wrap="square" lIns="91425" tIns="45700" rIns="91425" bIns="45700" anchor="t" anchorCtr="0">
          <a:noAutofit/>
        </a:bodyPr>
        <a:lstStyle/>
        <a:p>
          <a:pPr marL="0" lvl="0" indent="0" algn="l" rtl="0">
            <a:spcBef>
              <a:spcPts val="0"/>
            </a:spcBef>
            <a:spcAft>
              <a:spcPts val="0"/>
            </a:spcAft>
            <a:buNone/>
            <a:defRPr sz="1100">
              <a:solidFill>
                <a:schemeClr val="tx1"/>
              </a:solidFill>
              <a:latin typeface="Calibri" panose="020F0502020204030204"/>
            </a:defRPr>
          </a:pPr>
          <a:r>
            <a:rPr sz="1100">
              <a:solidFill>
                <a:schemeClr val="tx1"/>
              </a:solidFill>
              <a:latin typeface="Calibri" panose="020F0502020204030204"/>
            </a:rPr>
            <a:t>スコア表を基にスコアを入力</a:t>
          </a:r>
          <a:endParaRPr sz="1400"/>
        </a:p>
      </xdr:txBody>
    </xdr:sp>
    <xdr:clientData fLocksWithSheet="0"/>
  </xdr:twoCellAnchor>
  <xdr:twoCellAnchor editAs="oneCell">
    <xdr:from>
      <xdr:col>4</xdr:col>
      <xdr:colOff>647700</xdr:colOff>
      <xdr:row>5</xdr:row>
      <xdr:rowOff>9525</xdr:rowOff>
    </xdr:from>
    <xdr:to>
      <xdr:col>7</xdr:col>
      <xdr:colOff>0</xdr:colOff>
      <xdr:row>7</xdr:row>
      <xdr:rowOff>28575</xdr:rowOff>
    </xdr:to>
    <xdr:grpSp>
      <xdr:nvGrpSpPr>
        <xdr:cNvPr id="2" name="Shape 2"/>
        <xdr:cNvGrpSpPr/>
      </xdr:nvGrpSpPr>
      <xdr:grpSpPr>
        <a:xfrm rot="0">
          <a:off x="4274820" y="904875"/>
          <a:ext cx="795655" cy="361950"/>
          <a:chOff x="4828117" y="930275"/>
          <a:chExt cx="862542" cy="378883"/>
        </a:xfrm>
      </xdr:grpSpPr>
      <xdr:cxnSp>
        <xdr:nvCxnSpPr>
          <xdr:cNvPr id="4" name="Shape 4"/>
          <xdr:cNvCxnSpPr/>
        </xdr:nvCxnSpPr>
        <xdr:spPr>
          <a:xfrm flipH="1">
            <a:off x="4828117" y="930275"/>
            <a:ext cx="862542" cy="378883"/>
          </a:xfrm>
          <a:prstGeom prst="straightConnector1">
            <a:avLst/>
          </a:prstGeom>
          <a:noFill/>
          <a:ln w="9525" cap="flat" cmpd="sng">
            <a:solidFill>
              <a:schemeClr val="tx1"/>
            </a:solidFill>
            <a:prstDash val="solid"/>
            <a:miter lim="800000"/>
            <a:headEnd type="none" w="sm" len="sm"/>
            <a:tailEnd type="triangle" w="med" len="med"/>
          </a:ln>
        </xdr:spPr>
        <xdr:style>
          <a:lnRef idx="1">
            <a:srgbClr val="FFFFFF"/>
          </a:lnRef>
          <a:fillRef idx="0">
            <a:srgbClr val="FFFFFF"/>
          </a:fillRef>
          <a:effectRef idx="0">
            <a:schemeClr val="accent1"/>
          </a:effectRef>
          <a:fontRef idx="minor"/>
        </xdr:style>
      </xdr:cxnSp>
    </xdr:grpSp>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15240</xdr:colOff>
      <xdr:row>0</xdr:row>
      <xdr:rowOff>7620</xdr:rowOff>
    </xdr:from>
    <xdr:to>
      <xdr:col>13</xdr:col>
      <xdr:colOff>0</xdr:colOff>
      <xdr:row>98</xdr:row>
      <xdr:rowOff>45720</xdr:rowOff>
    </xdr:to>
    <xdr:sp>
      <xdr:nvSpPr>
        <xdr:cNvPr id="5" name="Shape 5"/>
        <xdr:cNvSpPr txBox="1"/>
      </xdr:nvSpPr>
      <xdr:spPr>
        <a:xfrm>
          <a:off x="15240" y="7620"/>
          <a:ext cx="7595870" cy="16840200"/>
        </a:xfrm>
        <a:prstGeom prst="rect">
          <a:avLst/>
        </a:prstGeom>
        <a:solidFill>
          <a:schemeClr val="bg1"/>
        </a:solidFill>
        <a:ln cmpd="sng">
          <a:noFill/>
        </a:ln>
      </xdr:spPr>
      <xdr:style>
        <a:lnRef idx="2">
          <a:schemeClr val="accent1"/>
        </a:lnRef>
        <a:fillRef idx="1">
          <a:schemeClr val="accent1"/>
        </a:fillRef>
        <a:effectRef idx="0">
          <a:schemeClr val="accent1"/>
        </a:effectRef>
        <a:fontRef idx="minor">
          <a:schemeClr val="bg1"/>
        </a:fontRef>
      </xdr:style>
      <xdr:txBody>
        <a:bodyPr spcFirstLastPara="1" vert="horz" wrap="square" lIns="91425" tIns="45700" rIns="91425" bIns="45700" anchor="t" anchorCtr="0">
          <a:noAutofit/>
        </a:bodyPr>
        <a:lstStyle/>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安全性分析</a:t>
          </a:r>
          <a:endParaRPr sz="1400"/>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１．自己資本比率</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自己資本比率とは、会社の総資本に占める自己資本の割合。</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自己資本比率が高いほど他人資本（負債）が少ないため、資金の調達が、返済の期限のない資金で行われているため、健全な経営である。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自己資本比率の分母は、総資本です。負債側から見ると、借入が増えれば総資本は増え、水ぶくれします。分子の自己資本を増やすためには、増資という手段以外には、利益をたくさん出していくこと以外にありません。</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自己資本比率は、25％以上を目指したいところ。</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2．ギアリング比率（レバレッジ比率、負債比率）</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ギアリング比率とは、自己資本に対する負債の割合。</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自己資本に対し、何倍の他人資本を使用しているかを示す比率で、レバレッジ比率ともいわれます。</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この比率が高い場合、レバレッジを使って、ある意味自己資本を効率よく運用しているとも言えますが、レバレッジが高いということは、先物取引のようにリスクと隣り合わせと言える。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きちんと金利以上の収益性があれば自己資本の何倍もの利益が得られる反面、金利以下の収益性、場合によっては赤字の補填である場合、新たな借入れをしなければ金利を支払えないという自転車操業となっているわけです。</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きちんと金利というものを認識して、それ以上の利益をあげて初めて経営といえる。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ギアリング比率は、150％以内に抑えたい。</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3．固定長期適合率</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固定長期適合率とは、自己資本と固定負債（主に長期借入金）の合計に対する固定資産の割合。</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ちなみに、固定負債に対する固定負債の割合を固定比率といいますが、日本の場合、間接金融への依存度が高いため100％を超えることが多くなりがち。</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したがって、より日本の実情に即した財務分析として、固定長期適合率が使われることが適当であると考えられている。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固定長期適合率が100％を超えていると、短期資金が固定資産への投資に使われていることとなり、バランスが崩れています。長めの資金に切り替えるなど対策をとる。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固定長期適合率は、60％以内に抑えたい。</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4．流動比率</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流動比率とは、流動負債に対する流動資産の割合。</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流動比率が100％割っているということは、新たな借入れをしなければ、1年以内に支払不能となることを意味している。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また、この比率が悪い場合には、流動負債で固定資産を補っているケースが多いので、長めの資金に切り替えるなど対策をとる。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短期を長期の借入に切り替えていくと、月々の返済金額が減り、資金繰りが楽になるため、ずさんな経営になり易くなる。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また、流動比率の改善は、短期資金の借り増しというケースも多く見受けられる。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そうすると、自己資本比率やギアリング比率の悪化に繋がってくる。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流動比率は、140％以上を目指したい。</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収益性分析</a:t>
          </a:r>
          <a:endParaRPr sz="1400"/>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1．売上高経常利益率</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売上高経常利益率とは、売上に対してどれだけ経常利益をあげているかを表す指標。</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経常利益は、企業の営業活動だけでなく、財務活動も含めた利益をいう・</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営業外活動や財務活動で、営業利益より経常利益が大幅に増えている企業も考えものですが、借入金依存型の企業は、支払利息などで利益を圧迫されるケースが多くなる。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売上高経常利益率を上げるためには、要は利益率をよくすることです。売上の伸び以上に利益を伸ばす。売上が伸びても、それ以上に経費が増えていたら売上高経常利益率は悪くなる。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売上高経常利益率は、業種にもよりますが、一般的に4％以上を目指したい。</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2．総資本経常利益率</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総資本経常利益率とは、総資本に対する経常利益の割合を示す指標。</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企業が投下した資本に対して、どれだけの利益を生み出したかを測定するもので、ROAとも呼ばれています。マーケットで企業の収益性を判定するのによく使われる指標でもある。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業種や会社の規模によって差が出やすい指標ですが、最低限、銀行の定期預金より高くなければ、何もしないで銀行に預けていたほうがマシといえる。</a:t>
          </a:r>
          <a:endParaRPr sz="1400"/>
        </a:p>
        <a:p>
          <a:pPr marL="0" lvl="0" indent="0" algn="l" rtl="0">
            <a:spcBef>
              <a:spcPts val="0"/>
            </a:spcBef>
            <a:spcAft>
              <a:spcPts val="0"/>
            </a:spcAft>
            <a:buNone/>
            <a:defRPr sz="1100" b="1" i="0">
              <a:solidFill>
                <a:schemeClr val="tx1"/>
              </a:solidFill>
              <a:latin typeface="Calibri" panose="020F0502020204030204"/>
            </a:defRPr>
          </a:pPr>
          <a:r>
            <a:rPr sz="1100" b="0" i="0">
              <a:solidFill>
                <a:schemeClr val="tx1"/>
              </a:solidFill>
              <a:latin typeface="Calibri" panose="020F0502020204030204"/>
            </a:rPr>
            <a:t>総資本経常利益率は、総資本回転率（売上高/総資本）と、売上高経常利益率（経常利益/売上高）の２つに分けられる。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総資本回転率とは、総資本を投入することによってどのくらい売上をあげることができたかを見る指標で、1年間の売上高で、資本が何回回収できたかが分かる。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例えば、総資本回転率が2回ならば、約183日で資本が回収できることを意味。</a:t>
          </a:r>
          <a:endParaRPr sz="1400"/>
        </a:p>
        <a:p>
          <a:pPr marL="0" lvl="0" indent="0" algn="l" rtl="0">
            <a:spcBef>
              <a:spcPts val="0"/>
            </a:spcBef>
            <a:spcAft>
              <a:spcPts val="0"/>
            </a:spcAft>
            <a:buNone/>
            <a:defRPr sz="1100" b="1" i="0">
              <a:solidFill>
                <a:schemeClr val="tx1"/>
              </a:solidFill>
              <a:latin typeface="Calibri" panose="020F0502020204030204"/>
            </a:defRPr>
          </a:pPr>
          <a:r>
            <a:rPr sz="1100" b="0" i="0">
              <a:solidFill>
                <a:schemeClr val="tx1"/>
              </a:solidFill>
              <a:latin typeface="Calibri" panose="020F0502020204030204"/>
            </a:rPr>
            <a:t>一般には、回転率と利益率は、反比例の関係があります、回転率の高い業種、商品は利益率が低く、利益率の高いものは回転率が低くなる傾向がある。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総資本を売上高の増加より抑えつつ、利益を上げれば、総資本経常利益率は上がるわけですから、まずは、総資産をスリム化することを意識する。</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総資本経常利益率は、一般的に3％以上を目指したい。</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3．収益フロー</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0" i="0">
              <a:solidFill>
                <a:schemeClr val="tx1"/>
              </a:solidFill>
              <a:latin typeface="Calibri" panose="020F0502020204030204"/>
            </a:rPr>
            <a:t>黒字経営が続けば、それを評価する項目も存在します。３期連続黒字を目指したいところ。</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成長性分析</a:t>
          </a:r>
          <a:endParaRPr sz="1400"/>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1．経常利益増加率</a:t>
          </a:r>
          <a:br>
            <a:rPr lang="en-US" sz="1100" b="1"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前期と今期の経常利益を比較して、成長性のうち規模の拡大を測定するための指標。</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利益にはいろいろな段階がありますが、間接金融の比率が多い日本では、財務活動も合わせた経常利益が最も代表的な利益とされています。</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経常利益増加率は、30％以上あるとベストです。ただし、利益を増やし続けなければならない項目ですので、年度によってブレやすい指標でもあります。</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2．自己資本額</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企業の規模が大きい方が有利な項目ですので、債務超過でなければ、あとは地道に規模を大きくしていく項目。</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3．売上高</a:t>
          </a:r>
          <a:br>
            <a:rPr lang="en-US" sz="1100" b="1"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自己資本額ほどではありませんが、これも企業の規模が大きい方が有利な項目です。地道に規模を大きくしていく項目。</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返済能力</a:t>
          </a:r>
          <a:endParaRPr sz="1400"/>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1．債務償還年数</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債務償還年数とは、有利子負債（割引手形除く）を、キャッシュフローで割り、返済するまで何年かかるかを測る指標。</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キャッシュフローは、ここでは減価償却費と税引き後利益の合計となります。これが返済原資ですので、あまり長い年数となり過ぎますと、返済能力に不安があることとなります。債務償還年数は、7年以内あたりを目標とする。</a:t>
          </a:r>
          <a:endParaRPr lang="en-US"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0" i="0">
              <a:solidFill>
                <a:schemeClr val="tx1"/>
              </a:solidFill>
              <a:latin typeface="Calibri" panose="020F0502020204030204"/>
            </a:rPr>
            <a:t>事業者に優しく計算する場合、有利子負債-運転資金（現預金）-売掛金（工事未収金含む）÷経常利益＋減価償却費－法人税等で計算します。スコアは出ませんが融資に影響する内容となります。</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2．インタレスト・カバレッジ・レシオ</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インタレスト・カバレッジ・レシオとは、営業利益と受取利息の合計が、支払利息・割引料の何倍あるかと示すもので、企業の利息支払能力を測る指標。</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この数値が小さいと、利益から利息も満足に支払えない状況と言えます。インタレスト・カバレッジ・レシオは、５倍以内を３５目指したいところ。</a:t>
          </a: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endParaRPr sz="1100" b="0" i="0">
            <a:solidFill>
              <a:schemeClr val="dk1"/>
            </a:solidFill>
            <a:latin typeface="Calibri" panose="020F0502020204030204"/>
            <a:ea typeface="Calibri" panose="020F0502020204030204"/>
            <a:cs typeface="Calibri" panose="020F0502020204030204"/>
            <a:sym typeface="Calibri" panose="020F0502020204030204"/>
          </a:endParaRPr>
        </a:p>
        <a:p>
          <a:pPr marL="0" lvl="0" indent="0" algn="l" rtl="0">
            <a:spcBef>
              <a:spcPts val="0"/>
            </a:spcBef>
            <a:spcAft>
              <a:spcPts val="0"/>
            </a:spcAft>
            <a:buNone/>
            <a:defRPr sz="1100" b="1" i="0">
              <a:solidFill>
                <a:schemeClr val="tx1"/>
              </a:solidFill>
              <a:latin typeface="Calibri" panose="020F0502020204030204"/>
            </a:defRPr>
          </a:pPr>
          <a:r>
            <a:rPr sz="1100" b="1" i="0">
              <a:solidFill>
                <a:schemeClr val="tx1"/>
              </a:solidFill>
              <a:latin typeface="Calibri" panose="020F0502020204030204"/>
            </a:rPr>
            <a:t>3．キャッシュフロー額</a:t>
          </a:r>
          <a:br>
            <a:rPr lang="en-US" sz="1100" b="1"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ここで使うキャッシュフローも、ここでは減価償却費と営業利益の合計となります。</a:t>
          </a:r>
          <a:br>
            <a:rPr lang="en-US" sz="1100" b="0" i="0">
              <a:solidFill>
                <a:schemeClr val="dk1"/>
              </a:solidFill>
              <a:latin typeface="Calibri" panose="020F0502020204030204"/>
              <a:ea typeface="Calibri" panose="020F0502020204030204"/>
              <a:cs typeface="Calibri" panose="020F0502020204030204"/>
              <a:sym typeface="Calibri" panose="020F0502020204030204"/>
            </a:rPr>
          </a:br>
          <a:r>
            <a:rPr sz="1100" b="0" i="0">
              <a:solidFill>
                <a:schemeClr val="tx1"/>
              </a:solidFill>
              <a:latin typeface="Calibri" panose="020F0502020204030204"/>
            </a:rPr>
            <a:t>ただし、企業の規模が大きい方が有利な項目ですので、マイナスは論外としても、地道に規模を大きくして、たくさん利益を出せるようにしていく項目。</a:t>
          </a:r>
          <a:endParaRPr sz="1400"/>
        </a:p>
        <a:p>
          <a:pPr marL="0" lvl="0" indent="0" algn="l" rtl="0">
            <a:spcBef>
              <a:spcPts val="0"/>
            </a:spcBef>
            <a:spcAft>
              <a:spcPts val="0"/>
            </a:spcAft>
            <a:buNone/>
            <a:defRPr sz="1100" b="1" i="0">
              <a:solidFill>
                <a:schemeClr val="tx1"/>
              </a:solidFill>
              <a:latin typeface="Calibri" panose="020F0502020204030204"/>
            </a:defRPr>
          </a:pPr>
          <a:endParaRPr sz="1100"/>
        </a:p>
      </xdr:txBody>
    </xdr:sp>
    <xdr:clientData fLocksWithSheet="0"/>
  </xdr:twoCellAnchor>
</xdr:wsDr>
</file>

<file path=xl/theme/theme1.xml><?xml version="1.0" encoding="utf-8"?>
<a:theme xmlns:a="http://schemas.openxmlformats.org/drawingml/2006/main" name="Sheets">
  <a:themeElements>
    <a:clrScheme name="Sheets">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
      </a:majorFont>
      <a:minorFont>
        <a:latin typeface="Calibri"/>
        <a:ea typeface="Calibr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999"/>
  <sheetViews>
    <sheetView workbookViewId="0">
      <selection activeCell="G20" sqref="G20"/>
    </sheetView>
  </sheetViews>
  <sheetFormatPr defaultColWidth="12.6666666666667" defaultRowHeight="15" customHeight="1" outlineLevelCol="6"/>
  <cols>
    <col min="1" max="1" width="2.33333333333333" customWidth="1"/>
    <col min="2" max="2" width="23.9916666666667" customWidth="1"/>
    <col min="3" max="3" width="35.6666666666667" customWidth="1"/>
    <col min="4" max="4" width="2.99166666666667" customWidth="1"/>
    <col min="5" max="5" width="36.5583333333333" customWidth="1"/>
    <col min="6" max="6" width="7.66666666666667" customWidth="1"/>
  </cols>
  <sheetData>
    <row r="1" ht="33.75" customHeight="1" spans="2:6">
      <c r="B1" s="73" t="s">
        <v>0</v>
      </c>
      <c r="C1" s="74"/>
      <c r="D1" s="75" t="s">
        <v>1</v>
      </c>
      <c r="E1" s="76"/>
      <c r="F1" s="77"/>
    </row>
    <row r="2" ht="28.5" customHeight="1" spans="2:7">
      <c r="B2" s="74"/>
      <c r="C2" s="78" t="s">
        <v>2</v>
      </c>
      <c r="D2" s="77"/>
      <c r="E2" s="74"/>
      <c r="F2" s="77"/>
      <c r="G2" s="31"/>
    </row>
    <row r="3" ht="13.5" customHeight="1" spans="2:6">
      <c r="B3" s="36"/>
      <c r="C3" s="37" t="s">
        <v>3</v>
      </c>
      <c r="D3" s="37"/>
      <c r="E3" s="37" t="s">
        <v>4</v>
      </c>
      <c r="F3" s="79"/>
    </row>
    <row r="4" ht="24" customHeight="1" spans="2:6">
      <c r="B4" s="80" t="s">
        <v>5</v>
      </c>
      <c r="C4" s="81"/>
      <c r="D4" s="82" t="s">
        <v>6</v>
      </c>
      <c r="E4" s="81"/>
      <c r="F4" s="25" t="s">
        <v>7</v>
      </c>
    </row>
    <row r="5" ht="13.5" customHeight="1" spans="2:6">
      <c r="B5" s="5"/>
      <c r="C5" s="83" t="s">
        <v>8</v>
      </c>
      <c r="D5" s="84"/>
      <c r="E5" s="83" t="s">
        <v>3</v>
      </c>
      <c r="F5" s="85"/>
    </row>
    <row r="6" ht="24" customHeight="1" spans="2:6">
      <c r="B6" s="80" t="s">
        <v>9</v>
      </c>
      <c r="C6" s="81"/>
      <c r="D6" s="82" t="s">
        <v>6</v>
      </c>
      <c r="E6" s="81"/>
      <c r="F6" s="25" t="s">
        <v>7</v>
      </c>
    </row>
    <row r="7" ht="13.5" customHeight="1" spans="2:6">
      <c r="B7" s="5"/>
      <c r="C7" s="83" t="s">
        <v>10</v>
      </c>
      <c r="D7" s="84"/>
      <c r="E7" s="83" t="s">
        <v>11</v>
      </c>
      <c r="F7" s="85"/>
    </row>
    <row r="8" ht="24" customHeight="1" spans="2:6">
      <c r="B8" s="80" t="s">
        <v>12</v>
      </c>
      <c r="C8" s="81"/>
      <c r="D8" s="82" t="s">
        <v>6</v>
      </c>
      <c r="E8" s="81"/>
      <c r="F8" s="25" t="s">
        <v>7</v>
      </c>
    </row>
    <row r="9" ht="13.5" customHeight="1" spans="2:6">
      <c r="B9" s="5"/>
      <c r="C9" s="83" t="s">
        <v>13</v>
      </c>
      <c r="D9" s="84"/>
      <c r="E9" s="83" t="s">
        <v>14</v>
      </c>
      <c r="F9" s="85"/>
    </row>
    <row r="10" ht="24" customHeight="1" spans="2:6">
      <c r="B10" s="80" t="s">
        <v>15</v>
      </c>
      <c r="C10" s="81"/>
      <c r="D10" s="82" t="s">
        <v>6</v>
      </c>
      <c r="E10" s="81"/>
      <c r="F10" s="25" t="s">
        <v>7</v>
      </c>
    </row>
    <row r="11" ht="13.5" customHeight="1" spans="2:6">
      <c r="B11" s="5"/>
      <c r="C11" s="83" t="s">
        <v>16</v>
      </c>
      <c r="D11" s="84"/>
      <c r="E11" s="83" t="s">
        <v>17</v>
      </c>
      <c r="F11" s="85"/>
    </row>
    <row r="12" ht="24" customHeight="1" spans="2:6">
      <c r="B12" s="80" t="s">
        <v>18</v>
      </c>
      <c r="C12" s="81"/>
      <c r="D12" s="82" t="s">
        <v>6</v>
      </c>
      <c r="E12" s="81"/>
      <c r="F12" s="25" t="s">
        <v>7</v>
      </c>
    </row>
    <row r="13" ht="13.5" customHeight="1" spans="2:6">
      <c r="B13" s="5"/>
      <c r="C13" s="83" t="s">
        <v>16</v>
      </c>
      <c r="D13" s="84"/>
      <c r="E13" s="83" t="s">
        <v>4</v>
      </c>
      <c r="F13" s="85"/>
    </row>
    <row r="14" ht="24" customHeight="1" spans="2:6">
      <c r="B14" s="80" t="s">
        <v>19</v>
      </c>
      <c r="C14" s="81"/>
      <c r="D14" s="82" t="s">
        <v>6</v>
      </c>
      <c r="E14" s="81"/>
      <c r="F14" s="25" t="s">
        <v>7</v>
      </c>
    </row>
    <row r="15" ht="13.5" customHeight="1" spans="2:6">
      <c r="B15" s="5"/>
      <c r="C15" s="83" t="s">
        <v>20</v>
      </c>
      <c r="D15" s="84"/>
      <c r="E15" s="83" t="s">
        <v>21</v>
      </c>
      <c r="F15" s="85"/>
    </row>
    <row r="16" ht="24" customHeight="1" spans="2:6">
      <c r="B16" s="80" t="s">
        <v>22</v>
      </c>
      <c r="C16" s="81"/>
      <c r="D16" s="82" t="s">
        <v>6</v>
      </c>
      <c r="E16" s="81"/>
      <c r="F16" s="25" t="s">
        <v>7</v>
      </c>
    </row>
    <row r="17" ht="13.5" customHeight="1" spans="2:6">
      <c r="B17" s="5"/>
      <c r="C17" s="83" t="s">
        <v>8</v>
      </c>
      <c r="D17" s="84"/>
      <c r="E17" s="83" t="s">
        <v>23</v>
      </c>
      <c r="F17" s="85"/>
    </row>
    <row r="18" ht="24" customHeight="1" spans="2:6">
      <c r="B18" s="80" t="s">
        <v>24</v>
      </c>
      <c r="C18" s="81"/>
      <c r="D18" s="82" t="s">
        <v>6</v>
      </c>
      <c r="E18" s="81"/>
      <c r="F18" s="25" t="s">
        <v>7</v>
      </c>
    </row>
    <row r="19" ht="13.5" customHeight="1" spans="2:6">
      <c r="B19" s="5"/>
      <c r="C19" s="83" t="s">
        <v>25</v>
      </c>
      <c r="D19" s="84"/>
      <c r="E19" s="83" t="s">
        <v>26</v>
      </c>
      <c r="F19" s="85"/>
    </row>
    <row r="20" ht="24" customHeight="1" spans="2:6">
      <c r="B20" s="80" t="s">
        <v>27</v>
      </c>
      <c r="C20" s="81"/>
      <c r="D20" s="82" t="s">
        <v>6</v>
      </c>
      <c r="E20" s="81"/>
      <c r="F20" s="25" t="s">
        <v>7</v>
      </c>
    </row>
    <row r="21" ht="13.5" customHeight="1" spans="2:6">
      <c r="B21" s="5"/>
      <c r="C21" s="83" t="s">
        <v>28</v>
      </c>
      <c r="D21" s="84"/>
      <c r="E21" s="83"/>
      <c r="F21" s="85"/>
    </row>
    <row r="22" ht="24" customHeight="1" spans="2:6">
      <c r="B22" s="86" t="s">
        <v>29</v>
      </c>
      <c r="C22" s="87"/>
      <c r="D22" s="88"/>
      <c r="E22" s="88"/>
      <c r="F22" s="30"/>
    </row>
    <row r="23" ht="13.5" customHeight="1" spans="2:6">
      <c r="B23" s="89" t="s">
        <v>30</v>
      </c>
      <c r="C23" s="90" t="s">
        <v>31</v>
      </c>
      <c r="D23" s="91"/>
      <c r="E23" s="90" t="s">
        <v>23</v>
      </c>
      <c r="F23" s="92"/>
    </row>
    <row r="24" ht="31.5" customHeight="1" spans="2:6">
      <c r="B24" s="93" t="s">
        <v>32</v>
      </c>
      <c r="C24" s="94"/>
      <c r="D24" s="91" t="s">
        <v>6</v>
      </c>
      <c r="E24" s="94"/>
      <c r="F24" s="92" t="s">
        <v>7</v>
      </c>
    </row>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sheetProtection algorithmName="SHA-512" hashValue="nFtisrnDXmReVbf7qQhJvy/j56I/Oc2H+SQc6dZxfYlNNTLy4J3O6/N/HTWiehW+Z24ZzEcwtfArk3zKcEKpXA==" saltValue="w9oFfcUr9hacnf+936QF5g==" spinCount="100000" sheet="1" objects="1"/>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0"/>
  <sheetViews>
    <sheetView zoomScale="90" zoomScaleNormal="90" workbookViewId="0">
      <selection activeCell="U29" sqref="$A1:$XFD1048576"/>
    </sheetView>
  </sheetViews>
  <sheetFormatPr defaultColWidth="12.6666666666667" defaultRowHeight="15" customHeight="1"/>
  <cols>
    <col min="1" max="1" width="3.11666666666667" customWidth="1"/>
    <col min="2" max="2" width="27.4416666666667" customWidth="1"/>
    <col min="3" max="3" width="13.9916666666667" customWidth="1"/>
    <col min="4" max="4" width="3.88333333333333" customWidth="1"/>
    <col min="5" max="5" width="7.66666666666667" customWidth="1"/>
    <col min="6" max="6" width="2.775" customWidth="1"/>
    <col min="7" max="8" width="7.66666666666667" customWidth="1"/>
    <col min="9" max="9" width="11.3333333333333" customWidth="1"/>
    <col min="10" max="10" width="11.775" customWidth="1"/>
    <col min="11" max="11" width="7.66666666666667" customWidth="1"/>
  </cols>
  <sheetData>
    <row r="1" customHeight="1" spans="3:4">
      <c r="C1" s="35"/>
      <c r="D1" s="2"/>
    </row>
    <row r="2" ht="13.5" customHeight="1" spans="2:15">
      <c r="B2">
        <f>入力データ!C1</f>
        <v>0</v>
      </c>
      <c r="C2" s="35"/>
      <c r="D2" s="2"/>
      <c r="O2" s="31"/>
    </row>
    <row r="3" customHeight="1" spans="3:4">
      <c r="C3" s="35"/>
      <c r="D3" s="2"/>
    </row>
    <row r="4" ht="13.5" customHeight="1" spans="1:7">
      <c r="A4" s="36"/>
      <c r="B4" s="37"/>
      <c r="C4" s="38" t="s">
        <v>33</v>
      </c>
      <c r="D4" s="39" t="s">
        <v>34</v>
      </c>
      <c r="E4" s="39" t="s">
        <v>35</v>
      </c>
      <c r="F4" s="39"/>
      <c r="G4" s="40" t="s">
        <v>36</v>
      </c>
    </row>
    <row r="5" ht="13.5" customHeight="1" spans="1:7">
      <c r="A5" s="5">
        <v>1</v>
      </c>
      <c r="B5" s="41" t="s">
        <v>37</v>
      </c>
      <c r="C5" s="42" t="s">
        <v>38</v>
      </c>
      <c r="D5" s="43"/>
      <c r="E5" s="44"/>
      <c r="F5" s="7"/>
      <c r="G5" s="25"/>
    </row>
    <row r="6" ht="13.5" customHeight="1" spans="1:7">
      <c r="A6" s="5"/>
      <c r="B6" s="45" t="s">
        <v>5</v>
      </c>
      <c r="C6" s="46" t="e">
        <f>入力データ!C4/入力データ!E4*100</f>
        <v>#DIV/0!</v>
      </c>
      <c r="D6" s="43" t="s">
        <v>39</v>
      </c>
      <c r="E6" s="44" t="e">
        <f>_xlfn.IFS(C6&gt;=60,10,C6&gt;=50,9,C6&gt;=40,8,C6&gt;=35,7,C6&gt;=30,6,C6&gt;=25,5,C6&gt;=20,3,C6&gt;=15,1,TRUE,0)</f>
        <v>#DIV/0!</v>
      </c>
      <c r="F6" s="7"/>
      <c r="G6" s="25"/>
    </row>
    <row r="7" ht="13.5" customHeight="1" spans="1:7">
      <c r="A7" s="5"/>
      <c r="B7" s="45" t="s">
        <v>9</v>
      </c>
      <c r="C7" s="46" t="e">
        <f>入力データ!C6/入力データ!E6*100</f>
        <v>#DIV/0!</v>
      </c>
      <c r="D7" s="43" t="s">
        <v>39</v>
      </c>
      <c r="E7" s="44" t="e">
        <f>_xlfn.IFS(C7&lt;=50,10,C7&lt;=100,8,C7&lt;=150,6,C7&lt;=200,4,C7&lt;=250,2,TRUE,0)</f>
        <v>#DIV/0!</v>
      </c>
      <c r="F7" s="7"/>
      <c r="G7" s="25"/>
    </row>
    <row r="8" ht="13.5" customHeight="1" spans="1:7">
      <c r="A8" s="5"/>
      <c r="B8" s="45" t="s">
        <v>12</v>
      </c>
      <c r="C8" s="46" t="e">
        <f>入力データ!C8/入力データ!E8*100</f>
        <v>#DIV/0!</v>
      </c>
      <c r="D8" s="43" t="s">
        <v>39</v>
      </c>
      <c r="E8" s="44" t="e">
        <f>_xlfn.IFS(C8&lt;=50,7,C8&lt;=60,5,C8&lt;=80,3,C8&lt;=100,1,TRUE,0)</f>
        <v>#DIV/0!</v>
      </c>
      <c r="F8" s="7"/>
      <c r="G8" s="25"/>
    </row>
    <row r="9" ht="13.5" customHeight="1" spans="1:10">
      <c r="A9" s="5"/>
      <c r="B9" s="45" t="s">
        <v>15</v>
      </c>
      <c r="C9" s="46" t="e">
        <f>入力データ!C10/入力データ!E10*100</f>
        <v>#DIV/0!</v>
      </c>
      <c r="D9" s="43" t="s">
        <v>39</v>
      </c>
      <c r="E9" s="44" t="e">
        <f>_xlfn.IFS(C9&gt;=160,7,C9&gt;=140,5,C9&gt;=120,3,C9&gt;=100,1,TRUE,0)</f>
        <v>#DIV/0!</v>
      </c>
      <c r="F9" s="7"/>
      <c r="G9" s="25"/>
      <c r="I9" s="62"/>
      <c r="J9" s="63"/>
    </row>
    <row r="10" customHeight="1" spans="1:10">
      <c r="A10" s="5"/>
      <c r="B10" s="45"/>
      <c r="C10" s="46"/>
      <c r="D10" s="43"/>
      <c r="E10" s="44"/>
      <c r="F10" s="7"/>
      <c r="G10" s="25"/>
      <c r="I10" s="62"/>
      <c r="J10" s="62"/>
    </row>
    <row r="11" ht="13.5" customHeight="1" spans="1:10">
      <c r="A11" s="5">
        <v>2</v>
      </c>
      <c r="B11" s="41" t="s">
        <v>40</v>
      </c>
      <c r="C11" s="46"/>
      <c r="D11" s="43"/>
      <c r="E11" s="44"/>
      <c r="F11" s="7"/>
      <c r="G11" s="25"/>
      <c r="I11" s="62"/>
      <c r="J11" s="62"/>
    </row>
    <row r="12" ht="13.5" customHeight="1" spans="1:10">
      <c r="A12" s="5"/>
      <c r="B12" s="45" t="s">
        <v>18</v>
      </c>
      <c r="C12" s="46" t="e">
        <f>入力データ!C12/入力データ!E12*100</f>
        <v>#DIV/0!</v>
      </c>
      <c r="D12" s="43" t="s">
        <v>39</v>
      </c>
      <c r="E12" s="44" t="e">
        <f>_xlfn.IFS(C12&lt;0,0,C12&gt;=4,5,C12&gt;=3,4,C12&gt;=2,3,C12&gt;=1,2,TRUE,1)</f>
        <v>#DIV/0!</v>
      </c>
      <c r="F12" s="7"/>
      <c r="G12" s="25"/>
      <c r="I12" s="64"/>
      <c r="J12" s="64"/>
    </row>
    <row r="13" ht="13.5" customHeight="1" spans="1:10">
      <c r="A13" s="5"/>
      <c r="B13" s="45" t="s">
        <v>41</v>
      </c>
      <c r="C13" s="46" t="e">
        <f>入力データ!C14/入力データ!E14*100</f>
        <v>#DIV/0!</v>
      </c>
      <c r="D13" s="43" t="s">
        <v>39</v>
      </c>
      <c r="E13" s="44" t="e">
        <f>_xlfn.IFS(C13&lt;0,0,C13&gt;=3,5,C13&gt;=1,3,TRUE,1)</f>
        <v>#DIV/0!</v>
      </c>
      <c r="F13" s="7"/>
      <c r="G13" s="25"/>
      <c r="I13" s="65" t="s">
        <v>42</v>
      </c>
      <c r="J13" s="24" t="s">
        <v>43</v>
      </c>
    </row>
    <row r="14" ht="13.5" customHeight="1" spans="1:11">
      <c r="A14" s="5"/>
      <c r="B14" s="45" t="s">
        <v>44</v>
      </c>
      <c r="C14" s="47" t="s">
        <v>45</v>
      </c>
      <c r="D14" s="43"/>
      <c r="E14" s="44">
        <f>_xlfn.IFS(C14="3期連続黒字",5,C14="2期連続黒字",3,TRUE,0)</f>
        <v>5</v>
      </c>
      <c r="F14" s="7"/>
      <c r="G14" s="25"/>
      <c r="I14" s="66" t="s">
        <v>46</v>
      </c>
      <c r="J14" s="67">
        <v>1</v>
      </c>
      <c r="K14" s="31" t="s">
        <v>47</v>
      </c>
    </row>
    <row r="15" ht="13.5" customHeight="1" spans="1:11">
      <c r="A15" s="5"/>
      <c r="B15" s="45"/>
      <c r="C15" s="46"/>
      <c r="D15" s="43"/>
      <c r="E15" s="44"/>
      <c r="F15" s="7"/>
      <c r="G15" s="25"/>
      <c r="I15" s="66" t="s">
        <v>48</v>
      </c>
      <c r="J15" s="67">
        <v>2</v>
      </c>
      <c r="K15" s="31" t="s">
        <v>49</v>
      </c>
    </row>
    <row r="16" ht="13.5" customHeight="1" spans="1:11">
      <c r="A16" s="5">
        <v>3</v>
      </c>
      <c r="B16" s="41" t="s">
        <v>50</v>
      </c>
      <c r="C16" s="46"/>
      <c r="D16" s="43"/>
      <c r="E16" s="44"/>
      <c r="F16" s="7"/>
      <c r="G16" s="25"/>
      <c r="I16" s="66" t="s">
        <v>51</v>
      </c>
      <c r="J16" s="67">
        <v>3</v>
      </c>
      <c r="K16" s="31" t="s">
        <v>52</v>
      </c>
    </row>
    <row r="17" ht="13.5" customHeight="1" spans="1:11">
      <c r="A17" s="5"/>
      <c r="B17" s="45" t="s">
        <v>22</v>
      </c>
      <c r="C17" s="46" t="e">
        <f>入力データ!C16/入力データ!E16*100</f>
        <v>#DIV/0!</v>
      </c>
      <c r="D17" s="43" t="s">
        <v>39</v>
      </c>
      <c r="E17" s="44" t="e">
        <f>_xlfn.IFS(C17&gt;=30,5,C17&gt;=20,4,C17&gt;=15,3,C17&gt;=10,2,C17&gt;=5,1,TRUE,0)</f>
        <v>#DIV/0!</v>
      </c>
      <c r="F17" s="7"/>
      <c r="G17" s="25"/>
      <c r="I17" s="66" t="s">
        <v>53</v>
      </c>
      <c r="J17" s="67">
        <v>4</v>
      </c>
      <c r="K17" s="31" t="s">
        <v>54</v>
      </c>
    </row>
    <row r="18" ht="13.5" customHeight="1" spans="1:11">
      <c r="A18" s="5"/>
      <c r="B18" s="45" t="s">
        <v>55</v>
      </c>
      <c r="C18" s="46"/>
      <c r="D18" s="43"/>
      <c r="E18" s="44">
        <f>IF(C18="",0,_xlfn.IFS(C18&lt;0,0,C18&gt;10000000000,15,C18&gt;7000000000,12,C18&gt;5000000000,10,C18&gt;3000000000,8,C18&gt;1000000000,7,C18&gt;700000000,6,C18&gt;500000000,5,C18&gt;300000000,4,C18&gt;100000000,3,C18&gt;50000000,2,TRUE,1))</f>
        <v>0</v>
      </c>
      <c r="F18" s="7"/>
      <c r="G18" s="25"/>
      <c r="I18" s="66" t="s">
        <v>56</v>
      </c>
      <c r="J18" s="67">
        <v>5</v>
      </c>
      <c r="K18" s="31" t="s">
        <v>57</v>
      </c>
    </row>
    <row r="19" ht="13.5" customHeight="1" spans="1:11">
      <c r="A19" s="5"/>
      <c r="B19" s="45" t="s">
        <v>58</v>
      </c>
      <c r="C19" s="46"/>
      <c r="D19" s="43"/>
      <c r="E19" s="44">
        <f>IF(C19="",0,_xlfn.IFS(C19&gt;=100000000000,15,C19&gt;=10000000000,10,C19&gt;=5000000000,7,C19&gt;=3000000000,5,C19&gt;=1000000000,3,C19&gt;=500000000,2,C19&gt;=100000000,1,TRUE,0))</f>
        <v>0</v>
      </c>
      <c r="F19" s="7"/>
      <c r="G19" s="25"/>
      <c r="I19" s="66" t="s">
        <v>59</v>
      </c>
      <c r="J19" s="67">
        <v>6</v>
      </c>
      <c r="K19" s="31" t="s">
        <v>60</v>
      </c>
    </row>
    <row r="20" ht="13.5" customHeight="1" spans="1:11">
      <c r="A20" s="5"/>
      <c r="B20" s="45"/>
      <c r="C20" s="46"/>
      <c r="D20" s="43"/>
      <c r="E20" s="44"/>
      <c r="F20" s="7"/>
      <c r="G20" s="25"/>
      <c r="I20" s="66" t="s">
        <v>61</v>
      </c>
      <c r="J20" s="67">
        <v>7</v>
      </c>
      <c r="K20" s="31" t="s">
        <v>62</v>
      </c>
    </row>
    <row r="21" ht="13.5" customHeight="1" spans="1:10">
      <c r="A21" s="5">
        <v>4</v>
      </c>
      <c r="B21" s="41" t="s">
        <v>63</v>
      </c>
      <c r="C21" s="46"/>
      <c r="D21" s="43"/>
      <c r="E21" s="44"/>
      <c r="F21" s="7"/>
      <c r="G21" s="25"/>
      <c r="I21" s="66" t="s">
        <v>64</v>
      </c>
      <c r="J21" s="67">
        <v>8</v>
      </c>
    </row>
    <row r="22" ht="13.5" customHeight="1" spans="1:10">
      <c r="A22" s="5"/>
      <c r="B22" s="45" t="s">
        <v>24</v>
      </c>
      <c r="C22" s="46" t="e">
        <f>入力データ!C18/入力データ!E18</f>
        <v>#DIV/0!</v>
      </c>
      <c r="D22" s="43" t="s">
        <v>65</v>
      </c>
      <c r="E22" s="44" t="e">
        <f>_xlfn.IFS(C22&lt;0,0,C22&lt;=1,20,C22&lt;=3,17,C22&lt;=5,14,C22&lt;=7,11,C22&lt;=9,8,C22&lt;=12,5,C22&lt;=15,3,C22&lt;=20,2,TRUE,1)</f>
        <v>#DIV/0!</v>
      </c>
      <c r="F22" s="7"/>
      <c r="G22" s="25"/>
      <c r="I22" s="66" t="s">
        <v>66</v>
      </c>
      <c r="J22" s="67">
        <v>9</v>
      </c>
    </row>
    <row r="23" ht="13.5" customHeight="1" spans="1:10">
      <c r="A23" s="5"/>
      <c r="B23" s="45" t="s">
        <v>27</v>
      </c>
      <c r="C23" s="46" t="e">
        <f>入力データ!C20/入力データ!E20</f>
        <v>#DIV/0!</v>
      </c>
      <c r="D23" s="43" t="s">
        <v>67</v>
      </c>
      <c r="E23" s="44" t="e">
        <f>_xlfn.IFS(C23&lt;1,0,C23&gt;5,15,C23&gt;4,12,C23&gt;3,10,C23&gt;2.5,8,C23&gt;2,7,C23&gt;1.75,6,C23&gt;1.5,4,C23&gt;1.25,3,TRUE,2)</f>
        <v>#DIV/0!</v>
      </c>
      <c r="F23" s="7"/>
      <c r="G23" s="25"/>
      <c r="I23" s="68" t="s">
        <v>68</v>
      </c>
      <c r="J23" s="61">
        <v>10</v>
      </c>
    </row>
    <row r="24" ht="13.5" customHeight="1" spans="1:10">
      <c r="A24" s="5"/>
      <c r="B24" s="45" t="s">
        <v>29</v>
      </c>
      <c r="C24" s="46">
        <f>入力データ!C22</f>
        <v>0</v>
      </c>
      <c r="D24" s="43"/>
      <c r="E24" s="44">
        <f>_xlfn.IFS(C24&lt;0,0,C24&gt;10000000000,20,C24&gt;7000000000,18,C24&gt;5000000000,16,C24&gt;3000000000,14,C24&gt;1000000000,12,C24&gt;700000000,10,C24&gt;500000000,8,C24&gt;300000000,6,C24&gt;100000000,4,TRUE,2)</f>
        <v>2</v>
      </c>
      <c r="F24" s="7"/>
      <c r="G24" s="25"/>
      <c r="I24" s="62"/>
      <c r="J24" s="62"/>
    </row>
    <row r="25" ht="13.5" customHeight="1" spans="1:10">
      <c r="A25" s="5"/>
      <c r="B25" s="45" t="s">
        <v>69</v>
      </c>
      <c r="C25" s="48" t="e">
        <f>MAX(0,入力データ!C24/入力データ!E24)</f>
        <v>#DIV/0!</v>
      </c>
      <c r="D25" s="43" t="s">
        <v>65</v>
      </c>
      <c r="E25" s="44"/>
      <c r="F25" s="7"/>
      <c r="G25" s="25"/>
      <c r="I25" s="69" t="s">
        <v>70</v>
      </c>
      <c r="J25" s="62"/>
    </row>
    <row r="26" ht="13.5" customHeight="1" spans="1:10">
      <c r="A26" s="5"/>
      <c r="B26" s="49" t="s">
        <v>71</v>
      </c>
      <c r="C26" s="50"/>
      <c r="D26" s="51"/>
      <c r="E26" s="49" t="e">
        <f>SUM(E5:E25)</f>
        <v>#DIV/0!</v>
      </c>
      <c r="F26" s="52"/>
      <c r="G26" s="53"/>
      <c r="I26" s="69" t="s">
        <v>72</v>
      </c>
      <c r="J26" s="70" t="e">
        <f>E26</f>
        <v>#DIV/0!</v>
      </c>
    </row>
    <row r="27" ht="13.5" customHeight="1" spans="1:10">
      <c r="A27" s="5"/>
      <c r="B27" s="7"/>
      <c r="C27" s="54"/>
      <c r="D27" s="55"/>
      <c r="E27" s="56" t="s">
        <v>73</v>
      </c>
      <c r="F27" s="7"/>
      <c r="G27" s="25"/>
      <c r="J27" s="62"/>
    </row>
    <row r="28" ht="13.5" customHeight="1" spans="1:7">
      <c r="A28" s="5"/>
      <c r="B28" s="7" t="s">
        <v>74</v>
      </c>
      <c r="C28" s="54"/>
      <c r="D28" s="55"/>
      <c r="E28" s="44"/>
      <c r="F28" s="7"/>
      <c r="G28" s="25"/>
    </row>
    <row r="29" ht="13.5" customHeight="1" spans="1:10">
      <c r="A29" s="5"/>
      <c r="B29" s="7" t="s">
        <v>75</v>
      </c>
      <c r="C29" s="54"/>
      <c r="D29" s="55"/>
      <c r="E29" s="44"/>
      <c r="F29" s="7"/>
      <c r="G29" s="25"/>
      <c r="I29" s="65" t="s">
        <v>42</v>
      </c>
      <c r="J29" s="24" t="s">
        <v>43</v>
      </c>
    </row>
    <row r="30" ht="16.5" customHeight="1" spans="1:11">
      <c r="A30" s="5"/>
      <c r="B30" s="7" t="s">
        <v>76</v>
      </c>
      <c r="C30" s="54"/>
      <c r="D30" s="55"/>
      <c r="E30" s="44"/>
      <c r="F30" s="7"/>
      <c r="G30" s="25"/>
      <c r="I30" s="66" t="s">
        <v>77</v>
      </c>
      <c r="J30" s="67">
        <v>1</v>
      </c>
      <c r="K30" s="26" t="s">
        <v>78</v>
      </c>
    </row>
    <row r="31" ht="16.5" customHeight="1" spans="1:11">
      <c r="A31" s="5"/>
      <c r="B31" s="7" t="s">
        <v>79</v>
      </c>
      <c r="C31" s="54"/>
      <c r="D31" s="55"/>
      <c r="E31" s="44"/>
      <c r="F31" s="7"/>
      <c r="G31" s="25"/>
      <c r="I31" s="66" t="s">
        <v>80</v>
      </c>
      <c r="J31" s="67">
        <v>2</v>
      </c>
      <c r="K31" s="26" t="s">
        <v>81</v>
      </c>
    </row>
    <row r="32" ht="16.5" customHeight="1" spans="1:11">
      <c r="A32" s="5"/>
      <c r="B32" s="7" t="s">
        <v>82</v>
      </c>
      <c r="C32" s="54"/>
      <c r="D32" s="55"/>
      <c r="E32" s="44"/>
      <c r="F32" s="7"/>
      <c r="G32" s="25"/>
      <c r="I32" s="66" t="s">
        <v>83</v>
      </c>
      <c r="J32" s="67">
        <v>3</v>
      </c>
      <c r="K32" s="26" t="s">
        <v>84</v>
      </c>
    </row>
    <row r="33" ht="16.5" customHeight="1" spans="1:11">
      <c r="A33" s="5"/>
      <c r="B33" s="7" t="s">
        <v>85</v>
      </c>
      <c r="C33" s="54"/>
      <c r="D33" s="55"/>
      <c r="E33" s="44"/>
      <c r="F33" s="7"/>
      <c r="G33" s="25"/>
      <c r="I33" s="66" t="s">
        <v>86</v>
      </c>
      <c r="J33" s="67">
        <v>4</v>
      </c>
      <c r="K33" s="26" t="s">
        <v>87</v>
      </c>
    </row>
    <row r="34" ht="16.5" customHeight="1" spans="1:11">
      <c r="A34" s="5"/>
      <c r="B34" s="7" t="s">
        <v>88</v>
      </c>
      <c r="C34" s="54"/>
      <c r="D34" s="55"/>
      <c r="E34" s="44"/>
      <c r="F34" s="7"/>
      <c r="G34" s="25"/>
      <c r="I34" s="66" t="s">
        <v>48</v>
      </c>
      <c r="J34" s="67">
        <v>5</v>
      </c>
      <c r="K34" s="26" t="s">
        <v>89</v>
      </c>
    </row>
    <row r="35" ht="16.5" customHeight="1" spans="1:11">
      <c r="A35" s="5"/>
      <c r="B35" s="7" t="s">
        <v>90</v>
      </c>
      <c r="C35" s="54"/>
      <c r="D35" s="55"/>
      <c r="E35" s="44"/>
      <c r="F35" s="7"/>
      <c r="G35" s="25"/>
      <c r="I35" s="66" t="s">
        <v>53</v>
      </c>
      <c r="J35" s="67">
        <v>6</v>
      </c>
      <c r="K35" s="26" t="s">
        <v>91</v>
      </c>
    </row>
    <row r="36" ht="16.5" customHeight="1" spans="1:11">
      <c r="A36" s="5"/>
      <c r="B36" s="7" t="s">
        <v>92</v>
      </c>
      <c r="C36" s="54"/>
      <c r="D36" s="55"/>
      <c r="E36" s="44"/>
      <c r="F36" s="7"/>
      <c r="G36" s="25"/>
      <c r="I36" s="66" t="s">
        <v>93</v>
      </c>
      <c r="J36" s="67">
        <v>7</v>
      </c>
      <c r="K36" s="26" t="s">
        <v>94</v>
      </c>
    </row>
    <row r="37" ht="16.5" customHeight="1" spans="1:11">
      <c r="A37" s="5"/>
      <c r="B37" s="7" t="s">
        <v>95</v>
      </c>
      <c r="C37" s="54"/>
      <c r="D37" s="55"/>
      <c r="E37" s="44"/>
      <c r="F37" s="7"/>
      <c r="G37" s="25"/>
      <c r="I37" s="66" t="s">
        <v>64</v>
      </c>
      <c r="J37" s="67">
        <v>8</v>
      </c>
      <c r="K37" s="26" t="s">
        <v>96</v>
      </c>
    </row>
    <row r="38" ht="16.5" customHeight="1" spans="1:11">
      <c r="A38" s="5"/>
      <c r="B38" s="7" t="s">
        <v>97</v>
      </c>
      <c r="C38" s="54"/>
      <c r="D38" s="55"/>
      <c r="E38" s="44"/>
      <c r="F38" s="7"/>
      <c r="G38" s="25"/>
      <c r="I38" s="66" t="s">
        <v>66</v>
      </c>
      <c r="J38" s="67">
        <v>9</v>
      </c>
      <c r="K38" s="26" t="s">
        <v>98</v>
      </c>
    </row>
    <row r="39" ht="16.5" customHeight="1" spans="1:11">
      <c r="A39" s="5"/>
      <c r="B39" s="7"/>
      <c r="C39" s="54"/>
      <c r="D39" s="55"/>
      <c r="E39" s="44"/>
      <c r="F39" s="7"/>
      <c r="G39" s="25"/>
      <c r="I39" s="68" t="s">
        <v>68</v>
      </c>
      <c r="J39" s="61">
        <v>10</v>
      </c>
      <c r="K39" s="26" t="s">
        <v>99</v>
      </c>
    </row>
    <row r="40" ht="13.5" customHeight="1" spans="1:7">
      <c r="A40" s="5"/>
      <c r="B40" s="49" t="s">
        <v>100</v>
      </c>
      <c r="C40" s="57"/>
      <c r="D40" s="51"/>
      <c r="E40" s="49">
        <f>SUM(E28:E38)</f>
        <v>0</v>
      </c>
      <c r="F40" s="52"/>
      <c r="G40" s="53"/>
    </row>
    <row r="41" ht="13.5" customHeight="1" spans="1:10">
      <c r="A41" s="5"/>
      <c r="B41" s="7"/>
      <c r="C41" s="54"/>
      <c r="D41" s="55"/>
      <c r="E41" s="7"/>
      <c r="F41" s="7"/>
      <c r="G41" s="25"/>
      <c r="I41" s="71" t="s">
        <v>101</v>
      </c>
      <c r="J41" s="72"/>
    </row>
    <row r="42" ht="13.5" customHeight="1" spans="1:10">
      <c r="A42" s="19"/>
      <c r="B42" s="58" t="s">
        <v>102</v>
      </c>
      <c r="C42" s="59"/>
      <c r="D42" s="60"/>
      <c r="E42" s="58" t="e">
        <f>E26+E40</f>
        <v>#DIV/0!</v>
      </c>
      <c r="F42" s="58"/>
      <c r="G42" s="61"/>
      <c r="I42" s="69" t="s">
        <v>72</v>
      </c>
      <c r="J42" s="70" t="e">
        <f>E42+J26</f>
        <v>#DIV/0!</v>
      </c>
    </row>
    <row r="43" customHeight="1" spans="3:4">
      <c r="C43" s="35"/>
      <c r="D43" s="2"/>
    </row>
    <row r="44" customHeight="1" spans="3:4">
      <c r="C44" s="35"/>
      <c r="D44" s="2"/>
    </row>
    <row r="45" customHeight="1" spans="3:4">
      <c r="C45" s="35"/>
      <c r="D45" s="2"/>
    </row>
    <row r="46" customHeight="1" spans="3:4">
      <c r="C46" s="35"/>
      <c r="D46" s="2"/>
    </row>
    <row r="47" customHeight="1" spans="3:4">
      <c r="C47" s="35"/>
      <c r="D47" s="2"/>
    </row>
    <row r="48" customHeight="1" spans="3:4">
      <c r="C48" s="35"/>
      <c r="D48" s="2"/>
    </row>
    <row r="49" customHeight="1" spans="3:4">
      <c r="C49" s="35"/>
      <c r="D49" s="2"/>
    </row>
    <row r="50" customHeight="1" spans="3:4">
      <c r="C50" s="35"/>
      <c r="D50" s="2"/>
    </row>
    <row r="51" customHeight="1" spans="3:4">
      <c r="C51" s="35"/>
      <c r="D51" s="2"/>
    </row>
    <row r="52" customHeight="1" spans="3:4">
      <c r="C52" s="35"/>
      <c r="D52" s="2"/>
    </row>
    <row r="53" customHeight="1" spans="3:4">
      <c r="C53" s="35"/>
      <c r="D53" s="2"/>
    </row>
    <row r="54" customHeight="1" spans="3:4">
      <c r="C54" s="35"/>
      <c r="D54" s="2"/>
    </row>
    <row r="55" customHeight="1" spans="3:4">
      <c r="C55" s="35"/>
      <c r="D55" s="2"/>
    </row>
    <row r="56" customHeight="1" spans="3:4">
      <c r="C56" s="35"/>
      <c r="D56" s="2"/>
    </row>
    <row r="57" customHeight="1" spans="3:4">
      <c r="C57" s="35"/>
      <c r="D57" s="2"/>
    </row>
    <row r="58" customHeight="1" spans="3:4">
      <c r="C58" s="35"/>
      <c r="D58" s="2"/>
    </row>
    <row r="59" customHeight="1" spans="3:4">
      <c r="C59" s="35"/>
      <c r="D59" s="2"/>
    </row>
    <row r="60" customHeight="1" spans="3:4">
      <c r="C60" s="35"/>
      <c r="D60" s="2"/>
    </row>
    <row r="61" customHeight="1" spans="3:4">
      <c r="C61" s="35"/>
      <c r="D61" s="2"/>
    </row>
    <row r="62" customHeight="1" spans="3:4">
      <c r="C62" s="35"/>
      <c r="D62" s="2"/>
    </row>
    <row r="63" customHeight="1" spans="3:4">
      <c r="C63" s="35"/>
      <c r="D63" s="2"/>
    </row>
    <row r="64" customHeight="1" spans="3:4">
      <c r="C64" s="35"/>
      <c r="D64" s="2"/>
    </row>
    <row r="65" customHeight="1" spans="3:4">
      <c r="C65" s="35"/>
      <c r="D65" s="2"/>
    </row>
    <row r="66" customHeight="1" spans="3:4">
      <c r="C66" s="35"/>
      <c r="D66" s="2"/>
    </row>
    <row r="67" customHeight="1" spans="3:4">
      <c r="C67" s="35"/>
      <c r="D67" s="2"/>
    </row>
    <row r="68" customHeight="1" spans="3:4">
      <c r="C68" s="35"/>
      <c r="D68" s="2"/>
    </row>
    <row r="69" customHeight="1" spans="3:4">
      <c r="C69" s="35"/>
      <c r="D69" s="2"/>
    </row>
    <row r="70" customHeight="1" spans="3:4">
      <c r="C70" s="35"/>
      <c r="D70" s="2"/>
    </row>
    <row r="71" customHeight="1" spans="3:4">
      <c r="C71" s="35"/>
      <c r="D71" s="2"/>
    </row>
    <row r="72" customHeight="1" spans="3:4">
      <c r="C72" s="35"/>
      <c r="D72" s="2"/>
    </row>
    <row r="73" customHeight="1" spans="3:4">
      <c r="C73" s="35"/>
      <c r="D73" s="2"/>
    </row>
    <row r="74" customHeight="1" spans="3:4">
      <c r="C74" s="35"/>
      <c r="D74" s="2"/>
    </row>
    <row r="75" customHeight="1" spans="3:4">
      <c r="C75" s="35"/>
      <c r="D75" s="2"/>
    </row>
    <row r="76" customHeight="1" spans="3:4">
      <c r="C76" s="35"/>
      <c r="D76" s="2"/>
    </row>
    <row r="77" customHeight="1" spans="3:4">
      <c r="C77" s="35"/>
      <c r="D77" s="2"/>
    </row>
    <row r="78" customHeight="1" spans="3:4">
      <c r="C78" s="35"/>
      <c r="D78" s="2"/>
    </row>
    <row r="79" customHeight="1" spans="3:4">
      <c r="C79" s="35"/>
      <c r="D79" s="2"/>
    </row>
    <row r="80" customHeight="1" spans="3:4">
      <c r="C80" s="35"/>
      <c r="D80" s="2"/>
    </row>
    <row r="81" customHeight="1" spans="3:4">
      <c r="C81" s="35"/>
      <c r="D81" s="2"/>
    </row>
    <row r="82" customHeight="1" spans="3:4">
      <c r="C82" s="35"/>
      <c r="D82" s="2"/>
    </row>
    <row r="83" customHeight="1" spans="3:4">
      <c r="C83" s="35"/>
      <c r="D83" s="2"/>
    </row>
    <row r="84" customHeight="1" spans="3:4">
      <c r="C84" s="35"/>
      <c r="D84" s="2"/>
    </row>
    <row r="85" customHeight="1" spans="3:4">
      <c r="C85" s="35"/>
      <c r="D85" s="2"/>
    </row>
    <row r="86" customHeight="1" spans="3:4">
      <c r="C86" s="35"/>
      <c r="D86" s="2"/>
    </row>
    <row r="87" customHeight="1" spans="3:4">
      <c r="C87" s="35"/>
      <c r="D87" s="2"/>
    </row>
    <row r="88" customHeight="1" spans="3:4">
      <c r="C88" s="35"/>
      <c r="D88" s="2"/>
    </row>
    <row r="89" customHeight="1" spans="3:4">
      <c r="C89" s="35"/>
      <c r="D89" s="2"/>
    </row>
    <row r="90" customHeight="1" spans="3:4">
      <c r="C90" s="35"/>
      <c r="D90" s="2"/>
    </row>
    <row r="91" customHeight="1" spans="3:4">
      <c r="C91" s="35"/>
      <c r="D91" s="2"/>
    </row>
    <row r="92" customHeight="1" spans="3:4">
      <c r="C92" s="35"/>
      <c r="D92" s="2"/>
    </row>
    <row r="93" customHeight="1" spans="3:4">
      <c r="C93" s="35"/>
      <c r="D93" s="2"/>
    </row>
    <row r="94" customHeight="1" spans="3:4">
      <c r="C94" s="35"/>
      <c r="D94" s="2"/>
    </row>
    <row r="95" customHeight="1" spans="3:4">
      <c r="C95" s="35"/>
      <c r="D95" s="2"/>
    </row>
    <row r="96" customHeight="1" spans="3:4">
      <c r="C96" s="35"/>
      <c r="D96" s="2"/>
    </row>
    <row r="97" customHeight="1" spans="3:4">
      <c r="C97" s="35"/>
      <c r="D97" s="2"/>
    </row>
    <row r="98" customHeight="1" spans="3:4">
      <c r="C98" s="35"/>
      <c r="D98" s="2"/>
    </row>
    <row r="99" customHeight="1" spans="3:4">
      <c r="C99" s="35"/>
      <c r="D99" s="2"/>
    </row>
    <row r="100" customHeight="1" spans="3:4">
      <c r="C100" s="35"/>
      <c r="D100" s="2"/>
    </row>
  </sheetData>
  <sheetProtection algorithmName="SHA-512" hashValue="fg9cN1zpc1NCWpI1qKV3FmpP/fDuXwOqRfIrwxHLh///ICQvqv9gKp+QBFI5w8A/dJDtG01f1jb1CMg9L/M6xQ==" saltValue="mZwu7NKD7Y978KP1DffswQ==" spinCount="100000" sheet="1" selectLockedCells="1" selectUnlockedCells="1" objects="1"/>
  <mergeCells count="1">
    <mergeCell ref="I41:J41"/>
  </mergeCells>
  <pageMargins left="0.7" right="0.7" top="0.75" bottom="0.75" header="0" footer="0"/>
  <pageSetup paperSize="9" scale="62"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1002"/>
  <sheetViews>
    <sheetView topLeftCell="A6" workbookViewId="0">
      <selection activeCell="C4" sqref="C4"/>
    </sheetView>
  </sheetViews>
  <sheetFormatPr defaultColWidth="12.6666666666667" defaultRowHeight="15" customHeight="1"/>
  <cols>
    <col min="1" max="1" width="4.11666666666667" customWidth="1"/>
    <col min="2" max="2" width="27.225" customWidth="1"/>
    <col min="3" max="3" width="5.44166666666667" customWidth="1"/>
    <col min="4" max="10" width="12.3333333333333" customWidth="1"/>
    <col min="11" max="11" width="14.1166666666667" customWidth="1"/>
    <col min="12" max="22" width="12.3333333333333" customWidth="1"/>
  </cols>
  <sheetData>
    <row r="1" ht="32.25" customHeight="1" spans="2:3">
      <c r="B1" s="1" t="s">
        <v>70</v>
      </c>
      <c r="C1" s="2"/>
    </row>
    <row r="2" ht="13.5" customHeight="1" spans="2:22">
      <c r="B2" s="3"/>
      <c r="C2" s="4" t="s">
        <v>35</v>
      </c>
      <c r="D2" s="4">
        <v>0</v>
      </c>
      <c r="E2" s="4">
        <v>1</v>
      </c>
      <c r="F2" s="4">
        <v>2</v>
      </c>
      <c r="G2" s="4">
        <v>3</v>
      </c>
      <c r="H2" s="4">
        <v>4</v>
      </c>
      <c r="I2" s="4">
        <v>5</v>
      </c>
      <c r="J2" s="4">
        <v>6</v>
      </c>
      <c r="K2" s="4">
        <v>7</v>
      </c>
      <c r="L2" s="4">
        <v>8</v>
      </c>
      <c r="M2" s="4">
        <v>9</v>
      </c>
      <c r="N2" s="4">
        <v>10</v>
      </c>
      <c r="O2" s="4">
        <v>11</v>
      </c>
      <c r="P2" s="4">
        <v>12</v>
      </c>
      <c r="Q2" s="4">
        <v>14</v>
      </c>
      <c r="R2" s="4">
        <v>15</v>
      </c>
      <c r="S2" s="4">
        <v>16</v>
      </c>
      <c r="T2" s="4">
        <v>17</v>
      </c>
      <c r="U2" s="4">
        <v>18</v>
      </c>
      <c r="V2" s="24">
        <v>20</v>
      </c>
    </row>
    <row r="3" ht="13.5" customHeight="1" spans="2:22">
      <c r="B3" s="5"/>
      <c r="C3" s="6"/>
      <c r="D3" s="7"/>
      <c r="E3" s="7"/>
      <c r="F3" s="7"/>
      <c r="G3" s="7"/>
      <c r="H3" s="7"/>
      <c r="I3" s="7"/>
      <c r="J3" s="7"/>
      <c r="K3" s="7"/>
      <c r="L3" s="7"/>
      <c r="M3" s="7"/>
      <c r="N3" s="7"/>
      <c r="O3" s="7"/>
      <c r="P3" s="7"/>
      <c r="Q3" s="7"/>
      <c r="R3" s="7"/>
      <c r="S3" s="7"/>
      <c r="T3" s="7"/>
      <c r="U3" s="7"/>
      <c r="V3" s="25"/>
    </row>
    <row r="4" ht="13.5" customHeight="1" spans="2:22">
      <c r="B4" s="8" t="s">
        <v>37</v>
      </c>
      <c r="C4" s="6"/>
      <c r="D4" s="7"/>
      <c r="E4" s="7"/>
      <c r="F4" s="7"/>
      <c r="G4" s="7"/>
      <c r="H4" s="7"/>
      <c r="I4" s="7"/>
      <c r="J4" s="7"/>
      <c r="K4" s="7"/>
      <c r="L4" s="7"/>
      <c r="M4" s="7"/>
      <c r="N4" s="7"/>
      <c r="O4" s="7"/>
      <c r="P4" s="7"/>
      <c r="Q4" s="7"/>
      <c r="R4" s="7"/>
      <c r="S4" s="7"/>
      <c r="T4" s="7"/>
      <c r="U4" s="7"/>
      <c r="V4" s="25"/>
    </row>
    <row r="5" ht="13.5" customHeight="1" spans="2:22">
      <c r="B5" s="5" t="s">
        <v>5</v>
      </c>
      <c r="C5" s="6">
        <v>10</v>
      </c>
      <c r="D5" s="7" t="s">
        <v>103</v>
      </c>
      <c r="E5" s="7" t="s">
        <v>104</v>
      </c>
      <c r="F5" s="7"/>
      <c r="G5" s="7" t="s">
        <v>105</v>
      </c>
      <c r="H5" s="7"/>
      <c r="I5" s="7" t="s">
        <v>106</v>
      </c>
      <c r="J5" s="7" t="s">
        <v>107</v>
      </c>
      <c r="K5" s="7" t="s">
        <v>108</v>
      </c>
      <c r="L5" s="7" t="s">
        <v>109</v>
      </c>
      <c r="M5" s="7" t="s">
        <v>110</v>
      </c>
      <c r="N5" s="7" t="s">
        <v>111</v>
      </c>
      <c r="O5" s="7"/>
      <c r="P5" s="7"/>
      <c r="Q5" s="7"/>
      <c r="R5" s="7"/>
      <c r="S5" s="7"/>
      <c r="T5" s="7"/>
      <c r="U5" s="7"/>
      <c r="V5" s="25"/>
    </row>
    <row r="6" ht="13.5" customHeight="1" spans="2:22">
      <c r="B6" s="5" t="s">
        <v>9</v>
      </c>
      <c r="C6" s="6">
        <v>10</v>
      </c>
      <c r="D6" s="7" t="s">
        <v>112</v>
      </c>
      <c r="E6" s="7"/>
      <c r="F6" s="7" t="s">
        <v>113</v>
      </c>
      <c r="G6" s="7"/>
      <c r="H6" s="7" t="s">
        <v>114</v>
      </c>
      <c r="I6" s="7"/>
      <c r="J6" s="7" t="s">
        <v>115</v>
      </c>
      <c r="K6" s="7"/>
      <c r="L6" s="7" t="s">
        <v>116</v>
      </c>
      <c r="M6" s="7"/>
      <c r="N6" s="7" t="s">
        <v>117</v>
      </c>
      <c r="O6" s="7"/>
      <c r="P6" s="7"/>
      <c r="Q6" s="7"/>
      <c r="R6" s="7"/>
      <c r="S6" s="7"/>
      <c r="T6" s="7"/>
      <c r="U6" s="7"/>
      <c r="V6" s="25"/>
    </row>
    <row r="7" ht="13.5" customHeight="1" spans="2:22">
      <c r="B7" s="5" t="s">
        <v>12</v>
      </c>
      <c r="C7" s="6">
        <v>7</v>
      </c>
      <c r="D7" s="7" t="s">
        <v>118</v>
      </c>
      <c r="E7" s="7" t="s">
        <v>116</v>
      </c>
      <c r="F7" s="7"/>
      <c r="G7" s="7" t="s">
        <v>119</v>
      </c>
      <c r="H7" s="7"/>
      <c r="I7" s="7" t="s">
        <v>120</v>
      </c>
      <c r="J7" s="7"/>
      <c r="K7" s="7" t="s">
        <v>117</v>
      </c>
      <c r="L7" s="7"/>
      <c r="M7" s="7"/>
      <c r="N7" s="7"/>
      <c r="O7" s="7"/>
      <c r="P7" s="7"/>
      <c r="Q7" s="7"/>
      <c r="R7" s="7"/>
      <c r="S7" s="7"/>
      <c r="T7" s="7"/>
      <c r="U7" s="7"/>
      <c r="V7" s="25"/>
    </row>
    <row r="8" ht="13.5" customHeight="1" spans="2:22">
      <c r="B8" s="5" t="s">
        <v>15</v>
      </c>
      <c r="C8" s="6">
        <v>7</v>
      </c>
      <c r="D8" s="7" t="s">
        <v>121</v>
      </c>
      <c r="E8" s="7" t="s">
        <v>122</v>
      </c>
      <c r="F8" s="7"/>
      <c r="G8" s="7" t="s">
        <v>123</v>
      </c>
      <c r="H8" s="7"/>
      <c r="I8" s="7" t="s">
        <v>124</v>
      </c>
      <c r="J8" s="7"/>
      <c r="K8" s="7" t="s">
        <v>125</v>
      </c>
      <c r="L8" s="7"/>
      <c r="M8" s="7"/>
      <c r="N8" s="7"/>
      <c r="O8" s="7"/>
      <c r="P8" s="7"/>
      <c r="Q8" s="7"/>
      <c r="R8" s="7"/>
      <c r="S8" s="7"/>
      <c r="T8" s="7"/>
      <c r="U8" s="7"/>
      <c r="V8" s="25"/>
    </row>
    <row r="9" ht="13.5" customHeight="1" spans="2:22">
      <c r="B9" s="5"/>
      <c r="C9" s="6"/>
      <c r="D9" s="7"/>
      <c r="E9" s="7"/>
      <c r="F9" s="7"/>
      <c r="G9" s="7"/>
      <c r="H9" s="7"/>
      <c r="I9" s="7"/>
      <c r="J9" s="7"/>
      <c r="K9" s="7"/>
      <c r="L9" s="7"/>
      <c r="M9" s="7"/>
      <c r="N9" s="7"/>
      <c r="O9" s="7"/>
      <c r="P9" s="7"/>
      <c r="Q9" s="7"/>
      <c r="R9" s="7"/>
      <c r="S9" s="7"/>
      <c r="T9" s="7"/>
      <c r="U9" s="7"/>
      <c r="V9" s="25"/>
    </row>
    <row r="10" ht="13.5" customHeight="1" spans="2:22">
      <c r="B10" s="8" t="s">
        <v>40</v>
      </c>
      <c r="C10" s="6"/>
      <c r="D10" s="7"/>
      <c r="E10" s="7"/>
      <c r="F10" s="7"/>
      <c r="G10" s="7"/>
      <c r="H10" s="7"/>
      <c r="I10" s="7"/>
      <c r="J10" s="7"/>
      <c r="K10" s="7"/>
      <c r="L10" s="7"/>
      <c r="M10" s="7"/>
      <c r="N10" s="7"/>
      <c r="O10" s="7"/>
      <c r="P10" s="7"/>
      <c r="Q10" s="7"/>
      <c r="R10" s="7"/>
      <c r="S10" s="7"/>
      <c r="T10" s="7"/>
      <c r="U10" s="7"/>
      <c r="V10" s="25"/>
    </row>
    <row r="11" ht="13.5" customHeight="1" spans="2:22">
      <c r="B11" s="5" t="s">
        <v>18</v>
      </c>
      <c r="C11" s="6">
        <v>5</v>
      </c>
      <c r="D11" s="7" t="s">
        <v>126</v>
      </c>
      <c r="E11" s="7" t="s">
        <v>127</v>
      </c>
      <c r="F11" s="7" t="s">
        <v>128</v>
      </c>
      <c r="G11" s="7" t="s">
        <v>129</v>
      </c>
      <c r="H11" s="7" t="s">
        <v>130</v>
      </c>
      <c r="I11" s="7" t="s">
        <v>131</v>
      </c>
      <c r="J11" s="7"/>
      <c r="K11" s="7"/>
      <c r="L11" s="7"/>
      <c r="M11" s="7"/>
      <c r="N11" s="7"/>
      <c r="O11" s="7"/>
      <c r="P11" s="7"/>
      <c r="Q11" s="7"/>
      <c r="R11" s="7"/>
      <c r="S11" s="7"/>
      <c r="T11" s="7"/>
      <c r="U11" s="7"/>
      <c r="V11" s="25"/>
    </row>
    <row r="12" ht="13.5" customHeight="1" spans="2:22">
      <c r="B12" s="5" t="s">
        <v>41</v>
      </c>
      <c r="C12" s="6">
        <v>5</v>
      </c>
      <c r="D12" s="7" t="s">
        <v>126</v>
      </c>
      <c r="E12" s="7" t="s">
        <v>127</v>
      </c>
      <c r="F12" s="7"/>
      <c r="G12" s="7" t="s">
        <v>128</v>
      </c>
      <c r="H12" s="7"/>
      <c r="I12" s="7" t="s">
        <v>130</v>
      </c>
      <c r="J12" s="7"/>
      <c r="K12" s="7"/>
      <c r="L12" s="7"/>
      <c r="M12" s="7"/>
      <c r="N12" s="7"/>
      <c r="O12" s="7"/>
      <c r="P12" s="7"/>
      <c r="Q12" s="7"/>
      <c r="R12" s="7"/>
      <c r="S12" s="7"/>
      <c r="T12" s="7"/>
      <c r="U12" s="7"/>
      <c r="V12" s="25"/>
    </row>
    <row r="13" ht="13.5" customHeight="1" spans="2:22">
      <c r="B13" s="5" t="s">
        <v>44</v>
      </c>
      <c r="C13" s="6">
        <v>5</v>
      </c>
      <c r="D13" s="7" t="s">
        <v>132</v>
      </c>
      <c r="E13" s="7"/>
      <c r="F13" s="7"/>
      <c r="G13" s="7" t="s">
        <v>133</v>
      </c>
      <c r="H13" s="7"/>
      <c r="I13" s="7" t="s">
        <v>45</v>
      </c>
      <c r="J13" s="7"/>
      <c r="K13" s="7"/>
      <c r="L13" s="7"/>
      <c r="M13" s="7"/>
      <c r="N13" s="7"/>
      <c r="O13" s="7"/>
      <c r="P13" s="7"/>
      <c r="Q13" s="7"/>
      <c r="R13" s="7"/>
      <c r="S13" s="7"/>
      <c r="T13" s="7"/>
      <c r="U13" s="7"/>
      <c r="V13" s="25"/>
    </row>
    <row r="14" ht="13.5" customHeight="1" spans="2:22">
      <c r="B14" s="5"/>
      <c r="C14" s="6"/>
      <c r="D14" s="7"/>
      <c r="E14" s="7"/>
      <c r="F14" s="7"/>
      <c r="G14" s="7"/>
      <c r="H14" s="7"/>
      <c r="I14" s="7"/>
      <c r="J14" s="7"/>
      <c r="K14" s="7"/>
      <c r="L14" s="7"/>
      <c r="M14" s="7"/>
      <c r="N14" s="7"/>
      <c r="O14" s="7"/>
      <c r="P14" s="7"/>
      <c r="Q14" s="7"/>
      <c r="R14" s="7"/>
      <c r="S14" s="7"/>
      <c r="T14" s="7"/>
      <c r="U14" s="7"/>
      <c r="V14" s="25"/>
    </row>
    <row r="15" ht="13.5" customHeight="1" spans="2:22">
      <c r="B15" s="8" t="s">
        <v>50</v>
      </c>
      <c r="C15" s="6"/>
      <c r="D15" s="7"/>
      <c r="E15" s="7"/>
      <c r="F15" s="7"/>
      <c r="G15" s="7"/>
      <c r="H15" s="7"/>
      <c r="I15" s="7"/>
      <c r="J15" s="7"/>
      <c r="K15" s="7"/>
      <c r="L15" s="7"/>
      <c r="M15" s="7"/>
      <c r="N15" s="7"/>
      <c r="O15" s="7"/>
      <c r="P15" s="7"/>
      <c r="Q15" s="7"/>
      <c r="R15" s="7"/>
      <c r="S15" s="7"/>
      <c r="T15" s="7"/>
      <c r="U15" s="7"/>
      <c r="V15" s="25"/>
    </row>
    <row r="16" ht="13.5" customHeight="1" spans="2:22">
      <c r="B16" s="5" t="s">
        <v>22</v>
      </c>
      <c r="C16" s="6">
        <v>5</v>
      </c>
      <c r="D16" s="7" t="s">
        <v>134</v>
      </c>
      <c r="E16" s="7" t="s">
        <v>135</v>
      </c>
      <c r="F16" s="7" t="s">
        <v>136</v>
      </c>
      <c r="G16" s="7" t="s">
        <v>104</v>
      </c>
      <c r="H16" s="7" t="s">
        <v>105</v>
      </c>
      <c r="I16" s="7" t="s">
        <v>107</v>
      </c>
      <c r="J16" s="7"/>
      <c r="K16" s="7"/>
      <c r="L16" s="7"/>
      <c r="M16" s="7"/>
      <c r="N16" s="7"/>
      <c r="O16" s="7"/>
      <c r="P16" s="7"/>
      <c r="Q16" s="7"/>
      <c r="R16" s="7"/>
      <c r="S16" s="7"/>
      <c r="T16" s="7"/>
      <c r="U16" s="7"/>
      <c r="V16" s="25"/>
    </row>
    <row r="17" ht="13.5" customHeight="1" spans="2:22">
      <c r="B17" s="5" t="s">
        <v>55</v>
      </c>
      <c r="C17" s="6">
        <v>15</v>
      </c>
      <c r="D17" s="7" t="s">
        <v>137</v>
      </c>
      <c r="E17" s="7" t="s">
        <v>138</v>
      </c>
      <c r="F17" s="7" t="s">
        <v>139</v>
      </c>
      <c r="G17" s="7" t="s">
        <v>140</v>
      </c>
      <c r="H17" s="7" t="s">
        <v>141</v>
      </c>
      <c r="I17" s="7" t="s">
        <v>142</v>
      </c>
      <c r="J17" s="7" t="s">
        <v>143</v>
      </c>
      <c r="K17" s="7" t="s">
        <v>144</v>
      </c>
      <c r="L17" s="7" t="s">
        <v>145</v>
      </c>
      <c r="M17" s="7"/>
      <c r="N17" s="7" t="s">
        <v>146</v>
      </c>
      <c r="O17" s="7"/>
      <c r="P17" s="7" t="s">
        <v>147</v>
      </c>
      <c r="Q17" s="7"/>
      <c r="R17" s="7" t="s">
        <v>148</v>
      </c>
      <c r="S17" s="7"/>
      <c r="T17" s="7"/>
      <c r="U17" s="7"/>
      <c r="V17" s="25"/>
    </row>
    <row r="18" ht="13.5" customHeight="1" spans="2:22">
      <c r="B18" s="5" t="s">
        <v>58</v>
      </c>
      <c r="C18" s="6">
        <v>5</v>
      </c>
      <c r="D18" s="7" t="s">
        <v>149</v>
      </c>
      <c r="E18" s="7" t="s">
        <v>150</v>
      </c>
      <c r="F18" s="7" t="s">
        <v>151</v>
      </c>
      <c r="G18" s="7" t="s">
        <v>152</v>
      </c>
      <c r="H18" s="7"/>
      <c r="I18" s="7" t="s">
        <v>153</v>
      </c>
      <c r="J18" s="7"/>
      <c r="K18" s="7" t="s">
        <v>154</v>
      </c>
      <c r="L18" s="7"/>
      <c r="M18" s="7"/>
      <c r="N18" s="7" t="s">
        <v>155</v>
      </c>
      <c r="O18" s="7"/>
      <c r="P18" s="7"/>
      <c r="Q18" s="7"/>
      <c r="R18" s="7" t="s">
        <v>156</v>
      </c>
      <c r="S18" s="7"/>
      <c r="T18" s="7"/>
      <c r="U18" s="7"/>
      <c r="V18" s="25"/>
    </row>
    <row r="19" ht="13.5" customHeight="1" spans="2:22">
      <c r="B19" s="5"/>
      <c r="C19" s="6"/>
      <c r="D19" s="7"/>
      <c r="E19" s="7"/>
      <c r="F19" s="7"/>
      <c r="G19" s="7"/>
      <c r="H19" s="7"/>
      <c r="I19" s="7"/>
      <c r="J19" s="7"/>
      <c r="K19" s="7"/>
      <c r="L19" s="7"/>
      <c r="M19" s="7"/>
      <c r="N19" s="7"/>
      <c r="O19" s="7"/>
      <c r="P19" s="7"/>
      <c r="Q19" s="7"/>
      <c r="R19" s="7"/>
      <c r="S19" s="7"/>
      <c r="T19" s="7"/>
      <c r="U19" s="7"/>
      <c r="V19" s="25"/>
    </row>
    <row r="20" ht="13.5" customHeight="1" spans="2:22">
      <c r="B20" s="8" t="s">
        <v>63</v>
      </c>
      <c r="C20" s="6"/>
      <c r="D20" s="7"/>
      <c r="E20" s="7"/>
      <c r="F20" s="7"/>
      <c r="G20" s="7"/>
      <c r="H20" s="7"/>
      <c r="I20" s="7"/>
      <c r="J20" s="7"/>
      <c r="K20" s="7"/>
      <c r="L20" s="7"/>
      <c r="M20" s="7"/>
      <c r="N20" s="7"/>
      <c r="O20" s="7"/>
      <c r="P20" s="7"/>
      <c r="Q20" s="7"/>
      <c r="R20" s="7"/>
      <c r="S20" s="7"/>
      <c r="T20" s="7"/>
      <c r="U20" s="7"/>
      <c r="V20" s="25"/>
    </row>
    <row r="21" ht="13.5" customHeight="1" spans="2:22">
      <c r="B21" s="5" t="s">
        <v>24</v>
      </c>
      <c r="C21" s="6">
        <v>20</v>
      </c>
      <c r="D21" s="7" t="s">
        <v>126</v>
      </c>
      <c r="E21" s="7" t="s">
        <v>157</v>
      </c>
      <c r="F21" s="7" t="s">
        <v>158</v>
      </c>
      <c r="G21" s="7" t="s">
        <v>159</v>
      </c>
      <c r="H21" s="7"/>
      <c r="I21" s="7" t="s">
        <v>160</v>
      </c>
      <c r="J21" s="7"/>
      <c r="K21" s="7"/>
      <c r="L21" s="7" t="s">
        <v>161</v>
      </c>
      <c r="M21" s="7"/>
      <c r="N21" s="7"/>
      <c r="O21" s="7" t="s">
        <v>162</v>
      </c>
      <c r="P21" s="7"/>
      <c r="Q21" s="7" t="s">
        <v>163</v>
      </c>
      <c r="R21" s="7"/>
      <c r="S21" s="7"/>
      <c r="T21" s="7" t="s">
        <v>164</v>
      </c>
      <c r="U21" s="7"/>
      <c r="V21" s="25" t="s">
        <v>165</v>
      </c>
    </row>
    <row r="22" ht="13.5" customHeight="1" spans="2:22">
      <c r="B22" s="5" t="s">
        <v>27</v>
      </c>
      <c r="C22" s="6">
        <v>15</v>
      </c>
      <c r="D22" s="7" t="s">
        <v>166</v>
      </c>
      <c r="E22" s="7"/>
      <c r="F22" s="7" t="s">
        <v>167</v>
      </c>
      <c r="G22" s="7" t="s">
        <v>168</v>
      </c>
      <c r="H22" s="7" t="s">
        <v>169</v>
      </c>
      <c r="I22" s="7"/>
      <c r="J22" s="7" t="s">
        <v>170</v>
      </c>
      <c r="K22" s="7" t="s">
        <v>171</v>
      </c>
      <c r="L22" s="7" t="s">
        <v>172</v>
      </c>
      <c r="M22" s="7"/>
      <c r="N22" s="7" t="s">
        <v>173</v>
      </c>
      <c r="O22" s="7"/>
      <c r="P22" s="7" t="s">
        <v>174</v>
      </c>
      <c r="Q22" s="7"/>
      <c r="R22" s="7" t="s">
        <v>175</v>
      </c>
      <c r="S22" s="7"/>
      <c r="T22" s="7"/>
      <c r="U22" s="7"/>
      <c r="V22" s="25"/>
    </row>
    <row r="23" ht="13.5" customHeight="1" spans="2:22">
      <c r="B23" s="9" t="s">
        <v>29</v>
      </c>
      <c r="C23" s="10">
        <v>20</v>
      </c>
      <c r="D23" s="11" t="s">
        <v>126</v>
      </c>
      <c r="E23" s="11"/>
      <c r="F23" s="11" t="s">
        <v>176</v>
      </c>
      <c r="G23" s="11"/>
      <c r="H23" s="11" t="s">
        <v>140</v>
      </c>
      <c r="I23" s="11"/>
      <c r="J23" s="11" t="s">
        <v>141</v>
      </c>
      <c r="K23" s="11"/>
      <c r="L23" s="11" t="s">
        <v>142</v>
      </c>
      <c r="M23" s="11"/>
      <c r="N23" s="11" t="s">
        <v>143</v>
      </c>
      <c r="O23" s="11"/>
      <c r="P23" s="11" t="s">
        <v>144</v>
      </c>
      <c r="Q23" s="11" t="s">
        <v>145</v>
      </c>
      <c r="R23" s="11"/>
      <c r="S23" s="11" t="s">
        <v>146</v>
      </c>
      <c r="T23" s="11"/>
      <c r="U23" s="11" t="s">
        <v>147</v>
      </c>
      <c r="V23" s="32" t="s">
        <v>148</v>
      </c>
    </row>
    <row r="24" ht="13.5" customHeight="1" spans="2:22">
      <c r="B24" s="12"/>
      <c r="C24" s="13"/>
      <c r="D24" s="14" t="s">
        <v>177</v>
      </c>
      <c r="E24" s="14"/>
      <c r="F24" s="14" t="s">
        <v>178</v>
      </c>
      <c r="G24" s="14"/>
      <c r="H24" s="14" t="s">
        <v>179</v>
      </c>
      <c r="I24" s="14"/>
      <c r="J24" s="14" t="s">
        <v>180</v>
      </c>
      <c r="K24" s="14"/>
      <c r="L24" s="14"/>
      <c r="M24" s="14"/>
      <c r="N24" s="14"/>
      <c r="O24" s="14"/>
      <c r="P24" s="14"/>
      <c r="Q24" s="14"/>
      <c r="R24" s="14"/>
      <c r="S24" s="14"/>
      <c r="T24" s="14"/>
      <c r="U24" s="14"/>
      <c r="V24" s="33"/>
    </row>
    <row r="25" ht="13.5" customHeight="1" spans="2:22">
      <c r="B25" s="15" t="s">
        <v>181</v>
      </c>
      <c r="C25" s="16" t="s">
        <v>182</v>
      </c>
      <c r="D25" s="17" t="s">
        <v>183</v>
      </c>
      <c r="E25" s="17"/>
      <c r="F25" s="17" t="s">
        <v>184</v>
      </c>
      <c r="G25" s="17"/>
      <c r="H25" s="17" t="s">
        <v>185</v>
      </c>
      <c r="I25" s="17"/>
      <c r="J25" s="17" t="s">
        <v>186</v>
      </c>
      <c r="K25" s="17"/>
      <c r="L25" s="17"/>
      <c r="M25" s="17"/>
      <c r="N25" s="17"/>
      <c r="O25" s="17"/>
      <c r="P25" s="17"/>
      <c r="Q25" s="17"/>
      <c r="R25" s="17"/>
      <c r="S25" s="17"/>
      <c r="T25" s="17"/>
      <c r="U25" s="17"/>
      <c r="V25" s="34"/>
    </row>
    <row r="26" ht="26.25" customHeight="1" spans="3:3">
      <c r="C26" s="2"/>
    </row>
    <row r="27" ht="24" customHeight="1" spans="2:3">
      <c r="B27" s="18" t="s">
        <v>187</v>
      </c>
      <c r="C27" s="2"/>
    </row>
    <row r="28" ht="13.5" customHeight="1" spans="2:13">
      <c r="B28" s="3"/>
      <c r="C28" s="4" t="s">
        <v>35</v>
      </c>
      <c r="D28" s="4">
        <v>10</v>
      </c>
      <c r="E28" s="4">
        <v>8</v>
      </c>
      <c r="F28" s="4">
        <v>7</v>
      </c>
      <c r="G28" s="4">
        <v>6</v>
      </c>
      <c r="H28" s="4">
        <v>5</v>
      </c>
      <c r="I28" s="4">
        <v>4</v>
      </c>
      <c r="J28" s="4">
        <v>3</v>
      </c>
      <c r="K28" s="4">
        <v>2</v>
      </c>
      <c r="L28" s="4">
        <v>1</v>
      </c>
      <c r="M28" s="24">
        <v>0</v>
      </c>
    </row>
    <row r="29" ht="13.5" customHeight="1" spans="2:14">
      <c r="B29" s="5" t="s">
        <v>74</v>
      </c>
      <c r="C29" s="6">
        <v>10</v>
      </c>
      <c r="D29" s="7" t="s">
        <v>188</v>
      </c>
      <c r="E29" s="7" t="s">
        <v>189</v>
      </c>
      <c r="F29" s="7"/>
      <c r="G29" s="7" t="s">
        <v>190</v>
      </c>
      <c r="H29" s="7" t="s">
        <v>191</v>
      </c>
      <c r="I29" s="7"/>
      <c r="J29" s="7" t="s">
        <v>192</v>
      </c>
      <c r="K29" s="7"/>
      <c r="L29" s="7"/>
      <c r="M29" s="25" t="s">
        <v>193</v>
      </c>
      <c r="N29" s="26" t="s">
        <v>194</v>
      </c>
    </row>
    <row r="30" ht="13.5" customHeight="1" spans="2:14">
      <c r="B30" s="5" t="s">
        <v>195</v>
      </c>
      <c r="C30" s="6">
        <v>3</v>
      </c>
      <c r="D30" s="7"/>
      <c r="E30" s="7"/>
      <c r="F30" s="7"/>
      <c r="G30" s="7"/>
      <c r="H30" s="7"/>
      <c r="I30" s="7"/>
      <c r="J30" s="7" t="s">
        <v>196</v>
      </c>
      <c r="K30" s="7"/>
      <c r="L30" s="7" t="s">
        <v>57</v>
      </c>
      <c r="M30" s="25" t="s">
        <v>197</v>
      </c>
      <c r="N30" s="27" t="s">
        <v>198</v>
      </c>
    </row>
    <row r="31" ht="13.5" customHeight="1" spans="2:14">
      <c r="B31" s="5" t="s">
        <v>76</v>
      </c>
      <c r="C31" s="6">
        <v>4</v>
      </c>
      <c r="D31" s="7"/>
      <c r="E31" s="7"/>
      <c r="F31" s="7"/>
      <c r="G31" s="7"/>
      <c r="H31" s="7"/>
      <c r="I31" s="7" t="s">
        <v>199</v>
      </c>
      <c r="J31" s="7" t="s">
        <v>200</v>
      </c>
      <c r="K31" s="7" t="s">
        <v>201</v>
      </c>
      <c r="L31" s="7"/>
      <c r="M31" s="25" t="s">
        <v>202</v>
      </c>
      <c r="N31" s="27" t="s">
        <v>203</v>
      </c>
    </row>
    <row r="32" ht="13.5" customHeight="1" spans="2:13">
      <c r="B32" s="5" t="s">
        <v>79</v>
      </c>
      <c r="C32" s="6">
        <v>7</v>
      </c>
      <c r="D32" s="7"/>
      <c r="E32" s="7"/>
      <c r="F32" s="7" t="s">
        <v>204</v>
      </c>
      <c r="G32" s="7"/>
      <c r="H32" s="7" t="s">
        <v>205</v>
      </c>
      <c r="I32" s="7"/>
      <c r="J32" s="7"/>
      <c r="K32" s="7" t="s">
        <v>206</v>
      </c>
      <c r="L32" s="7"/>
      <c r="M32" s="25" t="s">
        <v>207</v>
      </c>
    </row>
    <row r="33" ht="13.5" customHeight="1" spans="2:13">
      <c r="B33" s="5" t="s">
        <v>82</v>
      </c>
      <c r="C33" s="6">
        <v>5</v>
      </c>
      <c r="D33" s="7"/>
      <c r="E33" s="7"/>
      <c r="F33" s="7"/>
      <c r="G33" s="7"/>
      <c r="H33" s="7" t="s">
        <v>208</v>
      </c>
      <c r="I33" s="7"/>
      <c r="J33" s="7" t="s">
        <v>209</v>
      </c>
      <c r="K33" s="7"/>
      <c r="L33" s="7" t="s">
        <v>210</v>
      </c>
      <c r="M33" s="25" t="s">
        <v>211</v>
      </c>
    </row>
    <row r="34" ht="13.5" customHeight="1" spans="2:14">
      <c r="B34" s="5" t="s">
        <v>85</v>
      </c>
      <c r="C34" s="6">
        <v>10</v>
      </c>
      <c r="D34" s="7" t="s">
        <v>212</v>
      </c>
      <c r="E34" s="7"/>
      <c r="F34" s="7" t="s">
        <v>54</v>
      </c>
      <c r="G34" s="7"/>
      <c r="H34" s="7" t="s">
        <v>57</v>
      </c>
      <c r="I34" s="7"/>
      <c r="J34" s="7" t="s">
        <v>213</v>
      </c>
      <c r="K34" s="7"/>
      <c r="L34" s="7"/>
      <c r="M34" s="25" t="s">
        <v>214</v>
      </c>
      <c r="N34" s="26" t="s">
        <v>215</v>
      </c>
    </row>
    <row r="35" ht="13.5" customHeight="1" spans="2:13">
      <c r="B35" s="5" t="s">
        <v>88</v>
      </c>
      <c r="C35" s="6">
        <v>5</v>
      </c>
      <c r="D35" s="7"/>
      <c r="E35" s="7"/>
      <c r="F35" s="7"/>
      <c r="G35" s="7"/>
      <c r="H35" s="7" t="s">
        <v>216</v>
      </c>
      <c r="I35" s="7"/>
      <c r="J35" s="28" t="s">
        <v>217</v>
      </c>
      <c r="K35" s="7"/>
      <c r="L35" s="7" t="s">
        <v>218</v>
      </c>
      <c r="M35" s="25" t="s">
        <v>219</v>
      </c>
    </row>
    <row r="36" ht="25.5" customHeight="1" spans="2:14">
      <c r="B36" s="5" t="s">
        <v>220</v>
      </c>
      <c r="C36" s="6">
        <v>3</v>
      </c>
      <c r="D36" s="7"/>
      <c r="E36" s="7"/>
      <c r="F36" s="7"/>
      <c r="G36" s="7"/>
      <c r="H36" s="7"/>
      <c r="I36" s="7"/>
      <c r="J36" s="7" t="s">
        <v>221</v>
      </c>
      <c r="K36" s="28" t="s">
        <v>222</v>
      </c>
      <c r="L36" s="7"/>
      <c r="M36" s="29" t="s">
        <v>223</v>
      </c>
      <c r="N36" s="27" t="s">
        <v>224</v>
      </c>
    </row>
    <row r="37" ht="13.5" customHeight="1" spans="2:14">
      <c r="B37" s="5" t="s">
        <v>92</v>
      </c>
      <c r="C37" s="6">
        <v>10</v>
      </c>
      <c r="D37" s="7" t="s">
        <v>225</v>
      </c>
      <c r="E37" s="7"/>
      <c r="F37" s="7" t="s">
        <v>226</v>
      </c>
      <c r="G37" s="7"/>
      <c r="H37" s="7" t="s">
        <v>227</v>
      </c>
      <c r="I37" s="7"/>
      <c r="J37" s="7"/>
      <c r="K37" s="7" t="s">
        <v>213</v>
      </c>
      <c r="L37" s="7"/>
      <c r="M37" s="25" t="s">
        <v>214</v>
      </c>
      <c r="N37" s="26" t="s">
        <v>228</v>
      </c>
    </row>
    <row r="38" ht="13.5" customHeight="1" spans="2:14">
      <c r="B38" s="5" t="s">
        <v>95</v>
      </c>
      <c r="C38" s="6">
        <v>7</v>
      </c>
      <c r="D38" s="7"/>
      <c r="E38" s="7"/>
      <c r="F38" s="7" t="s">
        <v>229</v>
      </c>
      <c r="G38" s="7"/>
      <c r="H38" s="7" t="s">
        <v>230</v>
      </c>
      <c r="I38" s="7"/>
      <c r="J38" s="7" t="s">
        <v>57</v>
      </c>
      <c r="K38" s="7" t="s">
        <v>213</v>
      </c>
      <c r="L38" s="7"/>
      <c r="M38" s="25" t="s">
        <v>214</v>
      </c>
      <c r="N38" s="27" t="s">
        <v>231</v>
      </c>
    </row>
    <row r="39" ht="13.5" customHeight="1" spans="2:14">
      <c r="B39" s="19" t="s">
        <v>232</v>
      </c>
      <c r="C39" s="20">
        <v>7</v>
      </c>
      <c r="D39" s="21"/>
      <c r="E39" s="21"/>
      <c r="F39" s="22" t="s">
        <v>233</v>
      </c>
      <c r="G39" s="21"/>
      <c r="H39" s="22" t="s">
        <v>234</v>
      </c>
      <c r="I39" s="21"/>
      <c r="J39" s="21" t="s">
        <v>235</v>
      </c>
      <c r="K39" s="22" t="s">
        <v>236</v>
      </c>
      <c r="L39" s="21" t="s">
        <v>237</v>
      </c>
      <c r="M39" s="30" t="s">
        <v>213</v>
      </c>
      <c r="N39" s="31" t="s">
        <v>238</v>
      </c>
    </row>
    <row r="40" ht="13.5" customHeight="1" spans="3:3">
      <c r="C40" s="2"/>
    </row>
    <row r="41" ht="13.5" customHeight="1" spans="3:3">
      <c r="C41" s="2"/>
    </row>
    <row r="42" ht="13.5" customHeight="1" spans="3:3">
      <c r="C42" s="2"/>
    </row>
    <row r="43" ht="13.5" customHeight="1" spans="3:3">
      <c r="C43" s="2"/>
    </row>
    <row r="44" ht="13.5" customHeight="1" spans="3:3">
      <c r="C44" s="2"/>
    </row>
    <row r="45" ht="13.5" customHeight="1" spans="3:3">
      <c r="C45" s="2"/>
    </row>
    <row r="46" ht="13.5" customHeight="1" spans="3:3">
      <c r="C46" s="2"/>
    </row>
    <row r="47" ht="13.5" customHeight="1" spans="3:3">
      <c r="C47" s="2"/>
    </row>
    <row r="48" ht="13.5" customHeight="1" spans="3:3">
      <c r="C48" s="2"/>
    </row>
    <row r="49" ht="13.5" customHeight="1" spans="3:3">
      <c r="C49" s="2"/>
    </row>
    <row r="50" ht="13.5" customHeight="1" spans="3:3">
      <c r="C50" s="2"/>
    </row>
    <row r="51" ht="13.5" customHeight="1" spans="3:3">
      <c r="C51" s="2"/>
    </row>
    <row r="52" ht="13.5" customHeight="1" spans="3:3">
      <c r="C52" s="2"/>
    </row>
    <row r="53" ht="13.5" customHeight="1" spans="3:3">
      <c r="C53" s="2"/>
    </row>
    <row r="54" ht="13.5" customHeight="1" spans="3:3">
      <c r="C54" s="2"/>
    </row>
    <row r="55" ht="13.5" customHeight="1" spans="3:3">
      <c r="C55" s="2"/>
    </row>
    <row r="56" ht="13.5" customHeight="1" spans="2:3">
      <c r="B56" s="23" t="s">
        <v>239</v>
      </c>
      <c r="C56" s="2"/>
    </row>
    <row r="57" ht="13.5" customHeight="1" spans="3:3">
      <c r="C57" s="2"/>
    </row>
    <row r="58" ht="13.5" customHeight="1" spans="3:3">
      <c r="C58" s="2"/>
    </row>
    <row r="59" ht="13.5" customHeight="1" spans="3:3">
      <c r="C59" s="2"/>
    </row>
    <row r="60" ht="13.5" customHeight="1" spans="3:3">
      <c r="C60" s="2"/>
    </row>
    <row r="61" ht="13.5" customHeight="1" spans="3:3">
      <c r="C61" s="2"/>
    </row>
    <row r="62" ht="13.5" customHeight="1" spans="3:3">
      <c r="C62" s="2"/>
    </row>
    <row r="63" ht="13.5" customHeight="1" spans="3:3">
      <c r="C63" s="2"/>
    </row>
    <row r="64" ht="13.5" customHeight="1" spans="3:3">
      <c r="C64" s="2"/>
    </row>
    <row r="65" ht="13.5" customHeight="1" spans="3:3">
      <c r="C65" s="2"/>
    </row>
    <row r="66" ht="13.5" customHeight="1" spans="3:3">
      <c r="C66" s="2"/>
    </row>
    <row r="67" ht="13.5" customHeight="1" spans="3:3">
      <c r="C67" s="2"/>
    </row>
    <row r="68" ht="13.5" customHeight="1" spans="3:3">
      <c r="C68" s="2"/>
    </row>
    <row r="69" ht="13.5" customHeight="1" spans="3:3">
      <c r="C69" s="2"/>
    </row>
    <row r="70" ht="13.5" customHeight="1" spans="3:3">
      <c r="C70" s="2"/>
    </row>
    <row r="71" ht="13.5" customHeight="1" spans="3:3">
      <c r="C71" s="2"/>
    </row>
    <row r="72" ht="13.5" customHeight="1" spans="3:3">
      <c r="C72" s="2"/>
    </row>
    <row r="73" ht="13.5" customHeight="1" spans="3:3">
      <c r="C73" s="2"/>
    </row>
    <row r="74" ht="13.5" customHeight="1" spans="3:3">
      <c r="C74" s="2"/>
    </row>
    <row r="75" ht="13.5" customHeight="1" spans="3:3">
      <c r="C75" s="2"/>
    </row>
    <row r="76" ht="13.5" customHeight="1" spans="3:3">
      <c r="C76" s="2"/>
    </row>
    <row r="77" ht="13.5" customHeight="1" spans="3:3">
      <c r="C77" s="2"/>
    </row>
    <row r="78" ht="13.5" customHeight="1" spans="3:3">
      <c r="C78" s="2"/>
    </row>
    <row r="79" ht="13.5" customHeight="1" spans="3:3">
      <c r="C79" s="2"/>
    </row>
    <row r="80" ht="13.5" customHeight="1" spans="3:3">
      <c r="C80" s="2"/>
    </row>
    <row r="81" ht="13.5" customHeight="1" spans="3:3">
      <c r="C81" s="2"/>
    </row>
    <row r="82" ht="13.5" customHeight="1" spans="3:3">
      <c r="C82" s="2"/>
    </row>
    <row r="83" ht="13.5" customHeight="1" spans="3:3">
      <c r="C83" s="2"/>
    </row>
    <row r="84" ht="13.5" customHeight="1" spans="3:3">
      <c r="C84" s="2"/>
    </row>
    <row r="85" ht="13.5" customHeight="1" spans="3:3">
      <c r="C85" s="2"/>
    </row>
    <row r="86" ht="13.5" customHeight="1" spans="3:3">
      <c r="C86" s="2"/>
    </row>
    <row r="87" ht="13.5" customHeight="1" spans="3:3">
      <c r="C87" s="2"/>
    </row>
    <row r="88" ht="13.5" customHeight="1" spans="3:3">
      <c r="C88" s="2"/>
    </row>
    <row r="89" ht="13.5" customHeight="1" spans="3:3">
      <c r="C89" s="2"/>
    </row>
    <row r="90" ht="13.5" customHeight="1" spans="3:3">
      <c r="C90" s="2"/>
    </row>
    <row r="91" ht="13.5" customHeight="1" spans="3:3">
      <c r="C91" s="2"/>
    </row>
    <row r="92" ht="13.5" customHeight="1" spans="3:3">
      <c r="C92" s="2"/>
    </row>
    <row r="93" ht="13.5" customHeight="1" spans="3:3">
      <c r="C93" s="2"/>
    </row>
    <row r="94" ht="13.5" customHeight="1" spans="3:3">
      <c r="C94" s="2"/>
    </row>
    <row r="95" ht="13.5" customHeight="1" spans="3:3">
      <c r="C95" s="2"/>
    </row>
    <row r="96" ht="13.5" customHeight="1" spans="3:3">
      <c r="C96" s="2"/>
    </row>
    <row r="97" ht="13.5" customHeight="1" spans="3:3">
      <c r="C97" s="2"/>
    </row>
    <row r="98" ht="13.5" customHeight="1" spans="3:3">
      <c r="C98" s="2"/>
    </row>
    <row r="99" ht="13.5" customHeight="1" spans="3:3">
      <c r="C99" s="2"/>
    </row>
    <row r="100" ht="13.5" customHeight="1" spans="3:3">
      <c r="C100" s="2"/>
    </row>
    <row r="101" ht="13.5" customHeight="1" spans="3:3">
      <c r="C101" s="2"/>
    </row>
    <row r="102" ht="13.5" customHeight="1" spans="3:3">
      <c r="C102" s="2"/>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algorithmName="SHA-512" hashValue="U8lFTeI2gMt0y1uYYgHNRfwTmBZThpUMs4XGcq9DcrvMK+vmzbmWitWQXpuuI76qfbF4XDj9v0hSrNyrSJMcGQ==" saltValue="j7U4y3cysGiJM5P3kGecBQ==" spinCount="100000" sheet="1" selectLockedCells="1" objects="1"/>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tabSelected="1" workbookViewId="0">
      <selection activeCell="A1" sqref="A1"/>
    </sheetView>
  </sheetViews>
  <sheetFormatPr defaultColWidth="12.6666666666667" defaultRowHeight="15" customHeight="1"/>
  <cols>
    <col min="1" max="1" width="7.88333333333333" customWidth="1"/>
    <col min="2" max="26" width="7.66666666666667"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heetProtection algorithmName="SHA-512" hashValue="7pMoDg/70pmdYIaTwYpWGUuTHRTwv4lcmtLjARQe9Xd6V3Zl5i9kLRvrRULt1IIpPubiidf/wqru1rjCSYjAjA==" saltValue="h/FhdJ7fD4h7+S0KSO1J1w==" spinCount="100000" sheet="1" selectLockedCells="1" objects="1"/>
  <pageMargins left="0.7" right="0.7" top="0.75" bottom="0.75" header="0" footer="0"/>
  <pageSetup paperSize="1" orientation="landscape"/>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Shortcut</Company>
  <Application>Microsoft Excel</Application>
  <HeadingPairs>
    <vt:vector size="2" baseType="variant">
      <vt:variant>
        <vt:lpstr>工作表</vt:lpstr>
      </vt:variant>
      <vt:variant>
        <vt:i4>4</vt:i4>
      </vt:variant>
    </vt:vector>
  </HeadingPairs>
  <TitlesOfParts>
    <vt:vector size="4" baseType="lpstr">
      <vt:lpstr>入力データ</vt:lpstr>
      <vt:lpstr>結果</vt:lpstr>
      <vt:lpstr>スコア表</vt:lpstr>
      <vt:lpstr>安全指標について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Aesop</cp:lastModifiedBy>
  <dcterms:created xsi:type="dcterms:W3CDTF">2019-01-29T02:43:00Z</dcterms:created>
  <dcterms:modified xsi:type="dcterms:W3CDTF">2026-03-11T14:16:03Z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7dd55e3a-baa3-4d72-b906-b737775d3940</vt:lpwstr>
  </property>
  <property fmtid="{D5CDD505-2E9C-101B-9397-08002B2CF9AE}" pid="3" name="ICV">
    <vt:lpwstr>2D23421F3D9F46AB92EB3031663D678A_12</vt:lpwstr>
  </property>
  <property fmtid="{D5CDD505-2E9C-101B-9397-08002B2CF9AE}" pid="4" name="KSOProductBuildVer">
    <vt:lpwstr>1033-12.2.0.23196</vt:lpwstr>
  </property>
</Properties>
</file>