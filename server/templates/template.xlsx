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10"/>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<sst xmlns="http://schemas.openxmlformats.org/spreadsheetml/2006/main" count="748" uniqueCount="340">
  <si>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</si>
  <si>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</si>
  <si>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</si>
  <si>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</si>
  <si>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</si>
  <si>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</si>
  <si>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</si>
  <si>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</si>
  <si>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</si>
  <si>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</si>
  <si>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</si>
  <si>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</si>
  <si>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</si>
  <si>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</si>
  <si>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</si>
  <si>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</si>
  <si>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</si>
  <si>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</si>
  <si>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</si>
  <si>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</si>
  <si>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</si>
  <si>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</si>
  <si>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</si>
  <si>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</si>
  <si>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</si>
  <si>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</si>
  <si>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</si>
  <si>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</si>
  <si>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</si>
  <si>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</si>
  <si>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</si>
  <si>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</si>
  <si>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</si>
  <si>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</si>
  <si>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</si>
  <si>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</si>
  <si>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</si>
  <si>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</si>
  <si>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</si>
  <si>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</si>
  <si>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</si>
  <si>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</si>
  <si>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</si>
  <si>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</si>
  <si>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</si>
  <si>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</si>
  <si>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</si>
  <si>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</si>
  <si>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</si>
  <si>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</si>
  <si>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</si>
  <si>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</si>
  <si>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</si>
  <si>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</si>
  <si>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</si>
  <si>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</si>
  <si>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</si>
  <si>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</si>
  <si>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</si>
  <si>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</si>
  <si>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</si>
  <si>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</si>
  <si>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</si>
  <si>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</si>
  <si>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</si>
  <si>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</si>
  <si>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</si>
  <si>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</si>
  <si>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</si>
  <si>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</si>
  <si>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</si>
  <si>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</si>
  <si>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</si>
  <si>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</si>
  <si>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</si>
  <si>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</si>
  <si>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</si>
  <si>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</si>
  <si>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</si>
  <si>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</si>
  <si>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</si>
  <si>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</si>
  <si>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</si>
  <si>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</si>
  <si>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</si>
  <si>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</si>
  <si>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</si>
  <si>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</si>
  <si>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</si>
  <si>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</si>
  <si>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</si>
  <si>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</si>
  <si>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</si>
  <si>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</si>
  <si>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</si>
  <si>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</si>
  <si>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</si>
  <si>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</si>
  <si>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</si>
  <si>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</si>
  <si>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</si>
  <si>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</si>
  <si>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</si>
  <si>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</si>
  <si>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原価１４</t>
  </si>
  <si>
    <t>外注費</t>
  </si>
  <si>
    <t>原価１５</t>
  </si>
  <si>
    <t>労務費</t>
  </si>
  <si>
    <t>超過手当</t>
  </si>
  <si>
    <t>原価１６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</si>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</sst>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General&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4">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sz val="11"/>
      <color rgb="FF000000"/>
      <name val="ＭＳ Ｐゴシック"/>
      <charset val="128"/>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rgb="FF000000"/>
      </left>
      <right style="medium">
        <color rgb="FF000000"/>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medium">
        <color auto="1"/>
      </right>
      <top/>
      <bottom style="thin">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24" fillId="25" borderId="137"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8" applyNumberFormat="0" applyFill="0" applyAlignment="0" applyProtection="0">
      <alignment vertical="center"/>
    </xf>
    <xf numFmtId="0" fontId="61" fillId="0" borderId="138" applyNumberFormat="0" applyFill="0" applyAlignment="0" applyProtection="0">
      <alignment vertical="center"/>
    </xf>
    <xf numFmtId="0" fontId="62" fillId="0" borderId="139" applyNumberFormat="0" applyFill="0" applyAlignment="0" applyProtection="0">
      <alignment vertical="center"/>
    </xf>
    <xf numFmtId="0" fontId="62" fillId="0" borderId="0" applyNumberFormat="0" applyFill="0" applyBorder="0" applyAlignment="0" applyProtection="0">
      <alignment vertical="center"/>
    </xf>
    <xf numFmtId="0" fontId="63" fillId="7" borderId="140" applyNumberFormat="0" applyAlignment="0" applyProtection="0">
      <alignment vertical="center"/>
    </xf>
    <xf numFmtId="0" fontId="64" fillId="26" borderId="141" applyNumberFormat="0" applyAlignment="0" applyProtection="0">
      <alignment vertical="center"/>
    </xf>
    <xf numFmtId="0" fontId="65" fillId="26" borderId="140" applyNumberFormat="0" applyAlignment="0" applyProtection="0">
      <alignment vertical="center"/>
    </xf>
    <xf numFmtId="0" fontId="66" fillId="27" borderId="142" applyNumberFormat="0" applyAlignment="0" applyProtection="0">
      <alignment vertical="center"/>
    </xf>
    <xf numFmtId="0" fontId="67" fillId="0" borderId="143" applyNumberFormat="0" applyFill="0" applyAlignment="0" applyProtection="0">
      <alignment vertical="center"/>
    </xf>
    <xf numFmtId="0" fontId="68" fillId="0" borderId="144" applyNumberFormat="0" applyFill="0" applyAlignment="0" applyProtection="0">
      <alignment vertical="center"/>
    </xf>
    <xf numFmtId="0" fontId="69" fillId="28" borderId="0" applyNumberFormat="0" applyBorder="0" applyAlignment="0" applyProtection="0">
      <alignment vertical="center"/>
    </xf>
    <xf numFmtId="0" fontId="70" fillId="29" borderId="0" applyNumberFormat="0" applyBorder="0" applyAlignment="0" applyProtection="0">
      <alignment vertical="center"/>
    </xf>
    <xf numFmtId="0" fontId="71" fillId="30" borderId="0" applyNumberFormat="0" applyBorder="0" applyAlignment="0" applyProtection="0">
      <alignment vertical="center"/>
    </xf>
    <xf numFmtId="0" fontId="72" fillId="31" borderId="0" applyNumberFormat="0" applyBorder="0" applyAlignment="0" applyProtection="0">
      <alignment vertical="center"/>
    </xf>
    <xf numFmtId="0" fontId="73" fillId="32" borderId="0" applyNumberFormat="0" applyBorder="0" applyAlignment="0" applyProtection="0">
      <alignment vertical="center"/>
    </xf>
    <xf numFmtId="0" fontId="73" fillId="33" borderId="0" applyNumberFormat="0" applyBorder="0" applyAlignment="0" applyProtection="0">
      <alignment vertical="center"/>
    </xf>
    <xf numFmtId="0" fontId="72" fillId="34" borderId="0" applyNumberFormat="0" applyBorder="0" applyAlignment="0" applyProtection="0">
      <alignment vertical="center"/>
    </xf>
    <xf numFmtId="0" fontId="72" fillId="12" borderId="0" applyNumberFormat="0" applyBorder="0" applyAlignment="0" applyProtection="0">
      <alignment vertical="center"/>
    </xf>
    <xf numFmtId="0" fontId="73" fillId="35" borderId="0" applyNumberFormat="0" applyBorder="0" applyAlignment="0" applyProtection="0">
      <alignment vertical="center"/>
    </xf>
    <xf numFmtId="0" fontId="73" fillId="36" borderId="0" applyNumberFormat="0" applyBorder="0" applyAlignment="0" applyProtection="0">
      <alignment vertical="center"/>
    </xf>
    <xf numFmtId="0" fontId="72" fillId="37" borderId="0" applyNumberFormat="0" applyBorder="0" applyAlignment="0" applyProtection="0">
      <alignment vertical="center"/>
    </xf>
    <xf numFmtId="0" fontId="72" fillId="38"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3"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3" fillId="50" borderId="0" applyNumberFormat="0" applyBorder="0" applyAlignment="0" applyProtection="0">
      <alignment vertical="center"/>
    </xf>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4">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179" fontId="0" fillId="0" borderId="8" xfId="0" applyNumberFormat="1"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2" borderId="50" xfId="0" applyNumberFormat="1" applyFont="1" applyFill="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2" borderId="54" xfId="0" applyNumberFormat="1" applyFont="1" applyFill="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0" borderId="41" xfId="0" applyNumberFormat="1" applyFont="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36" xfId="0" applyNumberFormat="1"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47"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8"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9"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9"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9"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9"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9"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9"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9" fillId="18" borderId="125" xfId="0" applyNumberFormat="1" applyFont="1" applyFill="1" applyBorder="1" applyAlignment="1" applyProtection="1">
      <alignment horizontal="center"/>
      <protection hidden="1"/>
    </xf>
    <xf numFmtId="199" fontId="49" fillId="18" borderId="121" xfId="0" applyNumberFormat="1" applyFont="1" applyFill="1" applyBorder="1" applyAlignment="1" applyProtection="1">
      <alignment horizontal="center"/>
      <protection hidden="1"/>
    </xf>
    <xf numFmtId="199" fontId="49"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9"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9"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9"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9"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199" fontId="49" fillId="0" borderId="125" xfId="0" applyNumberFormat="1" applyFont="1" applyFill="1" applyBorder="1" applyAlignment="1" applyProtection="1">
      <alignment horizontal="center"/>
      <protection hidden="1"/>
    </xf>
    <xf numFmtId="0" fontId="5" fillId="6" borderId="120" xfId="0" applyFont="1" applyFill="1" applyBorder="1" applyAlignment="1" applyProtection="1">
      <alignment shrinkToFit="1"/>
      <protection hidden="1"/>
    </xf>
    <xf numFmtId="199" fontId="49" fillId="0" borderId="121" xfId="0" applyNumberFormat="1" applyFont="1" applyFill="1" applyBorder="1" applyAlignment="1" applyProtection="1">
      <alignment horizontal="center"/>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9" fillId="0"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9"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9"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9"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9"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9"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9"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50"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9"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1"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34"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5" xfId="0" applyFont="1" applyFill="1" applyBorder="1" applyAlignment="1" applyProtection="1">
      <alignment shrinkToFit="1"/>
      <protection hidden="1"/>
    </xf>
    <xf numFmtId="180" fontId="17" fillId="0" borderId="135"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9"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2"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2"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6" xfId="0" applyFill="1" applyBorder="1" applyAlignment="1" applyProtection="1">
      <protection hidden="1"/>
    </xf>
    <xf numFmtId="0" fontId="5" fillId="2" borderId="126" xfId="0" applyFont="1" applyFill="1" applyBorder="1" applyAlignment="1" applyProtection="1">
      <protection hidden="1"/>
    </xf>
    <xf numFmtId="180" fontId="52" fillId="2" borderId="127" xfId="0" applyNumberFormat="1" applyFont="1" applyFill="1" applyBorder="1" applyAlignment="1" applyProtection="1">
      <protection hidden="1"/>
    </xf>
    <xf numFmtId="0" fontId="53" fillId="0" borderId="0" xfId="0" applyFont="1" applyAlignment="1" applyProtection="1">
      <protection hidden="1"/>
    </xf>
    <xf numFmtId="180" fontId="54" fillId="0" borderId="0" xfId="0" applyNumberFormat="1" applyFont="1" applyAlignment="1" applyProtection="1">
      <protection hidden="1"/>
    </xf>
    <xf numFmtId="0" fontId="54"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4bd593ed-fa2d-4692-80ad-acad31cf6d2e}"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55df1508-b85d-4b51-832a-8a62343c63e9}"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60393"/>
    <xdr:sp>
      <xdr:nvSpPr>
        <xdr:cNvPr id="5" name="テキスト ボックス 4"/>
        <xdr:cNvSpPr txBox="1"/>
      </xdr:nvSpPr>
      <xdr:spPr>
        <a:xfrm>
          <a:off x="2663190" y="2765425"/>
          <a:ext cx="558800" cy="460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60393"/>
    <xdr:sp>
      <xdr:nvSpPr>
        <xdr:cNvPr id="6" name="テキスト ボックス 5"/>
        <xdr:cNvSpPr txBox="1"/>
      </xdr:nvSpPr>
      <xdr:spPr>
        <a:xfrm>
          <a:off x="4423410" y="2774315"/>
          <a:ext cx="558800" cy="460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topLeftCell="A31" workbookViewId="0">
      <selection activeCell="D51" sqref="D51:D52"/>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7" t="s">
        <v>0</v>
      </c>
      <c r="B1" s="477"/>
      <c r="C1" s="478"/>
      <c r="D1" s="478"/>
      <c r="E1" s="478"/>
      <c r="F1" s="477" t="s">
        <v>1</v>
      </c>
      <c r="G1" s="478"/>
      <c r="H1" s="477" t="s">
        <v>2</v>
      </c>
    </row>
    <row r="2" ht="30.6" customHeight="1" spans="1:2">
      <c r="A2" s="479" t="s">
        <v>3</v>
      </c>
      <c r="B2" s="480"/>
    </row>
    <row r="3" ht="30.6" customHeight="1" spans="1:5">
      <c r="A3" s="481" t="s">
        <v>4</v>
      </c>
      <c r="B3" s="482"/>
      <c r="C3" s="483"/>
      <c r="D3" s="484" t="s">
        <v>5</v>
      </c>
      <c r="E3" s="50" t="s">
        <v>6</v>
      </c>
    </row>
    <row r="4" customHeight="1" spans="3:4">
      <c r="C4" s="485"/>
      <c r="D4" s="486">
        <v>1</v>
      </c>
    </row>
    <row r="5" s="476" customFormat="1" ht="38.4" customHeight="1" spans="1:10">
      <c r="A5" s="487" t="s">
        <v>7</v>
      </c>
      <c r="B5" s="488" t="s">
        <v>8</v>
      </c>
      <c r="C5" s="488" t="s">
        <v>9</v>
      </c>
      <c r="D5" s="489" t="s">
        <v>10</v>
      </c>
      <c r="E5" s="50"/>
      <c r="F5" s="50"/>
      <c r="J5" s="43"/>
    </row>
    <row r="6" ht="33" customHeight="1" spans="1:10">
      <c r="A6" s="490" t="s">
        <v>11</v>
      </c>
      <c r="B6" s="491" t="s">
        <v>12</v>
      </c>
      <c r="C6" s="492"/>
      <c r="D6" s="493"/>
      <c r="J6" s="43"/>
    </row>
    <row r="7" ht="32.4" customHeight="1" spans="1:10">
      <c r="A7" s="494" t="s">
        <v>13</v>
      </c>
      <c r="B7" s="495" t="s">
        <v>14</v>
      </c>
      <c r="C7" s="496">
        <f>C6-G102</f>
        <v>0</v>
      </c>
      <c r="D7" s="497"/>
      <c r="J7" s="43"/>
    </row>
    <row r="8" ht="35.4" customHeight="1" spans="1:10">
      <c r="A8" s="498" t="s">
        <v>15</v>
      </c>
      <c r="B8" s="499" t="s">
        <v>16</v>
      </c>
      <c r="C8" s="500" t="str">
        <f>IFERROR(C7/C6,"")</f>
        <v/>
      </c>
      <c r="D8" s="501"/>
      <c r="J8" s="43"/>
    </row>
    <row r="9" customHeight="1" spans="1:10">
      <c r="A9" s="502"/>
      <c r="B9" s="503"/>
      <c r="C9" s="504"/>
      <c r="D9" s="505"/>
      <c r="J9" s="43"/>
    </row>
    <row r="10" customHeight="1" spans="1:4">
      <c r="A10" s="506"/>
      <c r="B10" s="507"/>
      <c r="C10" s="508"/>
      <c r="D10" s="509"/>
    </row>
    <row r="11" customHeight="1" spans="1:4">
      <c r="A11" s="510"/>
      <c r="B11" s="511"/>
      <c r="C11" s="512"/>
      <c r="D11" s="513"/>
    </row>
    <row r="12" customHeight="1" spans="1:4">
      <c r="A12" s="514" t="s">
        <v>17</v>
      </c>
      <c r="B12" s="515" t="s">
        <v>18</v>
      </c>
      <c r="C12" s="516"/>
      <c r="D12" s="517"/>
    </row>
    <row r="13" customHeight="1" spans="1:4">
      <c r="A13" s="514" t="s">
        <v>19</v>
      </c>
      <c r="B13" s="518" t="s">
        <v>20</v>
      </c>
      <c r="C13" s="519"/>
      <c r="D13" s="520"/>
    </row>
    <row r="14" customHeight="1" spans="1:5">
      <c r="A14" s="514" t="s">
        <v>21</v>
      </c>
      <c r="B14" s="518" t="s">
        <v>22</v>
      </c>
      <c r="C14" s="519"/>
      <c r="D14" s="520"/>
      <c r="E14" s="40" t="s">
        <v>22</v>
      </c>
    </row>
    <row r="15" customHeight="1" spans="1:5">
      <c r="A15" s="514" t="s">
        <v>23</v>
      </c>
      <c r="B15" s="521" t="s">
        <v>24</v>
      </c>
      <c r="C15" s="522"/>
      <c r="D15" s="523"/>
      <c r="E15" s="40" t="s">
        <v>24</v>
      </c>
    </row>
    <row r="16" customHeight="1" spans="1:5">
      <c r="A16" s="514" t="s">
        <v>25</v>
      </c>
      <c r="B16" s="524" t="s">
        <v>26</v>
      </c>
      <c r="C16" s="525"/>
      <c r="D16" s="526"/>
      <c r="E16" s="40" t="s">
        <v>26</v>
      </c>
    </row>
    <row r="17" customHeight="1" spans="1:5">
      <c r="A17" s="514" t="s">
        <v>27</v>
      </c>
      <c r="B17" s="527" t="s">
        <v>28</v>
      </c>
      <c r="C17" s="528"/>
      <c r="D17" s="529"/>
      <c r="E17" s="40" t="s">
        <v>28</v>
      </c>
    </row>
    <row r="18" customHeight="1" spans="1:5">
      <c r="A18" s="514" t="s">
        <v>29</v>
      </c>
      <c r="B18" s="518" t="s">
        <v>30</v>
      </c>
      <c r="C18" s="519"/>
      <c r="D18" s="530"/>
      <c r="E18" s="40" t="s">
        <v>30</v>
      </c>
    </row>
    <row r="19" customHeight="1" spans="1:5">
      <c r="A19" s="514" t="s">
        <v>31</v>
      </c>
      <c r="B19" s="521" t="s">
        <v>32</v>
      </c>
      <c r="C19" s="522"/>
      <c r="D19" s="531"/>
      <c r="E19" s="40" t="s">
        <v>32</v>
      </c>
    </row>
    <row r="20" customHeight="1" spans="1:5">
      <c r="A20" s="514" t="s">
        <v>33</v>
      </c>
      <c r="B20" s="524" t="s">
        <v>34</v>
      </c>
      <c r="C20" s="525"/>
      <c r="D20" s="526"/>
      <c r="E20" s="40" t="s">
        <v>34</v>
      </c>
    </row>
    <row r="21" customHeight="1" spans="1:5">
      <c r="A21" s="514" t="s">
        <v>35</v>
      </c>
      <c r="B21" s="524" t="s">
        <v>36</v>
      </c>
      <c r="C21" s="525"/>
      <c r="D21" s="526"/>
      <c r="E21" s="40" t="s">
        <v>36</v>
      </c>
    </row>
    <row r="22" customHeight="1" spans="1:5">
      <c r="A22" s="514" t="s">
        <v>37</v>
      </c>
      <c r="B22" s="527" t="s">
        <v>38</v>
      </c>
      <c r="C22" s="528"/>
      <c r="D22" s="532"/>
      <c r="E22" s="40" t="s">
        <v>38</v>
      </c>
    </row>
    <row r="23" customHeight="1" spans="1:5">
      <c r="A23" s="514" t="s">
        <v>39</v>
      </c>
      <c r="B23" s="518" t="s">
        <v>40</v>
      </c>
      <c r="C23" s="519"/>
      <c r="D23" s="533"/>
      <c r="E23" s="40" t="s">
        <v>40</v>
      </c>
    </row>
    <row r="24" customHeight="1" spans="1:4">
      <c r="A24" s="514" t="s">
        <v>41</v>
      </c>
      <c r="B24" s="518" t="s">
        <v>42</v>
      </c>
      <c r="C24" s="519"/>
      <c r="D24" s="533"/>
    </row>
    <row r="25" customHeight="1" spans="1:4">
      <c r="A25" s="514" t="s">
        <v>43</v>
      </c>
      <c r="B25" s="518" t="s">
        <v>44</v>
      </c>
      <c r="C25" s="519"/>
      <c r="D25" s="533"/>
    </row>
    <row r="26" customHeight="1" spans="1:4">
      <c r="A26" s="514" t="s">
        <v>45</v>
      </c>
      <c r="B26" s="521" t="s">
        <v>44</v>
      </c>
      <c r="C26" s="522"/>
      <c r="D26" s="523"/>
    </row>
    <row r="27" customHeight="1" spans="1:4">
      <c r="A27" s="514" t="s">
        <v>46</v>
      </c>
      <c r="B27" s="527" t="s">
        <v>47</v>
      </c>
      <c r="C27" s="528"/>
      <c r="D27" s="534"/>
    </row>
    <row r="28" customHeight="1" spans="1:4">
      <c r="A28" s="514" t="s">
        <v>48</v>
      </c>
      <c r="B28" s="535" t="s">
        <v>49</v>
      </c>
      <c r="C28" s="536"/>
      <c r="D28" s="537"/>
    </row>
    <row r="29" customHeight="1" spans="1:4">
      <c r="A29" s="538" t="s">
        <v>50</v>
      </c>
      <c r="B29" s="539" t="s">
        <v>51</v>
      </c>
      <c r="C29" s="492"/>
      <c r="D29" s="540"/>
    </row>
    <row r="30" customHeight="1" spans="1:4">
      <c r="A30" s="538" t="s">
        <v>52</v>
      </c>
      <c r="B30" s="541" t="s">
        <v>53</v>
      </c>
      <c r="C30" s="528"/>
      <c r="D30" s="529"/>
    </row>
    <row r="31" customHeight="1" spans="1:4">
      <c r="A31" s="538" t="s">
        <v>54</v>
      </c>
      <c r="B31" s="542" t="s">
        <v>55</v>
      </c>
      <c r="C31" s="543"/>
      <c r="D31" s="544"/>
    </row>
    <row r="32" customHeight="1" spans="1:4">
      <c r="A32" s="538" t="s">
        <v>56</v>
      </c>
      <c r="B32" s="545" t="s">
        <v>57</v>
      </c>
      <c r="C32" s="546"/>
      <c r="D32" s="547"/>
    </row>
    <row r="33" customHeight="1" spans="1:4">
      <c r="A33" s="538" t="s">
        <v>58</v>
      </c>
      <c r="B33" s="548" t="s">
        <v>59</v>
      </c>
      <c r="C33" s="549"/>
      <c r="D33" s="550"/>
    </row>
    <row r="34" customHeight="1" spans="1:4">
      <c r="A34" s="538" t="s">
        <v>60</v>
      </c>
      <c r="B34" s="551" t="s">
        <v>61</v>
      </c>
      <c r="C34" s="522"/>
      <c r="D34" s="531"/>
    </row>
    <row r="35" customHeight="1" spans="1:4">
      <c r="A35" s="538" t="s">
        <v>62</v>
      </c>
      <c r="B35" s="541" t="s">
        <v>63</v>
      </c>
      <c r="C35" s="528"/>
      <c r="D35" s="529"/>
    </row>
    <row r="36" customHeight="1" spans="1:4">
      <c r="A36" s="538" t="s">
        <v>64</v>
      </c>
      <c r="B36" s="551" t="s">
        <v>65</v>
      </c>
      <c r="C36" s="522"/>
      <c r="D36" s="531"/>
    </row>
    <row r="37" customHeight="1" spans="1:4">
      <c r="A37" s="552" t="s">
        <v>66</v>
      </c>
      <c r="B37" s="541" t="s">
        <v>67</v>
      </c>
      <c r="C37" s="528"/>
      <c r="D37" s="553"/>
    </row>
    <row r="38" customHeight="1" spans="1:4">
      <c r="A38" s="552" t="s">
        <v>68</v>
      </c>
      <c r="B38" s="554" t="s">
        <v>69</v>
      </c>
      <c r="C38" s="519"/>
      <c r="D38" s="555"/>
    </row>
    <row r="39" customHeight="1" spans="1:4">
      <c r="A39" s="552" t="s">
        <v>70</v>
      </c>
      <c r="B39" s="554" t="s">
        <v>71</v>
      </c>
      <c r="C39" s="519"/>
      <c r="D39" s="555"/>
    </row>
    <row r="40" customHeight="1" spans="1:4">
      <c r="A40" s="552" t="s">
        <v>72</v>
      </c>
      <c r="B40" s="554" t="s">
        <v>73</v>
      </c>
      <c r="C40" s="519"/>
      <c r="D40" s="555"/>
    </row>
    <row r="41" customHeight="1" spans="1:4">
      <c r="A41" s="552" t="s">
        <v>74</v>
      </c>
      <c r="B41" s="554" t="s">
        <v>75</v>
      </c>
      <c r="C41" s="519"/>
      <c r="D41" s="555"/>
    </row>
    <row r="42" customHeight="1" spans="1:4">
      <c r="A42" s="552" t="s">
        <v>76</v>
      </c>
      <c r="B42" s="556" t="s">
        <v>77</v>
      </c>
      <c r="C42" s="557"/>
      <c r="D42" s="558"/>
    </row>
    <row r="43" customHeight="1" spans="1:4">
      <c r="A43" s="559" t="s">
        <v>78</v>
      </c>
      <c r="B43" s="560" t="s">
        <v>79</v>
      </c>
      <c r="C43" s="561"/>
      <c r="D43" s="562"/>
    </row>
    <row r="44" customHeight="1" spans="1:4">
      <c r="A44" s="563" t="s">
        <v>80</v>
      </c>
      <c r="B44" s="564" t="s">
        <v>81</v>
      </c>
      <c r="C44" s="565"/>
      <c r="D44" s="566"/>
    </row>
    <row r="45" customHeight="1" spans="1:4">
      <c r="A45" s="563" t="s">
        <v>82</v>
      </c>
      <c r="B45" s="567" t="s">
        <v>83</v>
      </c>
      <c r="C45" s="568"/>
      <c r="D45" s="534"/>
    </row>
    <row r="46" customHeight="1" spans="1:4">
      <c r="A46" s="563" t="s">
        <v>84</v>
      </c>
      <c r="B46" s="564" t="s">
        <v>85</v>
      </c>
      <c r="C46" s="565"/>
      <c r="D46" s="566"/>
    </row>
    <row r="47" customHeight="1" spans="1:4">
      <c r="A47" s="563" t="s">
        <v>86</v>
      </c>
      <c r="B47" s="567" t="s">
        <v>87</v>
      </c>
      <c r="C47" s="568"/>
      <c r="D47" s="534"/>
    </row>
    <row r="48" customHeight="1" spans="1:4">
      <c r="A48" s="563" t="s">
        <v>88</v>
      </c>
      <c r="B48" s="569" t="s">
        <v>89</v>
      </c>
      <c r="C48" s="570"/>
      <c r="D48" s="537"/>
    </row>
    <row r="49" customHeight="1" spans="1:4">
      <c r="A49" s="563" t="s">
        <v>90</v>
      </c>
      <c r="B49" s="571" t="s">
        <v>91</v>
      </c>
      <c r="C49" s="572"/>
      <c r="D49" s="573"/>
    </row>
    <row r="50" customHeight="1" spans="1:4">
      <c r="A50" s="563" t="s">
        <v>92</v>
      </c>
      <c r="B50" s="574" t="s">
        <v>93</v>
      </c>
      <c r="C50" s="568"/>
      <c r="D50" s="534"/>
    </row>
    <row r="51" customHeight="1" spans="1:4">
      <c r="A51" s="563" t="s">
        <v>94</v>
      </c>
      <c r="B51" s="575" t="s">
        <v>95</v>
      </c>
      <c r="C51" s="576"/>
      <c r="D51" s="520"/>
    </row>
    <row r="52" customHeight="1" spans="1:4">
      <c r="A52" s="563" t="s">
        <v>96</v>
      </c>
      <c r="B52" s="577" t="s">
        <v>97</v>
      </c>
      <c r="C52" s="565"/>
      <c r="D52" s="566"/>
    </row>
    <row r="53" customHeight="1" spans="1:4">
      <c r="A53" s="563" t="s">
        <v>98</v>
      </c>
      <c r="B53" s="574" t="s">
        <v>99</v>
      </c>
      <c r="C53" s="568"/>
      <c r="D53" s="534"/>
    </row>
    <row r="54" customHeight="1" spans="1:4">
      <c r="A54" s="563" t="s">
        <v>100</v>
      </c>
      <c r="B54" s="575" t="s">
        <v>101</v>
      </c>
      <c r="C54" s="576"/>
      <c r="D54" s="578"/>
    </row>
    <row r="55" customHeight="1" spans="1:4">
      <c r="A55" s="563" t="s">
        <v>102</v>
      </c>
      <c r="B55" s="577" t="s">
        <v>103</v>
      </c>
      <c r="C55" s="565"/>
      <c r="D55" s="566"/>
    </row>
    <row r="56" customHeight="1" spans="1:5">
      <c r="A56" s="563" t="s">
        <v>104</v>
      </c>
      <c r="B56" s="574" t="s">
        <v>105</v>
      </c>
      <c r="C56" s="568"/>
      <c r="D56" s="534"/>
      <c r="E56" s="40" t="s">
        <v>105</v>
      </c>
    </row>
    <row r="57" customHeight="1" spans="1:5">
      <c r="A57" s="563" t="s">
        <v>106</v>
      </c>
      <c r="B57" s="577" t="s">
        <v>107</v>
      </c>
      <c r="C57" s="565"/>
      <c r="D57" s="579">
        <f>SUM(D60:D62)</f>
        <v>0</v>
      </c>
      <c r="E57" s="40" t="s">
        <v>108</v>
      </c>
    </row>
    <row r="58" customHeight="1" spans="1:5">
      <c r="A58" s="580" t="s">
        <v>109</v>
      </c>
      <c r="B58" s="581" t="s">
        <v>63</v>
      </c>
      <c r="C58" s="582"/>
      <c r="D58" s="583"/>
      <c r="E58" s="40" t="s">
        <v>63</v>
      </c>
    </row>
    <row r="59" customHeight="1" spans="1:5">
      <c r="A59" s="584" t="s">
        <v>110</v>
      </c>
      <c r="B59" s="585" t="s">
        <v>111</v>
      </c>
      <c r="C59" s="586"/>
      <c r="D59" s="517"/>
      <c r="E59" s="40" t="s">
        <v>28</v>
      </c>
    </row>
    <row r="60" customHeight="1" spans="1:5">
      <c r="A60" s="584" t="s">
        <v>110</v>
      </c>
      <c r="B60" s="587" t="s">
        <v>18</v>
      </c>
      <c r="C60" s="588"/>
      <c r="D60" s="566"/>
      <c r="E60" s="40"/>
    </row>
    <row r="61" customHeight="1" spans="1:5">
      <c r="A61" s="584" t="s">
        <v>110</v>
      </c>
      <c r="B61" s="589" t="s">
        <v>26</v>
      </c>
      <c r="C61" s="590"/>
      <c r="D61" s="534"/>
      <c r="E61" s="40" t="s">
        <v>112</v>
      </c>
    </row>
    <row r="62" customHeight="1" spans="1:5">
      <c r="A62" s="584" t="s">
        <v>110</v>
      </c>
      <c r="B62" s="591" t="s">
        <v>30</v>
      </c>
      <c r="C62" s="592"/>
      <c r="D62" s="537"/>
      <c r="E62" s="40" t="s">
        <v>32</v>
      </c>
    </row>
    <row r="63" customHeight="1" spans="1:7">
      <c r="A63" s="593" t="s">
        <v>113</v>
      </c>
      <c r="B63" s="594" t="s">
        <v>114</v>
      </c>
      <c r="C63" s="595"/>
      <c r="D63" s="573"/>
      <c r="E63" s="596"/>
      <c r="F63" s="597" t="s">
        <v>115</v>
      </c>
      <c r="G63" s="598" t="s">
        <v>116</v>
      </c>
    </row>
    <row r="64" customHeight="1" spans="1:7">
      <c r="A64" s="599" t="s">
        <v>117</v>
      </c>
      <c r="B64" s="600" t="s">
        <v>118</v>
      </c>
      <c r="C64" s="601"/>
      <c r="D64" s="534"/>
      <c r="E64" s="602" t="s">
        <v>119</v>
      </c>
      <c r="F64" s="603" t="s">
        <v>120</v>
      </c>
      <c r="G64" s="604"/>
    </row>
    <row r="65" customHeight="1" spans="1:7">
      <c r="A65" s="599" t="s">
        <v>121</v>
      </c>
      <c r="B65" s="605" t="s">
        <v>122</v>
      </c>
      <c r="C65" s="606"/>
      <c r="D65" s="520"/>
      <c r="E65" s="602" t="s">
        <v>119</v>
      </c>
      <c r="F65" s="603" t="s">
        <v>123</v>
      </c>
      <c r="G65" s="604"/>
    </row>
    <row r="66" customHeight="1" spans="1:7">
      <c r="A66" s="599" t="s">
        <v>124</v>
      </c>
      <c r="B66" s="607" t="s">
        <v>125</v>
      </c>
      <c r="C66" s="608"/>
      <c r="D66" s="566"/>
      <c r="E66" s="602" t="s">
        <v>119</v>
      </c>
      <c r="F66" s="603"/>
      <c r="G66" s="604"/>
    </row>
    <row r="67" customHeight="1" spans="1:7">
      <c r="A67" s="599" t="s">
        <v>126</v>
      </c>
      <c r="B67" s="600" t="s">
        <v>127</v>
      </c>
      <c r="C67" s="601"/>
      <c r="D67" s="534"/>
      <c r="E67" s="602" t="s">
        <v>119</v>
      </c>
      <c r="F67" s="609"/>
      <c r="G67" s="583"/>
    </row>
    <row r="68" customHeight="1" spans="1:7">
      <c r="A68" s="599" t="s">
        <v>128</v>
      </c>
      <c r="B68" s="610" t="s">
        <v>129</v>
      </c>
      <c r="C68" s="611"/>
      <c r="D68" s="537"/>
      <c r="E68" s="596"/>
      <c r="F68" s="612" t="s">
        <v>130</v>
      </c>
      <c r="G68" s="613"/>
    </row>
    <row r="69" customHeight="1" spans="1:7">
      <c r="A69" s="599" t="s">
        <v>131</v>
      </c>
      <c r="B69" s="614" t="s">
        <v>132</v>
      </c>
      <c r="C69" s="615"/>
      <c r="D69" s="616"/>
      <c r="E69" s="602" t="s">
        <v>133</v>
      </c>
      <c r="F69" s="603" t="s">
        <v>134</v>
      </c>
      <c r="G69" s="604"/>
    </row>
    <row r="70" customHeight="1" spans="1:7">
      <c r="A70" s="599" t="s">
        <v>135</v>
      </c>
      <c r="B70" s="600" t="s">
        <v>136</v>
      </c>
      <c r="C70" s="528"/>
      <c r="D70" s="534"/>
      <c r="E70" s="602" t="s">
        <v>133</v>
      </c>
      <c r="F70" s="603"/>
      <c r="G70" s="604"/>
    </row>
    <row r="71" customHeight="1" spans="1:7">
      <c r="A71" s="599" t="s">
        <v>137</v>
      </c>
      <c r="B71" s="607" t="s">
        <v>138</v>
      </c>
      <c r="C71" s="522"/>
      <c r="D71" s="566"/>
      <c r="E71" s="602" t="s">
        <v>133</v>
      </c>
      <c r="F71" s="603"/>
      <c r="G71" s="604"/>
    </row>
    <row r="72" customHeight="1" spans="1:7">
      <c r="A72" s="599" t="s">
        <v>139</v>
      </c>
      <c r="B72" s="600" t="s">
        <v>140</v>
      </c>
      <c r="C72" s="528"/>
      <c r="D72" s="534"/>
      <c r="E72" s="602" t="s">
        <v>133</v>
      </c>
      <c r="F72" s="609"/>
      <c r="G72" s="583"/>
    </row>
    <row r="73" customHeight="1" spans="1:7">
      <c r="A73" s="599" t="s">
        <v>141</v>
      </c>
      <c r="B73" s="607" t="s">
        <v>142</v>
      </c>
      <c r="C73" s="522"/>
      <c r="D73" s="566"/>
      <c r="E73" s="596"/>
      <c r="F73" s="612" t="s">
        <v>143</v>
      </c>
      <c r="G73" s="613"/>
    </row>
    <row r="74" customHeight="1" spans="1:7">
      <c r="A74" s="599" t="s">
        <v>144</v>
      </c>
      <c r="B74" s="617" t="s">
        <v>145</v>
      </c>
      <c r="C74" s="525"/>
      <c r="D74" s="604"/>
      <c r="E74" s="602" t="s">
        <v>146</v>
      </c>
      <c r="F74" s="603" t="s">
        <v>120</v>
      </c>
      <c r="G74" s="604"/>
    </row>
    <row r="75" customHeight="1" spans="1:7">
      <c r="A75" s="599" t="s">
        <v>147</v>
      </c>
      <c r="B75" s="617" t="s">
        <v>148</v>
      </c>
      <c r="C75" s="525"/>
      <c r="D75" s="604"/>
      <c r="E75" s="602" t="s">
        <v>146</v>
      </c>
      <c r="F75" s="603" t="s">
        <v>149</v>
      </c>
      <c r="G75" s="604"/>
    </row>
    <row r="76" customHeight="1" spans="1:7">
      <c r="A76" s="599" t="s">
        <v>150</v>
      </c>
      <c r="B76" s="600" t="s">
        <v>151</v>
      </c>
      <c r="C76" s="528"/>
      <c r="D76" s="534"/>
      <c r="E76" s="602" t="s">
        <v>146</v>
      </c>
      <c r="F76" s="603"/>
      <c r="G76" s="604"/>
    </row>
    <row r="77" customHeight="1" spans="1:7">
      <c r="A77" s="599" t="s">
        <v>152</v>
      </c>
      <c r="B77" s="607" t="s">
        <v>153</v>
      </c>
      <c r="C77" s="522"/>
      <c r="D77" s="566"/>
      <c r="E77" s="602" t="s">
        <v>146</v>
      </c>
      <c r="F77" s="609"/>
      <c r="G77" s="583"/>
    </row>
    <row r="78" customHeight="1" spans="1:7">
      <c r="A78" s="599" t="s">
        <v>154</v>
      </c>
      <c r="B78" s="617" t="s">
        <v>155</v>
      </c>
      <c r="C78" s="525"/>
      <c r="D78" s="604"/>
      <c r="E78" s="596"/>
      <c r="F78" s="612" t="s">
        <v>156</v>
      </c>
      <c r="G78" s="613"/>
    </row>
    <row r="79" customHeight="1" spans="1:7">
      <c r="A79" s="599" t="s">
        <v>157</v>
      </c>
      <c r="B79" s="600" t="s">
        <v>158</v>
      </c>
      <c r="C79" s="528"/>
      <c r="D79" s="534"/>
      <c r="E79" s="618" t="s">
        <v>159</v>
      </c>
      <c r="F79" s="603" t="s">
        <v>160</v>
      </c>
      <c r="G79" s="604"/>
    </row>
    <row r="80" customHeight="1" spans="1:7">
      <c r="A80" s="599" t="s">
        <v>161</v>
      </c>
      <c r="B80" s="607" t="s">
        <v>162</v>
      </c>
      <c r="C80" s="522"/>
      <c r="D80" s="566"/>
      <c r="E80" s="618" t="s">
        <v>159</v>
      </c>
      <c r="F80" s="603"/>
      <c r="G80" s="604"/>
    </row>
    <row r="81" customHeight="1" spans="1:7">
      <c r="A81" s="599" t="s">
        <v>163</v>
      </c>
      <c r="B81" s="600" t="s">
        <v>164</v>
      </c>
      <c r="C81" s="528"/>
      <c r="D81" s="534"/>
      <c r="E81" s="618" t="s">
        <v>159</v>
      </c>
      <c r="F81" s="603"/>
      <c r="G81" s="604"/>
    </row>
    <row r="82" customHeight="1" spans="1:7">
      <c r="A82" s="599" t="s">
        <v>165</v>
      </c>
      <c r="B82" s="607" t="s">
        <v>166</v>
      </c>
      <c r="C82" s="522"/>
      <c r="D82" s="566"/>
      <c r="E82" s="619" t="s">
        <v>159</v>
      </c>
      <c r="F82" s="609"/>
      <c r="G82" s="583"/>
    </row>
    <row r="83" customHeight="1" spans="1:5">
      <c r="A83" s="599" t="s">
        <v>167</v>
      </c>
      <c r="B83" s="600" t="s">
        <v>168</v>
      </c>
      <c r="C83" s="528"/>
      <c r="D83" s="534"/>
      <c r="E83" s="40" t="s">
        <v>168</v>
      </c>
    </row>
    <row r="84" customHeight="1" spans="1:5">
      <c r="A84" s="599" t="s">
        <v>169</v>
      </c>
      <c r="B84" s="605" t="s">
        <v>170</v>
      </c>
      <c r="C84" s="519"/>
      <c r="D84" s="520"/>
      <c r="E84" s="40" t="s">
        <v>170</v>
      </c>
    </row>
    <row r="85" customHeight="1" spans="1:5">
      <c r="A85" s="599" t="s">
        <v>171</v>
      </c>
      <c r="B85" s="605" t="s">
        <v>172</v>
      </c>
      <c r="C85" s="519"/>
      <c r="D85" s="520"/>
      <c r="E85" s="40" t="s">
        <v>172</v>
      </c>
    </row>
    <row r="86" customHeight="1" spans="1:5">
      <c r="A86" s="599" t="s">
        <v>173</v>
      </c>
      <c r="B86" s="605" t="s">
        <v>174</v>
      </c>
      <c r="C86" s="519"/>
      <c r="D86" s="520"/>
      <c r="E86" s="40" t="s">
        <v>174</v>
      </c>
    </row>
    <row r="87" customHeight="1" spans="1:5">
      <c r="A87" s="599" t="s">
        <v>175</v>
      </c>
      <c r="B87" s="605" t="s">
        <v>176</v>
      </c>
      <c r="C87" s="519"/>
      <c r="D87" s="520"/>
      <c r="E87" s="40" t="s">
        <v>176</v>
      </c>
    </row>
    <row r="88" customHeight="1" spans="1:5">
      <c r="A88" s="599" t="s">
        <v>177</v>
      </c>
      <c r="B88" s="605" t="s">
        <v>178</v>
      </c>
      <c r="C88" s="519"/>
      <c r="D88" s="520"/>
      <c r="E88" s="40" t="s">
        <v>178</v>
      </c>
    </row>
    <row r="89" customHeight="1" spans="1:5">
      <c r="A89" s="599" t="s">
        <v>179</v>
      </c>
      <c r="B89" s="605" t="s">
        <v>180</v>
      </c>
      <c r="C89" s="519"/>
      <c r="D89" s="520"/>
      <c r="E89" s="40" t="s">
        <v>180</v>
      </c>
    </row>
    <row r="90" customHeight="1" spans="1:5">
      <c r="A90" s="599" t="s">
        <v>181</v>
      </c>
      <c r="B90" s="605" t="s">
        <v>182</v>
      </c>
      <c r="C90" s="519"/>
      <c r="D90" s="520"/>
      <c r="E90" s="40" t="s">
        <v>182</v>
      </c>
    </row>
    <row r="91" customHeight="1" spans="1:5">
      <c r="A91" s="599" t="s">
        <v>183</v>
      </c>
      <c r="B91" s="605" t="s">
        <v>184</v>
      </c>
      <c r="C91" s="519"/>
      <c r="D91" s="520"/>
      <c r="E91" s="40" t="s">
        <v>184</v>
      </c>
    </row>
    <row r="92" customHeight="1" spans="1:5">
      <c r="A92" s="599" t="s">
        <v>185</v>
      </c>
      <c r="B92" s="605" t="s">
        <v>186</v>
      </c>
      <c r="C92" s="519"/>
      <c r="D92" s="520"/>
      <c r="E92" s="40" t="s">
        <v>186</v>
      </c>
    </row>
    <row r="93" customHeight="1" spans="1:5">
      <c r="A93" s="599" t="s">
        <v>187</v>
      </c>
      <c r="B93" s="605" t="s">
        <v>188</v>
      </c>
      <c r="C93" s="519"/>
      <c r="D93" s="520"/>
      <c r="E93" s="40" t="s">
        <v>188</v>
      </c>
    </row>
    <row r="94" customHeight="1" spans="1:5">
      <c r="A94" s="599" t="s">
        <v>189</v>
      </c>
      <c r="B94" s="605" t="s">
        <v>190</v>
      </c>
      <c r="C94" s="519"/>
      <c r="D94" s="520"/>
      <c r="E94" s="40" t="s">
        <v>190</v>
      </c>
    </row>
    <row r="95" customHeight="1" spans="1:5">
      <c r="A95" s="599" t="s">
        <v>191</v>
      </c>
      <c r="B95" s="605" t="s">
        <v>192</v>
      </c>
      <c r="C95" s="519"/>
      <c r="D95" s="520"/>
      <c r="E95" s="40" t="s">
        <v>192</v>
      </c>
    </row>
    <row r="96" customHeight="1" spans="1:5">
      <c r="A96" s="599" t="s">
        <v>193</v>
      </c>
      <c r="B96" s="605" t="s">
        <v>194</v>
      </c>
      <c r="C96" s="519"/>
      <c r="D96" s="520"/>
      <c r="E96" s="40" t="s">
        <v>194</v>
      </c>
    </row>
    <row r="97" customHeight="1" spans="1:5">
      <c r="A97" s="599" t="s">
        <v>195</v>
      </c>
      <c r="B97" s="605" t="s">
        <v>196</v>
      </c>
      <c r="C97" s="519"/>
      <c r="D97" s="520"/>
      <c r="E97" s="40" t="s">
        <v>196</v>
      </c>
    </row>
    <row r="98" customHeight="1" spans="1:5">
      <c r="A98" s="599" t="s">
        <v>197</v>
      </c>
      <c r="B98" s="605" t="s">
        <v>112</v>
      </c>
      <c r="C98" s="519"/>
      <c r="D98" s="520"/>
      <c r="E98" s="40" t="s">
        <v>112</v>
      </c>
    </row>
    <row r="99" customHeight="1" spans="1:5">
      <c r="A99" s="620" t="s">
        <v>198</v>
      </c>
      <c r="B99" s="610" t="s">
        <v>199</v>
      </c>
      <c r="C99" s="536"/>
      <c r="D99" s="537"/>
      <c r="E99" s="40" t="s">
        <v>199</v>
      </c>
    </row>
    <row r="100" customHeight="1" spans="1:5">
      <c r="A100" s="621" t="s">
        <v>200</v>
      </c>
      <c r="B100" s="622" t="s">
        <v>201</v>
      </c>
      <c r="C100" s="623"/>
      <c r="D100" s="624"/>
      <c r="E100" s="40" t="s">
        <v>201</v>
      </c>
    </row>
    <row r="101" customHeight="1" spans="1:5">
      <c r="A101" s="625" t="s">
        <v>202</v>
      </c>
      <c r="B101" s="626" t="s">
        <v>203</v>
      </c>
      <c r="C101" s="627"/>
      <c r="D101" s="540"/>
      <c r="E101" s="40" t="s">
        <v>204</v>
      </c>
    </row>
    <row r="102" customHeight="1" spans="1:7">
      <c r="A102" s="602" t="s">
        <v>119</v>
      </c>
      <c r="B102" s="612" t="s">
        <v>204</v>
      </c>
      <c r="C102" s="525">
        <f>SUM(G64:G67)</f>
        <v>0</v>
      </c>
      <c r="D102" s="628"/>
      <c r="E102" s="629" t="s">
        <v>205</v>
      </c>
      <c r="F102" s="630" t="s">
        <v>206</v>
      </c>
      <c r="G102" s="631">
        <f>SUM(D12:D58)+SUM(D63:D100)</f>
        <v>0</v>
      </c>
    </row>
    <row r="103" ht="19.95" customHeight="1" spans="1:7">
      <c r="A103" s="602" t="s">
        <v>133</v>
      </c>
      <c r="B103" s="612" t="s">
        <v>207</v>
      </c>
      <c r="C103" s="525">
        <f>SUM(G69:G72)</f>
        <v>0</v>
      </c>
      <c r="D103" s="628"/>
      <c r="E103" s="632"/>
      <c r="F103" s="633" t="s">
        <v>208</v>
      </c>
      <c r="G103" s="634">
        <f>SUM(C12:C100)</f>
        <v>0</v>
      </c>
    </row>
    <row r="104" ht="18" customHeight="1" spans="1:7">
      <c r="A104" s="635"/>
      <c r="B104" s="612" t="s">
        <v>209</v>
      </c>
      <c r="C104" s="525">
        <f>G105+C102-C103</f>
        <v>0</v>
      </c>
      <c r="D104" s="628"/>
      <c r="E104" s="636"/>
      <c r="F104" s="633"/>
      <c r="G104" s="634"/>
    </row>
    <row r="105" customHeight="1" spans="1:7">
      <c r="A105" s="602" t="s">
        <v>146</v>
      </c>
      <c r="B105" s="612" t="s">
        <v>210</v>
      </c>
      <c r="C105" s="525">
        <f>SUM(G74:G77)</f>
        <v>0</v>
      </c>
      <c r="D105" s="628"/>
      <c r="E105" s="636"/>
      <c r="F105" s="633" t="s">
        <v>211</v>
      </c>
      <c r="G105" s="634">
        <f>C7-G103</f>
        <v>0</v>
      </c>
    </row>
    <row r="106" ht="15.75" customHeight="1" spans="1:7">
      <c r="A106" s="602" t="s">
        <v>159</v>
      </c>
      <c r="B106" s="637" t="s">
        <v>212</v>
      </c>
      <c r="C106" s="543">
        <f>SUM(G79:G82)</f>
        <v>0</v>
      </c>
      <c r="D106" s="544"/>
      <c r="E106" s="638"/>
      <c r="F106" s="639" t="s">
        <v>213</v>
      </c>
      <c r="G106" s="640">
        <f>C104+C105-C106</f>
        <v>0</v>
      </c>
    </row>
    <row r="108" customHeight="1" spans="1:3">
      <c r="A108" s="641"/>
      <c r="B108" s="641"/>
      <c r="C108" s="642"/>
    </row>
    <row r="109" customHeight="1" spans="1:3">
      <c r="A109" s="641"/>
      <c r="B109" s="641"/>
      <c r="C109" s="642"/>
    </row>
    <row r="110" customHeight="1" spans="1:3">
      <c r="A110" s="643"/>
      <c r="B110" s="641"/>
      <c r="C110" s="642"/>
    </row>
    <row r="111" customHeight="1" spans="1:3">
      <c r="A111" s="643"/>
      <c r="B111" s="641"/>
      <c r="C111" s="642"/>
    </row>
    <row r="112" customHeight="1" spans="1:3">
      <c r="A112" s="643"/>
      <c r="B112" s="641"/>
      <c r="C112" s="642"/>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0iE5xjurpA5UoMp1lId15bSpBY2H4mPK3bxAEetX10HmuQwzqPHT4+29ln62AyQveoqzvuFL2TvXIbwOQAPxtA==" saltValue="tkbbikINZ+KOr7WK7XzLpQ=="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7" t="s">
        <v>214</v>
      </c>
      <c r="C2" s="347"/>
      <c r="D2" s="347"/>
      <c r="E2" s="347"/>
      <c r="F2" s="347"/>
      <c r="G2" s="347"/>
      <c r="H2" s="347"/>
      <c r="I2" s="347"/>
      <c r="J2" s="11"/>
      <c r="K2" s="11"/>
      <c r="L2" s="11"/>
      <c r="M2" s="11"/>
      <c r="N2" s="11"/>
      <c r="O2" s="11"/>
      <c r="P2" s="11"/>
      <c r="Q2" s="11"/>
      <c r="R2" s="11"/>
      <c r="S2" s="11"/>
      <c r="T2" s="11"/>
    </row>
    <row r="3" spans="1:20">
      <c r="A3" s="11"/>
      <c r="B3" s="348">
        <f>スタート!C6</f>
        <v>0</v>
      </c>
      <c r="C3" s="437"/>
      <c r="D3" s="437"/>
      <c r="E3" s="438"/>
      <c r="F3" s="439">
        <f>スタート!G102</f>
        <v>0</v>
      </c>
      <c r="G3" s="440"/>
      <c r="H3" s="440"/>
      <c r="I3" s="459"/>
      <c r="J3" s="11"/>
      <c r="K3" s="11"/>
      <c r="L3" s="460"/>
      <c r="M3" s="461"/>
      <c r="N3" s="461"/>
      <c r="O3" s="462"/>
      <c r="P3" s="463" t="s">
        <v>215</v>
      </c>
      <c r="Q3" s="460"/>
      <c r="R3" s="461"/>
      <c r="S3" s="461"/>
      <c r="T3" s="462"/>
    </row>
    <row r="4" spans="1:20">
      <c r="A4" s="11"/>
      <c r="B4" s="441"/>
      <c r="C4" s="442"/>
      <c r="D4" s="442"/>
      <c r="E4" s="443"/>
      <c r="F4" s="444"/>
      <c r="G4" s="445"/>
      <c r="H4" s="445"/>
      <c r="I4" s="464"/>
      <c r="J4" s="11"/>
      <c r="K4" s="11"/>
      <c r="L4" s="465"/>
      <c r="M4" s="466"/>
      <c r="N4" s="466"/>
      <c r="O4" s="467"/>
      <c r="P4" s="468"/>
      <c r="Q4" s="465"/>
      <c r="R4" s="466"/>
      <c r="S4" s="466"/>
      <c r="T4" s="467"/>
    </row>
    <row r="5" spans="1:20">
      <c r="A5" s="11"/>
      <c r="B5" s="441"/>
      <c r="C5" s="442"/>
      <c r="D5" s="442"/>
      <c r="E5" s="443"/>
      <c r="F5" s="444"/>
      <c r="G5" s="445"/>
      <c r="H5" s="445"/>
      <c r="I5" s="464"/>
      <c r="J5" s="11"/>
      <c r="K5" s="11"/>
      <c r="L5" s="465"/>
      <c r="M5" s="466"/>
      <c r="N5" s="466"/>
      <c r="O5" s="467"/>
      <c r="P5" s="468"/>
      <c r="Q5" s="465"/>
      <c r="R5" s="466"/>
      <c r="S5" s="466"/>
      <c r="T5" s="467"/>
    </row>
    <row r="6" spans="1:20">
      <c r="A6" s="11"/>
      <c r="B6" s="441"/>
      <c r="C6" s="442"/>
      <c r="D6" s="442"/>
      <c r="E6" s="443"/>
      <c r="F6" s="444"/>
      <c r="G6" s="445"/>
      <c r="H6" s="445"/>
      <c r="I6" s="464"/>
      <c r="J6" s="11"/>
      <c r="K6" s="11"/>
      <c r="L6" s="465"/>
      <c r="M6" s="466"/>
      <c r="N6" s="466"/>
      <c r="O6" s="467"/>
      <c r="P6" s="468"/>
      <c r="Q6" s="465"/>
      <c r="R6" s="466"/>
      <c r="S6" s="466"/>
      <c r="T6" s="467"/>
    </row>
    <row r="7" spans="1:20">
      <c r="A7" s="11"/>
      <c r="B7" s="441"/>
      <c r="C7" s="442"/>
      <c r="D7" s="442"/>
      <c r="E7" s="443"/>
      <c r="F7" s="444"/>
      <c r="G7" s="445"/>
      <c r="H7" s="445"/>
      <c r="I7" s="464"/>
      <c r="J7" s="11"/>
      <c r="K7" s="11"/>
      <c r="L7" s="465"/>
      <c r="M7" s="466"/>
      <c r="N7" s="466"/>
      <c r="O7" s="467"/>
      <c r="P7" s="468"/>
      <c r="Q7" s="465"/>
      <c r="R7" s="466"/>
      <c r="S7" s="466"/>
      <c r="T7" s="467"/>
    </row>
    <row r="8" spans="1:20">
      <c r="A8" s="11"/>
      <c r="B8" s="441"/>
      <c r="C8" s="442"/>
      <c r="D8" s="442"/>
      <c r="E8" s="443"/>
      <c r="F8" s="444"/>
      <c r="G8" s="445"/>
      <c r="H8" s="445"/>
      <c r="I8" s="464"/>
      <c r="J8" s="11"/>
      <c r="K8" s="11"/>
      <c r="L8" s="465"/>
      <c r="M8" s="466"/>
      <c r="N8" s="466"/>
      <c r="O8" s="467"/>
      <c r="P8" s="468"/>
      <c r="Q8" s="465"/>
      <c r="R8" s="466"/>
      <c r="S8" s="466"/>
      <c r="T8" s="467"/>
    </row>
    <row r="9" spans="1:20">
      <c r="A9" s="11"/>
      <c r="B9" s="441"/>
      <c r="C9" s="442"/>
      <c r="D9" s="442"/>
      <c r="E9" s="443"/>
      <c r="F9" s="444"/>
      <c r="G9" s="445"/>
      <c r="H9" s="445"/>
      <c r="I9" s="464"/>
      <c r="J9" s="11"/>
      <c r="K9" s="11"/>
      <c r="L9" s="465"/>
      <c r="M9" s="466"/>
      <c r="N9" s="466"/>
      <c r="O9" s="467"/>
      <c r="P9" s="468"/>
      <c r="Q9" s="465"/>
      <c r="R9" s="466"/>
      <c r="S9" s="466"/>
      <c r="T9" s="467"/>
    </row>
    <row r="10" spans="1:20">
      <c r="A10" s="11"/>
      <c r="B10" s="441"/>
      <c r="C10" s="442"/>
      <c r="D10" s="442"/>
      <c r="E10" s="443"/>
      <c r="F10" s="444"/>
      <c r="G10" s="445"/>
      <c r="H10" s="445"/>
      <c r="I10" s="464"/>
      <c r="J10" s="11"/>
      <c r="K10" s="11"/>
      <c r="L10" s="465"/>
      <c r="M10" s="466"/>
      <c r="N10" s="466"/>
      <c r="O10" s="467"/>
      <c r="P10" s="468"/>
      <c r="Q10" s="465"/>
      <c r="R10" s="466"/>
      <c r="S10" s="466"/>
      <c r="T10" s="467"/>
    </row>
    <row r="11" spans="1:20">
      <c r="A11" s="11"/>
      <c r="B11" s="441"/>
      <c r="C11" s="442"/>
      <c r="D11" s="442"/>
      <c r="E11" s="443"/>
      <c r="F11" s="444"/>
      <c r="G11" s="445"/>
      <c r="H11" s="445"/>
      <c r="I11" s="464"/>
      <c r="J11" s="11"/>
      <c r="K11" s="11"/>
      <c r="L11" s="465"/>
      <c r="M11" s="466"/>
      <c r="N11" s="466"/>
      <c r="O11" s="467"/>
      <c r="P11" s="468"/>
      <c r="Q11" s="465"/>
      <c r="R11" s="466"/>
      <c r="S11" s="466"/>
      <c r="T11" s="467"/>
    </row>
    <row r="12" ht="15.75" spans="1:20">
      <c r="A12" s="11"/>
      <c r="B12" s="441"/>
      <c r="C12" s="442"/>
      <c r="D12" s="442"/>
      <c r="E12" s="443"/>
      <c r="F12" s="446"/>
      <c r="G12" s="447"/>
      <c r="H12" s="447"/>
      <c r="I12" s="469"/>
      <c r="J12" s="11"/>
      <c r="K12" s="11"/>
      <c r="L12" s="470"/>
      <c r="M12" s="471"/>
      <c r="N12" s="471"/>
      <c r="O12" s="472"/>
      <c r="P12" s="473"/>
      <c r="Q12" s="470"/>
      <c r="R12" s="471"/>
      <c r="S12" s="471"/>
      <c r="T12" s="472"/>
    </row>
    <row r="13" ht="18.6" customHeight="1" spans="1:20">
      <c r="A13" s="11"/>
      <c r="B13" s="448">
        <f>L3*Q3/1000000</f>
        <v>0</v>
      </c>
      <c r="C13" s="449"/>
      <c r="D13" s="449"/>
      <c r="E13" s="450"/>
      <c r="F13" s="451">
        <f>スタート!C7</f>
        <v>0</v>
      </c>
      <c r="G13" s="451"/>
      <c r="H13" s="451">
        <f>スタート!G103</f>
        <v>0</v>
      </c>
      <c r="I13" s="451"/>
      <c r="J13" s="11"/>
      <c r="K13" s="11"/>
      <c r="L13" s="474"/>
      <c r="M13" s="474"/>
      <c r="N13" s="474"/>
      <c r="O13" s="474"/>
      <c r="P13" s="475"/>
      <c r="Q13" s="474"/>
      <c r="R13" s="474"/>
      <c r="S13" s="474"/>
      <c r="T13" s="474"/>
    </row>
    <row r="14" ht="18.6" customHeight="1" spans="1:20">
      <c r="A14" s="11"/>
      <c r="B14" s="452"/>
      <c r="C14" s="453"/>
      <c r="D14" s="453"/>
      <c r="E14" s="454"/>
      <c r="F14" s="451"/>
      <c r="G14" s="451"/>
      <c r="H14" s="451"/>
      <c r="I14" s="451"/>
      <c r="J14" s="11"/>
      <c r="K14" s="11"/>
      <c r="L14" s="474"/>
      <c r="M14" s="474"/>
      <c r="N14" s="474"/>
      <c r="O14" s="474"/>
      <c r="P14" s="475"/>
      <c r="Q14" s="474"/>
      <c r="R14" s="474"/>
      <c r="S14" s="474"/>
      <c r="T14" s="474"/>
    </row>
    <row r="15" ht="18.6" customHeight="1" spans="1:20">
      <c r="A15" s="11"/>
      <c r="B15" s="452"/>
      <c r="C15" s="453"/>
      <c r="D15" s="453"/>
      <c r="E15" s="454"/>
      <c r="F15" s="451"/>
      <c r="G15" s="451"/>
      <c r="H15" s="451"/>
      <c r="I15" s="451"/>
      <c r="J15" s="11"/>
      <c r="K15" s="11"/>
      <c r="L15" s="474"/>
      <c r="M15" s="474"/>
      <c r="N15" s="474"/>
      <c r="O15" s="474"/>
      <c r="P15" s="475"/>
      <c r="Q15" s="474"/>
      <c r="R15" s="474"/>
      <c r="S15" s="474"/>
      <c r="T15" s="474"/>
    </row>
    <row r="16" ht="18.6" customHeight="1" spans="1:20">
      <c r="A16" s="11"/>
      <c r="B16" s="452"/>
      <c r="C16" s="453"/>
      <c r="D16" s="453"/>
      <c r="E16" s="454"/>
      <c r="F16" s="451"/>
      <c r="G16" s="451"/>
      <c r="H16" s="451"/>
      <c r="I16" s="451"/>
      <c r="J16" s="11"/>
      <c r="K16" s="11"/>
      <c r="L16" s="474"/>
      <c r="M16" s="474"/>
      <c r="N16" s="474"/>
      <c r="O16" s="474"/>
      <c r="P16" s="475"/>
      <c r="Q16" s="474"/>
      <c r="R16" s="474"/>
      <c r="S16" s="474"/>
      <c r="T16" s="474"/>
    </row>
    <row r="17" ht="18.6" customHeight="1" spans="1:20">
      <c r="A17" s="11"/>
      <c r="B17" s="452"/>
      <c r="C17" s="453"/>
      <c r="D17" s="453"/>
      <c r="E17" s="454"/>
      <c r="F17" s="451"/>
      <c r="G17" s="451"/>
      <c r="H17" s="451"/>
      <c r="I17" s="451"/>
      <c r="J17" s="11"/>
      <c r="K17" s="11"/>
      <c r="L17" s="474"/>
      <c r="M17" s="474"/>
      <c r="N17" s="474"/>
      <c r="O17" s="474"/>
      <c r="P17" s="475"/>
      <c r="Q17" s="474"/>
      <c r="R17" s="474"/>
      <c r="S17" s="474"/>
      <c r="T17" s="474"/>
    </row>
    <row r="18" ht="18.6" customHeight="1" spans="1:20">
      <c r="A18" s="11"/>
      <c r="B18" s="452"/>
      <c r="C18" s="453"/>
      <c r="D18" s="453"/>
      <c r="E18" s="454"/>
      <c r="F18" s="451"/>
      <c r="G18" s="451"/>
      <c r="H18" s="451">
        <f>スタート!G105+スタート!C102-スタート!C103+スタート!C105-スタート!C106</f>
        <v>0</v>
      </c>
      <c r="I18" s="451"/>
      <c r="J18" s="11"/>
      <c r="K18" s="11"/>
      <c r="L18" s="474"/>
      <c r="M18" s="474"/>
      <c r="N18" s="474"/>
      <c r="O18" s="474"/>
      <c r="P18" s="475"/>
      <c r="Q18" s="474"/>
      <c r="R18" s="474"/>
      <c r="S18" s="474"/>
      <c r="T18" s="474"/>
    </row>
    <row r="19" ht="18.6" customHeight="1" spans="1:20">
      <c r="A19" s="11"/>
      <c r="B19" s="452"/>
      <c r="C19" s="453"/>
      <c r="D19" s="453"/>
      <c r="E19" s="454"/>
      <c r="F19" s="451"/>
      <c r="G19" s="451"/>
      <c r="H19" s="451"/>
      <c r="I19" s="451"/>
      <c r="J19" s="11"/>
      <c r="K19" s="11"/>
      <c r="L19" s="474"/>
      <c r="M19" s="475"/>
      <c r="N19" s="474"/>
      <c r="O19" s="474"/>
      <c r="P19" s="475"/>
      <c r="Q19" s="474"/>
      <c r="R19" s="474"/>
      <c r="S19" s="474"/>
      <c r="T19" s="474"/>
    </row>
    <row r="20" ht="18.6" customHeight="1" spans="1:20">
      <c r="A20" s="11"/>
      <c r="B20" s="452"/>
      <c r="C20" s="453"/>
      <c r="D20" s="453"/>
      <c r="E20" s="454"/>
      <c r="F20" s="451"/>
      <c r="G20" s="451"/>
      <c r="H20" s="451"/>
      <c r="I20" s="451"/>
      <c r="J20" s="11"/>
      <c r="K20" s="11"/>
      <c r="L20" s="474"/>
      <c r="M20" s="475"/>
      <c r="N20" s="474"/>
      <c r="O20" s="474"/>
      <c r="P20" s="475"/>
      <c r="Q20" s="474"/>
      <c r="R20" s="474"/>
      <c r="S20" s="474"/>
      <c r="T20" s="474"/>
    </row>
    <row r="21" ht="18.6" customHeight="1" spans="1:20">
      <c r="A21" s="11"/>
      <c r="B21" s="452"/>
      <c r="C21" s="453"/>
      <c r="D21" s="453"/>
      <c r="E21" s="454"/>
      <c r="F21" s="451"/>
      <c r="G21" s="451"/>
      <c r="H21" s="451"/>
      <c r="I21" s="451"/>
      <c r="J21" s="11"/>
      <c r="K21" s="11"/>
      <c r="L21" s="474"/>
      <c r="M21" s="475"/>
      <c r="N21" s="474"/>
      <c r="O21" s="475"/>
      <c r="P21" s="475"/>
      <c r="Q21" s="474"/>
      <c r="R21" s="474"/>
      <c r="S21" s="474"/>
      <c r="T21" s="474"/>
    </row>
    <row r="22" ht="18.6" customHeight="1" spans="1:20">
      <c r="A22" s="11"/>
      <c r="B22" s="455"/>
      <c r="C22" s="456"/>
      <c r="D22" s="456"/>
      <c r="E22" s="457"/>
      <c r="F22" s="451"/>
      <c r="G22" s="451"/>
      <c r="H22" s="451"/>
      <c r="I22" s="451"/>
      <c r="J22" s="11"/>
      <c r="K22" s="11"/>
      <c r="L22" s="474"/>
      <c r="M22" s="475"/>
      <c r="N22" s="474"/>
      <c r="O22" s="475"/>
      <c r="P22" s="475"/>
      <c r="Q22" s="474"/>
      <c r="R22" s="474"/>
      <c r="S22" s="474"/>
      <c r="T22" s="474"/>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8" t="s">
        <v>216</v>
      </c>
      <c r="C24" s="12"/>
      <c r="D24" s="12"/>
      <c r="E24" s="12"/>
      <c r="F24" s="12"/>
      <c r="G24" s="12"/>
      <c r="H24" s="12"/>
      <c r="I24" s="12"/>
      <c r="J24" s="12"/>
      <c r="K24" s="12"/>
      <c r="L24" s="12"/>
      <c r="M24" s="12"/>
      <c r="N24" s="12"/>
      <c r="O24" s="12"/>
      <c r="P24" s="12"/>
      <c r="Q24" s="12"/>
      <c r="R24" s="12"/>
      <c r="S24" s="12"/>
      <c r="T24" s="407"/>
    </row>
    <row r="25" spans="1:20">
      <c r="A25" s="11"/>
      <c r="B25" s="404"/>
      <c r="C25" s="13"/>
      <c r="D25" s="13"/>
      <c r="E25" s="13"/>
      <c r="F25" s="13"/>
      <c r="G25" s="13"/>
      <c r="H25" s="13"/>
      <c r="I25" s="13"/>
      <c r="J25" s="13"/>
      <c r="K25" s="13"/>
      <c r="L25" s="13"/>
      <c r="M25" s="13"/>
      <c r="N25" s="13"/>
      <c r="O25" s="13"/>
      <c r="P25" s="13"/>
      <c r="Q25" s="13"/>
      <c r="R25" s="13"/>
      <c r="S25" s="13"/>
      <c r="T25" s="408"/>
    </row>
    <row r="26" spans="1:20">
      <c r="A26" s="11"/>
      <c r="B26" s="404"/>
      <c r="C26" s="13"/>
      <c r="D26" s="13"/>
      <c r="E26" s="13"/>
      <c r="F26" s="13"/>
      <c r="G26" s="13"/>
      <c r="H26" s="13"/>
      <c r="I26" s="13"/>
      <c r="J26" s="13"/>
      <c r="K26" s="13"/>
      <c r="L26" s="13"/>
      <c r="M26" s="13"/>
      <c r="N26" s="13"/>
      <c r="O26" s="13"/>
      <c r="P26" s="13"/>
      <c r="Q26" s="13"/>
      <c r="R26" s="13"/>
      <c r="S26" s="13"/>
      <c r="T26" s="408"/>
    </row>
    <row r="27" spans="1:20">
      <c r="A27" s="11"/>
      <c r="B27" s="404"/>
      <c r="C27" s="13"/>
      <c r="D27" s="13"/>
      <c r="E27" s="13"/>
      <c r="F27" s="13"/>
      <c r="G27" s="13"/>
      <c r="H27" s="13"/>
      <c r="I27" s="13"/>
      <c r="J27" s="13"/>
      <c r="K27" s="13"/>
      <c r="L27" s="13"/>
      <c r="M27" s="13"/>
      <c r="N27" s="13"/>
      <c r="O27" s="13"/>
      <c r="P27" s="13"/>
      <c r="Q27" s="13"/>
      <c r="R27" s="13"/>
      <c r="S27" s="13"/>
      <c r="T27" s="408"/>
    </row>
    <row r="28" spans="1:20">
      <c r="A28" s="11"/>
      <c r="B28" s="404"/>
      <c r="C28" s="13"/>
      <c r="D28" s="13"/>
      <c r="E28" s="13"/>
      <c r="F28" s="13"/>
      <c r="G28" s="13"/>
      <c r="H28" s="13"/>
      <c r="I28" s="13"/>
      <c r="J28" s="13"/>
      <c r="K28" s="13"/>
      <c r="L28" s="13"/>
      <c r="M28" s="13"/>
      <c r="N28" s="13"/>
      <c r="O28" s="13"/>
      <c r="P28" s="13"/>
      <c r="Q28" s="13"/>
      <c r="R28" s="13"/>
      <c r="S28" s="13"/>
      <c r="T28" s="408"/>
    </row>
    <row r="29" spans="1:20">
      <c r="A29" s="11"/>
      <c r="B29" s="404"/>
      <c r="C29" s="13"/>
      <c r="D29" s="13"/>
      <c r="E29" s="13"/>
      <c r="F29" s="13"/>
      <c r="G29" s="13"/>
      <c r="H29" s="13"/>
      <c r="I29" s="13"/>
      <c r="J29" s="13"/>
      <c r="K29" s="13"/>
      <c r="L29" s="13"/>
      <c r="M29" s="13"/>
      <c r="N29" s="13"/>
      <c r="O29" s="13"/>
      <c r="P29" s="13"/>
      <c r="Q29" s="13"/>
      <c r="R29" s="13"/>
      <c r="S29" s="13"/>
      <c r="T29" s="408"/>
    </row>
    <row r="30" spans="1:20">
      <c r="A30" s="11"/>
      <c r="B30" s="404"/>
      <c r="C30" s="13"/>
      <c r="D30" s="13"/>
      <c r="E30" s="13"/>
      <c r="F30" s="13"/>
      <c r="G30" s="13"/>
      <c r="H30" s="13"/>
      <c r="I30" s="13"/>
      <c r="J30" s="13"/>
      <c r="K30" s="13"/>
      <c r="L30" s="13"/>
      <c r="M30" s="13"/>
      <c r="N30" s="13"/>
      <c r="O30" s="13"/>
      <c r="P30" s="13"/>
      <c r="Q30" s="13"/>
      <c r="R30" s="13"/>
      <c r="S30" s="13"/>
      <c r="T30" s="408"/>
    </row>
    <row r="31" spans="1:20">
      <c r="A31" s="11"/>
      <c r="B31" s="404"/>
      <c r="C31" s="13"/>
      <c r="D31" s="13"/>
      <c r="E31" s="13"/>
      <c r="F31" s="13"/>
      <c r="G31" s="13"/>
      <c r="H31" s="13"/>
      <c r="I31" s="13"/>
      <c r="J31" s="13"/>
      <c r="K31" s="13"/>
      <c r="L31" s="13"/>
      <c r="M31" s="13"/>
      <c r="N31" s="13"/>
      <c r="O31" s="13"/>
      <c r="P31" s="13"/>
      <c r="Q31" s="13"/>
      <c r="R31" s="13"/>
      <c r="S31" s="13"/>
      <c r="T31" s="408"/>
    </row>
    <row r="32" spans="1:20">
      <c r="A32" s="11"/>
      <c r="B32" s="404"/>
      <c r="C32" s="13"/>
      <c r="D32" s="13"/>
      <c r="E32" s="13"/>
      <c r="F32" s="13"/>
      <c r="G32" s="13"/>
      <c r="H32" s="13"/>
      <c r="I32" s="13"/>
      <c r="J32" s="13"/>
      <c r="K32" s="13"/>
      <c r="L32" s="13"/>
      <c r="M32" s="13"/>
      <c r="N32" s="13"/>
      <c r="O32" s="13"/>
      <c r="P32" s="13"/>
      <c r="Q32" s="13"/>
      <c r="R32" s="13"/>
      <c r="S32" s="13"/>
      <c r="T32" s="408"/>
    </row>
    <row r="33" spans="1:20">
      <c r="A33" s="11"/>
      <c r="B33" s="404"/>
      <c r="C33" s="13"/>
      <c r="D33" s="13"/>
      <c r="E33" s="13"/>
      <c r="F33" s="13"/>
      <c r="G33" s="13"/>
      <c r="H33" s="13"/>
      <c r="I33" s="13"/>
      <c r="J33" s="13"/>
      <c r="K33" s="13"/>
      <c r="L33" s="13"/>
      <c r="M33" s="13"/>
      <c r="N33" s="13"/>
      <c r="O33" s="13"/>
      <c r="P33" s="13"/>
      <c r="Q33" s="13"/>
      <c r="R33" s="13"/>
      <c r="S33" s="13"/>
      <c r="T33" s="408"/>
    </row>
    <row r="34" spans="1:20">
      <c r="A34" s="11"/>
      <c r="B34" s="404"/>
      <c r="C34" s="13"/>
      <c r="D34" s="13"/>
      <c r="E34" s="13"/>
      <c r="F34" s="13"/>
      <c r="G34" s="13"/>
      <c r="H34" s="13"/>
      <c r="I34" s="13"/>
      <c r="J34" s="13"/>
      <c r="K34" s="13"/>
      <c r="L34" s="13"/>
      <c r="M34" s="13"/>
      <c r="N34" s="13"/>
      <c r="O34" s="13"/>
      <c r="P34" s="13"/>
      <c r="Q34" s="13"/>
      <c r="R34" s="13"/>
      <c r="S34" s="13"/>
      <c r="T34" s="408"/>
    </row>
    <row r="35" spans="1:20">
      <c r="A35" s="11"/>
      <c r="B35" s="404"/>
      <c r="C35" s="13"/>
      <c r="D35" s="13"/>
      <c r="E35" s="13"/>
      <c r="F35" s="13"/>
      <c r="G35" s="13"/>
      <c r="H35" s="13"/>
      <c r="I35" s="13"/>
      <c r="J35" s="13"/>
      <c r="K35" s="13"/>
      <c r="L35" s="13"/>
      <c r="M35" s="13"/>
      <c r="N35" s="13"/>
      <c r="O35" s="13"/>
      <c r="P35" s="13"/>
      <c r="Q35" s="13"/>
      <c r="R35" s="13"/>
      <c r="S35" s="13"/>
      <c r="T35" s="408"/>
    </row>
    <row r="36" spans="1:20">
      <c r="A36" s="11"/>
      <c r="B36" s="405"/>
      <c r="C36" s="406"/>
      <c r="D36" s="406"/>
      <c r="E36" s="406"/>
      <c r="F36" s="406"/>
      <c r="G36" s="406"/>
      <c r="H36" s="406"/>
      <c r="I36" s="406"/>
      <c r="J36" s="406"/>
      <c r="K36" s="406"/>
      <c r="L36" s="406"/>
      <c r="M36" s="406"/>
      <c r="N36" s="406"/>
      <c r="O36" s="406"/>
      <c r="P36" s="406"/>
      <c r="Q36" s="406"/>
      <c r="R36" s="406"/>
      <c r="S36" s="406"/>
      <c r="T36" s="409"/>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6" t="s">
        <v>217</v>
      </c>
      <c r="B2" s="186"/>
      <c r="C2" s="186"/>
      <c r="D2" s="186"/>
      <c r="E2" s="186"/>
      <c r="F2" s="186"/>
      <c r="G2" s="186"/>
      <c r="H2" s="186"/>
      <c r="I2" s="186"/>
      <c r="J2" s="186"/>
      <c r="K2" s="186"/>
      <c r="L2" s="186"/>
      <c r="M2" s="186"/>
      <c r="N2" s="186"/>
      <c r="O2" s="186"/>
    </row>
    <row r="3" ht="47.25" spans="1:15">
      <c r="A3" s="410" t="s">
        <v>211</v>
      </c>
      <c r="B3" s="411"/>
      <c r="C3" s="412"/>
      <c r="D3" s="412"/>
      <c r="E3" s="413"/>
      <c r="F3" s="414" t="s">
        <v>218</v>
      </c>
      <c r="G3" s="11"/>
      <c r="H3" s="415" t="s">
        <v>219</v>
      </c>
      <c r="I3" s="416"/>
      <c r="J3" s="417"/>
      <c r="K3" s="417"/>
      <c r="L3" s="418"/>
      <c r="M3" s="414" t="s">
        <v>218</v>
      </c>
      <c r="N3" s="11"/>
      <c r="O3" s="11"/>
    </row>
    <row r="4" ht="47.25" spans="1:15">
      <c r="A4" s="410" t="s">
        <v>204</v>
      </c>
      <c r="B4" s="416"/>
      <c r="C4" s="417"/>
      <c r="D4" s="417"/>
      <c r="E4" s="418"/>
      <c r="F4" s="414" t="s">
        <v>218</v>
      </c>
      <c r="G4" s="11"/>
      <c r="H4" s="419" t="s">
        <v>220</v>
      </c>
      <c r="I4" s="416"/>
      <c r="J4" s="417"/>
      <c r="K4" s="417"/>
      <c r="L4" s="418"/>
      <c r="M4" s="414" t="s">
        <v>218</v>
      </c>
      <c r="N4" s="11"/>
      <c r="O4" s="11"/>
    </row>
    <row r="5" ht="47.25" spans="1:15">
      <c r="A5" s="420" t="s">
        <v>207</v>
      </c>
      <c r="B5" s="416"/>
      <c r="C5" s="417"/>
      <c r="D5" s="417"/>
      <c r="E5" s="418"/>
      <c r="F5" s="414" t="s">
        <v>218</v>
      </c>
      <c r="G5" s="11"/>
      <c r="H5" s="410" t="s">
        <v>213</v>
      </c>
      <c r="I5" s="421">
        <f>B6+I3-I4</f>
        <v>0</v>
      </c>
      <c r="J5" s="422"/>
      <c r="K5" s="422"/>
      <c r="L5" s="423"/>
      <c r="M5" s="414" t="s">
        <v>218</v>
      </c>
      <c r="N5" s="11"/>
      <c r="O5" s="11"/>
    </row>
    <row r="6" ht="47.25" spans="1:15">
      <c r="A6" s="410" t="s">
        <v>209</v>
      </c>
      <c r="B6" s="421">
        <f>B3+B4-B5</f>
        <v>0</v>
      </c>
      <c r="C6" s="422"/>
      <c r="D6" s="422"/>
      <c r="E6" s="423"/>
      <c r="F6" s="414" t="s">
        <v>218</v>
      </c>
      <c r="G6" s="11"/>
      <c r="H6" s="11"/>
      <c r="I6" s="11"/>
      <c r="J6" s="11"/>
      <c r="K6" s="11"/>
      <c r="L6" s="11"/>
      <c r="M6" s="11"/>
      <c r="N6" s="11"/>
      <c r="O6" s="11"/>
    </row>
    <row r="7" ht="47.25" spans="1:15">
      <c r="A7" s="424"/>
      <c r="B7" s="425"/>
      <c r="C7" s="426"/>
      <c r="D7" s="426"/>
      <c r="E7" s="426"/>
      <c r="F7" s="427"/>
      <c r="G7" s="11"/>
      <c r="H7" s="428" t="s">
        <v>221</v>
      </c>
      <c r="I7" s="435" t="e">
        <f>I5/スタート!G106</f>
        <v>#DIV/0!</v>
      </c>
      <c r="J7" s="435"/>
      <c r="K7" s="435"/>
      <c r="L7" s="435"/>
      <c r="M7" s="436"/>
      <c r="N7" s="11"/>
      <c r="O7" s="11"/>
    </row>
    <row r="8" ht="46.5" spans="1:15">
      <c r="A8" s="429"/>
      <c r="B8" s="430"/>
      <c r="C8" s="11"/>
      <c r="D8" s="11"/>
      <c r="E8" s="11"/>
      <c r="F8" s="431"/>
      <c r="G8" s="11"/>
      <c r="H8" s="11"/>
      <c r="I8" s="11"/>
      <c r="J8" s="11"/>
      <c r="K8" s="11"/>
      <c r="L8" s="11"/>
      <c r="M8" s="11"/>
      <c r="N8" s="11"/>
      <c r="O8" s="11"/>
    </row>
    <row r="9" ht="46.5" spans="1:15">
      <c r="A9" s="432"/>
      <c r="B9" s="430"/>
      <c r="C9" s="11"/>
      <c r="D9" s="11"/>
      <c r="E9" s="11"/>
      <c r="F9" s="431"/>
      <c r="G9" s="11"/>
      <c r="H9" s="11"/>
      <c r="I9" s="11"/>
      <c r="J9" s="11"/>
      <c r="K9" s="11"/>
      <c r="L9" s="11"/>
      <c r="M9" s="11"/>
      <c r="N9" s="11"/>
      <c r="O9" s="11"/>
    </row>
    <row r="10" ht="46.5" spans="2:6">
      <c r="B10" s="433"/>
      <c r="C10" s="433"/>
      <c r="D10" s="433"/>
      <c r="E10" s="433"/>
      <c r="F10" s="434"/>
    </row>
    <row r="11" ht="46.5" spans="2:6">
      <c r="B11" s="433"/>
      <c r="C11" s="433"/>
      <c r="D11" s="433"/>
      <c r="E11" s="433"/>
      <c r="F11" s="434"/>
    </row>
    <row r="12" ht="46.5" spans="2:6">
      <c r="B12" s="433"/>
      <c r="C12" s="433"/>
      <c r="D12" s="433"/>
      <c r="E12" s="433"/>
      <c r="F12" s="434"/>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F3" sqref="F3:I9"/>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7" t="s">
        <v>222</v>
      </c>
      <c r="C2" s="347"/>
      <c r="D2" s="347"/>
      <c r="E2" s="347"/>
      <c r="F2" s="347"/>
      <c r="G2" s="347"/>
      <c r="H2" s="347"/>
      <c r="I2" s="347"/>
      <c r="J2" s="11"/>
      <c r="K2" s="11"/>
      <c r="L2" s="382" t="s">
        <v>223</v>
      </c>
      <c r="M2" s="382"/>
      <c r="N2" s="382"/>
      <c r="O2" s="382"/>
      <c r="P2" s="382"/>
      <c r="Q2" s="382" t="s">
        <v>224</v>
      </c>
      <c r="R2" s="382"/>
      <c r="S2" s="382"/>
      <c r="T2" s="382"/>
      <c r="U2" s="11"/>
      <c r="V2" s="11"/>
    </row>
    <row r="3" spans="1:22">
      <c r="A3" s="11"/>
      <c r="B3" s="348">
        <f>⑦原価詳細!F31/1000000</f>
        <v>0</v>
      </c>
      <c r="C3" s="349"/>
      <c r="D3" s="349"/>
      <c r="E3" s="350"/>
      <c r="F3" s="348">
        <f>'⑥製造（経費)'!I2</f>
        <v>0</v>
      </c>
      <c r="G3" s="351"/>
      <c r="H3" s="351"/>
      <c r="I3" s="363"/>
      <c r="J3" s="383"/>
      <c r="K3" s="383"/>
      <c r="L3" s="384" t="str">
        <f>⑦原価詳細!E31</f>
        <v/>
      </c>
      <c r="M3" s="385"/>
      <c r="N3" s="385"/>
      <c r="O3" s="386"/>
      <c r="P3" s="387" t="s">
        <v>215</v>
      </c>
      <c r="Q3" s="384">
        <f>⑦原価詳細!D31</f>
        <v>0</v>
      </c>
      <c r="R3" s="385"/>
      <c r="S3" s="385"/>
      <c r="T3" s="386"/>
      <c r="U3" s="11"/>
      <c r="V3" s="11"/>
    </row>
    <row r="4" spans="1:22">
      <c r="A4" s="11"/>
      <c r="B4" s="352"/>
      <c r="C4" s="353"/>
      <c r="D4" s="353"/>
      <c r="E4" s="354"/>
      <c r="F4" s="355"/>
      <c r="G4" s="356"/>
      <c r="H4" s="356"/>
      <c r="I4" s="364"/>
      <c r="J4" s="383"/>
      <c r="K4" s="383"/>
      <c r="L4" s="388"/>
      <c r="M4" s="389"/>
      <c r="N4" s="389"/>
      <c r="O4" s="390"/>
      <c r="P4" s="391"/>
      <c r="Q4" s="388"/>
      <c r="R4" s="389"/>
      <c r="S4" s="389"/>
      <c r="T4" s="390"/>
      <c r="U4" s="11"/>
      <c r="V4" s="11"/>
    </row>
    <row r="5" spans="1:22">
      <c r="A5" s="11"/>
      <c r="B5" s="352"/>
      <c r="C5" s="353"/>
      <c r="D5" s="353"/>
      <c r="E5" s="354"/>
      <c r="F5" s="355"/>
      <c r="G5" s="356"/>
      <c r="H5" s="356"/>
      <c r="I5" s="364"/>
      <c r="J5" s="383"/>
      <c r="K5" s="383"/>
      <c r="L5" s="388"/>
      <c r="M5" s="389"/>
      <c r="N5" s="389"/>
      <c r="O5" s="390"/>
      <c r="P5" s="391"/>
      <c r="Q5" s="388"/>
      <c r="R5" s="389"/>
      <c r="S5" s="389"/>
      <c r="T5" s="390"/>
      <c r="U5" s="11"/>
      <c r="V5" s="11"/>
    </row>
    <row r="6" spans="1:22">
      <c r="A6" s="11"/>
      <c r="B6" s="352"/>
      <c r="C6" s="353"/>
      <c r="D6" s="353"/>
      <c r="E6" s="354"/>
      <c r="F6" s="355"/>
      <c r="G6" s="356"/>
      <c r="H6" s="356"/>
      <c r="I6" s="364"/>
      <c r="J6" s="383"/>
      <c r="K6" s="383"/>
      <c r="L6" s="388"/>
      <c r="M6" s="389"/>
      <c r="N6" s="389"/>
      <c r="O6" s="390"/>
      <c r="P6" s="391"/>
      <c r="Q6" s="388"/>
      <c r="R6" s="389"/>
      <c r="S6" s="389"/>
      <c r="T6" s="390"/>
      <c r="U6" s="11"/>
      <c r="V6" s="11"/>
    </row>
    <row r="7" spans="1:22">
      <c r="A7" s="11"/>
      <c r="B7" s="352"/>
      <c r="C7" s="353"/>
      <c r="D7" s="353"/>
      <c r="E7" s="354"/>
      <c r="F7" s="355"/>
      <c r="G7" s="356"/>
      <c r="H7" s="356"/>
      <c r="I7" s="364"/>
      <c r="J7" s="383"/>
      <c r="K7" s="383"/>
      <c r="L7" s="388"/>
      <c r="M7" s="389"/>
      <c r="N7" s="389"/>
      <c r="O7" s="390"/>
      <c r="P7" s="391"/>
      <c r="Q7" s="388"/>
      <c r="R7" s="389"/>
      <c r="S7" s="389"/>
      <c r="T7" s="390"/>
      <c r="U7" s="11"/>
      <c r="V7" s="11"/>
    </row>
    <row r="8" spans="1:22">
      <c r="A8" s="11"/>
      <c r="B8" s="352"/>
      <c r="C8" s="353"/>
      <c r="D8" s="353"/>
      <c r="E8" s="354"/>
      <c r="F8" s="355"/>
      <c r="G8" s="356"/>
      <c r="H8" s="356"/>
      <c r="I8" s="364"/>
      <c r="J8" s="383"/>
      <c r="K8" s="383"/>
      <c r="L8" s="388"/>
      <c r="M8" s="389"/>
      <c r="N8" s="389"/>
      <c r="O8" s="390"/>
      <c r="P8" s="391"/>
      <c r="Q8" s="388"/>
      <c r="R8" s="389"/>
      <c r="S8" s="389"/>
      <c r="T8" s="390"/>
      <c r="U8" s="11"/>
      <c r="V8" s="11"/>
    </row>
    <row r="9" spans="1:22">
      <c r="A9" s="11"/>
      <c r="B9" s="352"/>
      <c r="C9" s="353"/>
      <c r="D9" s="353"/>
      <c r="E9" s="354"/>
      <c r="F9" s="355"/>
      <c r="G9" s="356"/>
      <c r="H9" s="356"/>
      <c r="I9" s="364"/>
      <c r="J9" s="383"/>
      <c r="K9" s="383"/>
      <c r="L9" s="388"/>
      <c r="M9" s="389"/>
      <c r="N9" s="389"/>
      <c r="O9" s="390"/>
      <c r="P9" s="391"/>
      <c r="Q9" s="388"/>
      <c r="R9" s="389"/>
      <c r="S9" s="389"/>
      <c r="T9" s="390"/>
      <c r="U9" s="11"/>
      <c r="V9" s="11"/>
    </row>
    <row r="10" ht="19.5" spans="1:22">
      <c r="A10" s="11"/>
      <c r="B10" s="352"/>
      <c r="C10" s="353"/>
      <c r="D10" s="353"/>
      <c r="E10" s="354"/>
      <c r="F10" s="357"/>
      <c r="G10" s="358"/>
      <c r="H10" s="358"/>
      <c r="I10" s="392" t="e">
        <f>F3/B3</f>
        <v>#DIV/0!</v>
      </c>
      <c r="J10" s="383"/>
      <c r="K10" s="383"/>
      <c r="L10" s="388"/>
      <c r="M10" s="389"/>
      <c r="N10" s="389"/>
      <c r="O10" s="390"/>
      <c r="P10" s="391"/>
      <c r="Q10" s="388"/>
      <c r="R10" s="389"/>
      <c r="S10" s="389"/>
      <c r="T10" s="390"/>
      <c r="U10" s="11"/>
      <c r="V10" s="11"/>
    </row>
    <row r="11" spans="1:22">
      <c r="A11" s="11"/>
      <c r="B11" s="352"/>
      <c r="C11" s="353"/>
      <c r="D11" s="353"/>
      <c r="E11" s="354"/>
      <c r="F11" s="359"/>
      <c r="G11" s="359"/>
      <c r="H11" s="360"/>
      <c r="I11" s="360"/>
      <c r="J11" s="383"/>
      <c r="K11" s="383"/>
      <c r="L11" s="388"/>
      <c r="M11" s="389"/>
      <c r="N11" s="389"/>
      <c r="O11" s="390"/>
      <c r="P11" s="391"/>
      <c r="Q11" s="388"/>
      <c r="R11" s="389"/>
      <c r="S11" s="389"/>
      <c r="T11" s="390"/>
      <c r="U11" s="11"/>
      <c r="V11" s="11"/>
    </row>
    <row r="12" ht="15.75" spans="1:22">
      <c r="A12" s="11"/>
      <c r="B12" s="352"/>
      <c r="C12" s="353"/>
      <c r="D12" s="353"/>
      <c r="E12" s="354"/>
      <c r="F12" s="361"/>
      <c r="G12" s="361"/>
      <c r="H12" s="362"/>
      <c r="I12" s="362"/>
      <c r="J12" s="383"/>
      <c r="K12" s="383"/>
      <c r="L12" s="393"/>
      <c r="M12" s="394"/>
      <c r="N12" s="394"/>
      <c r="O12" s="395"/>
      <c r="P12" s="396"/>
      <c r="Q12" s="393"/>
      <c r="R12" s="394"/>
      <c r="S12" s="394"/>
      <c r="T12" s="395"/>
      <c r="U12" s="11"/>
      <c r="V12" s="11"/>
    </row>
    <row r="13" ht="18.6" customHeight="1" spans="1:22">
      <c r="A13" s="11"/>
      <c r="B13" s="352"/>
      <c r="C13" s="353"/>
      <c r="D13" s="353"/>
      <c r="E13" s="354"/>
      <c r="F13" s="348">
        <f>B3-F3</f>
        <v>0</v>
      </c>
      <c r="G13" s="363"/>
      <c r="H13" s="348">
        <f>④経費!I2</f>
        <v>0</v>
      </c>
      <c r="I13" s="363"/>
      <c r="J13" s="383"/>
      <c r="K13" s="383"/>
      <c r="L13" s="397"/>
      <c r="M13" s="397"/>
      <c r="N13" s="397"/>
      <c r="O13" s="397"/>
      <c r="P13" s="398"/>
      <c r="Q13" s="397"/>
      <c r="R13" s="397"/>
      <c r="S13" s="397"/>
      <c r="T13" s="397"/>
      <c r="U13" s="11"/>
      <c r="V13" s="11"/>
    </row>
    <row r="14" ht="18.6" customHeight="1" spans="1:22">
      <c r="A14" s="11"/>
      <c r="B14" s="352"/>
      <c r="C14" s="353"/>
      <c r="D14" s="353"/>
      <c r="E14" s="354"/>
      <c r="F14" s="355"/>
      <c r="G14" s="364"/>
      <c r="H14" s="355"/>
      <c r="I14" s="364"/>
      <c r="J14" s="383"/>
      <c r="K14" s="383"/>
      <c r="L14" s="397"/>
      <c r="M14" s="397"/>
      <c r="N14" s="397"/>
      <c r="O14" s="397"/>
      <c r="P14" s="398"/>
      <c r="Q14" s="397"/>
      <c r="R14" s="397"/>
      <c r="S14" s="397"/>
      <c r="T14" s="397"/>
      <c r="U14" s="11"/>
      <c r="V14" s="11"/>
    </row>
    <row r="15" ht="18.6" customHeight="1" spans="1:22">
      <c r="A15" s="11"/>
      <c r="B15" s="352"/>
      <c r="C15" s="353"/>
      <c r="D15" s="353"/>
      <c r="E15" s="354"/>
      <c r="F15" s="355"/>
      <c r="G15" s="364"/>
      <c r="H15" s="355"/>
      <c r="I15" s="364"/>
      <c r="J15" s="383"/>
      <c r="K15" s="383"/>
      <c r="L15" s="397"/>
      <c r="M15" s="397"/>
      <c r="N15" s="397"/>
      <c r="O15" s="397"/>
      <c r="P15" s="398"/>
      <c r="Q15" s="397"/>
      <c r="R15" s="397"/>
      <c r="S15" s="397"/>
      <c r="T15" s="397"/>
      <c r="U15" s="11"/>
      <c r="V15" s="11"/>
    </row>
    <row r="16" ht="18.6" customHeight="1" spans="1:22">
      <c r="A16" s="11"/>
      <c r="B16" s="352"/>
      <c r="C16" s="353"/>
      <c r="D16" s="353"/>
      <c r="E16" s="354"/>
      <c r="F16" s="365"/>
      <c r="G16" s="366" t="e">
        <f>F13/B3</f>
        <v>#DIV/0!</v>
      </c>
      <c r="H16" s="357"/>
      <c r="I16" s="392" t="e">
        <f>H13/B3</f>
        <v>#DIV/0!</v>
      </c>
      <c r="J16" s="383"/>
      <c r="K16" s="383"/>
      <c r="L16" s="397"/>
      <c r="M16" s="397"/>
      <c r="N16" s="397"/>
      <c r="O16" s="397"/>
      <c r="P16" s="398"/>
      <c r="Q16" s="397"/>
      <c r="R16" s="397"/>
      <c r="S16" s="397"/>
      <c r="T16" s="397"/>
      <c r="U16" s="11"/>
      <c r="V16" s="11"/>
    </row>
    <row r="17" ht="18.6" customHeight="1" spans="1:22">
      <c r="A17" s="11"/>
      <c r="B17" s="352"/>
      <c r="C17" s="353"/>
      <c r="D17" s="353"/>
      <c r="E17" s="354"/>
      <c r="F17" s="367">
        <f>⑦原価詳細!B36/1000000-F13</f>
        <v>0</v>
      </c>
      <c r="G17" s="368"/>
      <c r="H17" s="369"/>
      <c r="I17" s="399"/>
      <c r="J17" s="383"/>
      <c r="K17" s="383"/>
      <c r="L17" s="397"/>
      <c r="M17" s="397"/>
      <c r="N17" s="397"/>
      <c r="O17" s="397"/>
      <c r="P17" s="398"/>
      <c r="Q17" s="397"/>
      <c r="R17" s="397"/>
      <c r="S17" s="397"/>
      <c r="T17" s="397"/>
      <c r="U17" s="11"/>
      <c r="V17" s="11"/>
    </row>
    <row r="18" ht="18.6" customHeight="1" spans="1:22">
      <c r="A18" s="11"/>
      <c r="B18" s="352"/>
      <c r="C18" s="353"/>
      <c r="D18" s="353"/>
      <c r="E18" s="354"/>
      <c r="F18" s="370"/>
      <c r="G18" s="371"/>
      <c r="H18" s="372">
        <f>F13-H13</f>
        <v>0</v>
      </c>
      <c r="I18" s="400"/>
      <c r="J18" s="383"/>
      <c r="K18" s="383"/>
      <c r="L18" s="397"/>
      <c r="M18" s="397"/>
      <c r="N18" s="397"/>
      <c r="O18" s="397"/>
      <c r="P18" s="398"/>
      <c r="Q18" s="397"/>
      <c r="R18" s="397"/>
      <c r="S18" s="397"/>
      <c r="T18" s="397"/>
      <c r="U18" s="11"/>
      <c r="V18" s="11"/>
    </row>
    <row r="19" ht="18.6" customHeight="1" spans="1:22">
      <c r="A19" s="11"/>
      <c r="B19" s="352"/>
      <c r="C19" s="353"/>
      <c r="D19" s="353"/>
      <c r="E19" s="354"/>
      <c r="F19" s="370"/>
      <c r="G19" s="371"/>
      <c r="H19" s="370"/>
      <c r="I19" s="371"/>
      <c r="J19" s="383"/>
      <c r="K19" s="383"/>
      <c r="L19" s="397"/>
      <c r="M19" s="397"/>
      <c r="N19" s="397"/>
      <c r="O19" s="397"/>
      <c r="P19" s="398"/>
      <c r="Q19" s="397"/>
      <c r="R19" s="397"/>
      <c r="S19" s="397"/>
      <c r="T19" s="397"/>
      <c r="U19" s="11"/>
      <c r="V19" s="11"/>
    </row>
    <row r="20" ht="18.6" customHeight="1" spans="1:22">
      <c r="A20" s="11"/>
      <c r="B20" s="373"/>
      <c r="C20" s="373"/>
      <c r="D20" s="360"/>
      <c r="E20" s="360"/>
      <c r="F20" s="374"/>
      <c r="G20" s="375"/>
      <c r="H20" s="370"/>
      <c r="I20" s="371"/>
      <c r="J20" s="383"/>
      <c r="K20" s="383"/>
      <c r="L20" s="397"/>
      <c r="M20" s="397"/>
      <c r="N20" s="397"/>
      <c r="O20" s="397"/>
      <c r="P20" s="398"/>
      <c r="Q20" s="397"/>
      <c r="R20" s="397"/>
      <c r="S20" s="397"/>
      <c r="T20" s="397"/>
      <c r="U20" s="11"/>
      <c r="V20" s="11"/>
    </row>
    <row r="21" ht="18.6" customHeight="1" spans="1:22">
      <c r="A21" s="11"/>
      <c r="B21" s="376"/>
      <c r="C21" s="376"/>
      <c r="D21" s="377"/>
      <c r="E21" s="377"/>
      <c r="F21" s="373"/>
      <c r="G21" s="360"/>
      <c r="H21" s="378"/>
      <c r="I21" s="401" t="e">
        <f>H18/B3</f>
        <v>#DIV/0!</v>
      </c>
      <c r="J21" s="383"/>
      <c r="K21" s="383"/>
      <c r="L21" s="397"/>
      <c r="M21" s="397"/>
      <c r="N21" s="397"/>
      <c r="O21" s="397"/>
      <c r="P21" s="398"/>
      <c r="Q21" s="397"/>
      <c r="R21" s="397"/>
      <c r="S21" s="397"/>
      <c r="T21" s="397"/>
      <c r="U21" s="11"/>
      <c r="V21" s="11"/>
    </row>
    <row r="22" ht="18.6" customHeight="1" spans="1:22">
      <c r="A22" s="11"/>
      <c r="B22" s="379"/>
      <c r="C22" s="379"/>
      <c r="D22" s="362"/>
      <c r="E22" s="362"/>
      <c r="F22" s="379"/>
      <c r="G22" s="362"/>
      <c r="H22" s="369" t="s">
        <v>225</v>
      </c>
      <c r="I22" s="399">
        <f>①利益!I5</f>
        <v>0</v>
      </c>
      <c r="J22" s="383"/>
      <c r="K22" s="383"/>
      <c r="L22" s="397"/>
      <c r="M22" s="397"/>
      <c r="N22" s="397"/>
      <c r="O22" s="397"/>
      <c r="P22" s="398"/>
      <c r="Q22" s="397"/>
      <c r="R22" s="397"/>
      <c r="S22" s="397"/>
      <c r="T22" s="397"/>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0" t="s">
        <v>226</v>
      </c>
      <c r="C24" s="380"/>
      <c r="D24" s="380"/>
      <c r="E24" s="380"/>
      <c r="F24" s="380"/>
      <c r="G24" s="380"/>
      <c r="H24" s="380"/>
      <c r="I24" s="380"/>
      <c r="J24" s="11"/>
      <c r="K24" s="11"/>
      <c r="L24" s="402" t="s">
        <v>216</v>
      </c>
      <c r="M24" s="11"/>
      <c r="N24" s="11"/>
      <c r="O24" s="11"/>
      <c r="P24" s="11"/>
      <c r="Q24" s="11"/>
      <c r="R24" s="11"/>
      <c r="S24" s="11"/>
      <c r="T24" s="11"/>
      <c r="U24" s="11"/>
      <c r="V24" s="11"/>
    </row>
    <row r="25" spans="1:22">
      <c r="A25" s="11"/>
      <c r="B25" s="381"/>
      <c r="C25" s="381"/>
      <c r="D25" s="381"/>
      <c r="E25" s="381"/>
      <c r="F25" s="381"/>
      <c r="G25" s="381"/>
      <c r="H25" s="381"/>
      <c r="I25" s="381"/>
      <c r="J25" s="11"/>
      <c r="K25" s="11"/>
      <c r="L25" s="403"/>
      <c r="M25" s="12"/>
      <c r="N25" s="12"/>
      <c r="O25" s="12"/>
      <c r="P25" s="12"/>
      <c r="Q25" s="12"/>
      <c r="R25" s="12"/>
      <c r="S25" s="12"/>
      <c r="T25" s="12"/>
      <c r="U25" s="407"/>
      <c r="V25" s="11"/>
    </row>
    <row r="26" spans="1:22">
      <c r="A26" s="11"/>
      <c r="B26" s="381"/>
      <c r="C26" s="381"/>
      <c r="D26" s="381"/>
      <c r="E26" s="381"/>
      <c r="F26" s="381"/>
      <c r="G26" s="381"/>
      <c r="H26" s="381"/>
      <c r="I26" s="381"/>
      <c r="J26" s="11"/>
      <c r="K26" s="11"/>
      <c r="L26" s="404"/>
      <c r="M26" s="13"/>
      <c r="N26" s="13"/>
      <c r="O26" s="13"/>
      <c r="P26" s="13"/>
      <c r="Q26" s="13"/>
      <c r="R26" s="13"/>
      <c r="S26" s="13"/>
      <c r="T26" s="13"/>
      <c r="U26" s="408"/>
      <c r="V26" s="11"/>
    </row>
    <row r="27" spans="1:22">
      <c r="A27" s="11"/>
      <c r="B27" s="381"/>
      <c r="C27" s="381"/>
      <c r="D27" s="381"/>
      <c r="E27" s="381"/>
      <c r="F27" s="381"/>
      <c r="G27" s="381"/>
      <c r="H27" s="381"/>
      <c r="I27" s="381"/>
      <c r="J27" s="11"/>
      <c r="K27" s="11"/>
      <c r="L27" s="404"/>
      <c r="M27" s="13"/>
      <c r="N27" s="13"/>
      <c r="O27" s="13"/>
      <c r="P27" s="13"/>
      <c r="Q27" s="13"/>
      <c r="R27" s="13"/>
      <c r="S27" s="13"/>
      <c r="T27" s="13"/>
      <c r="U27" s="408"/>
      <c r="V27" s="11"/>
    </row>
    <row r="28" spans="1:22">
      <c r="A28" s="11"/>
      <c r="B28" s="381"/>
      <c r="C28" s="381"/>
      <c r="D28" s="381"/>
      <c r="E28" s="381"/>
      <c r="F28" s="381"/>
      <c r="G28" s="381"/>
      <c r="H28" s="381"/>
      <c r="I28" s="381"/>
      <c r="J28" s="11"/>
      <c r="K28" s="11"/>
      <c r="L28" s="404"/>
      <c r="M28" s="13"/>
      <c r="N28" s="13"/>
      <c r="O28" s="13"/>
      <c r="P28" s="13"/>
      <c r="Q28" s="13"/>
      <c r="R28" s="13"/>
      <c r="S28" s="13"/>
      <c r="T28" s="13"/>
      <c r="U28" s="408"/>
      <c r="V28" s="11"/>
    </row>
    <row r="29" spans="1:22">
      <c r="A29" s="11"/>
      <c r="B29" s="381"/>
      <c r="C29" s="381"/>
      <c r="D29" s="381"/>
      <c r="E29" s="381"/>
      <c r="F29" s="381"/>
      <c r="G29" s="381"/>
      <c r="H29" s="381"/>
      <c r="I29" s="381"/>
      <c r="J29" s="11"/>
      <c r="K29" s="11"/>
      <c r="L29" s="404"/>
      <c r="M29" s="13"/>
      <c r="N29" s="13"/>
      <c r="O29" s="13"/>
      <c r="P29" s="13"/>
      <c r="Q29" s="13"/>
      <c r="R29" s="13"/>
      <c r="S29" s="13"/>
      <c r="T29" s="13"/>
      <c r="U29" s="408"/>
      <c r="V29" s="11"/>
    </row>
    <row r="30" spans="1:22">
      <c r="A30" s="11"/>
      <c r="B30" s="381"/>
      <c r="C30" s="381"/>
      <c r="D30" s="381"/>
      <c r="E30" s="381"/>
      <c r="F30" s="381"/>
      <c r="G30" s="381"/>
      <c r="H30" s="381"/>
      <c r="I30" s="381"/>
      <c r="J30" s="11"/>
      <c r="K30" s="11"/>
      <c r="L30" s="404"/>
      <c r="M30" s="13"/>
      <c r="N30" s="13"/>
      <c r="O30" s="13"/>
      <c r="P30" s="13"/>
      <c r="Q30" s="13"/>
      <c r="R30" s="13"/>
      <c r="S30" s="13"/>
      <c r="T30" s="13"/>
      <c r="U30" s="408"/>
      <c r="V30" s="11"/>
    </row>
    <row r="31" spans="1:22">
      <c r="A31" s="11"/>
      <c r="B31" s="381"/>
      <c r="C31" s="381"/>
      <c r="D31" s="381"/>
      <c r="E31" s="381"/>
      <c r="F31" s="381"/>
      <c r="G31" s="381"/>
      <c r="H31" s="381"/>
      <c r="I31" s="381"/>
      <c r="J31" s="11"/>
      <c r="K31" s="11"/>
      <c r="L31" s="404"/>
      <c r="M31" s="13"/>
      <c r="N31" s="13"/>
      <c r="O31" s="13"/>
      <c r="P31" s="13"/>
      <c r="Q31" s="13"/>
      <c r="R31" s="13"/>
      <c r="S31" s="13"/>
      <c r="T31" s="13"/>
      <c r="U31" s="408"/>
      <c r="V31" s="11"/>
    </row>
    <row r="32" spans="1:22">
      <c r="A32" s="11"/>
      <c r="B32" s="381"/>
      <c r="C32" s="381"/>
      <c r="D32" s="381"/>
      <c r="E32" s="381"/>
      <c r="F32" s="381"/>
      <c r="G32" s="381"/>
      <c r="H32" s="381"/>
      <c r="I32" s="381"/>
      <c r="J32" s="11"/>
      <c r="K32" s="11"/>
      <c r="L32" s="404"/>
      <c r="M32" s="13"/>
      <c r="N32" s="13"/>
      <c r="O32" s="13"/>
      <c r="P32" s="13"/>
      <c r="Q32" s="13"/>
      <c r="R32" s="13"/>
      <c r="S32" s="13"/>
      <c r="T32" s="13"/>
      <c r="U32" s="408"/>
      <c r="V32" s="11"/>
    </row>
    <row r="33" spans="1:22">
      <c r="A33" s="11"/>
      <c r="B33" s="381"/>
      <c r="C33" s="381"/>
      <c r="D33" s="381"/>
      <c r="E33" s="381"/>
      <c r="F33" s="381"/>
      <c r="G33" s="381"/>
      <c r="H33" s="381"/>
      <c r="I33" s="381"/>
      <c r="J33" s="11"/>
      <c r="K33" s="11"/>
      <c r="L33" s="404"/>
      <c r="M33" s="13"/>
      <c r="N33" s="13"/>
      <c r="O33" s="13"/>
      <c r="P33" s="13"/>
      <c r="Q33" s="13"/>
      <c r="R33" s="13"/>
      <c r="S33" s="13"/>
      <c r="T33" s="13"/>
      <c r="U33" s="408"/>
      <c r="V33" s="11"/>
    </row>
    <row r="34" spans="1:22">
      <c r="A34" s="11"/>
      <c r="B34" s="381"/>
      <c r="C34" s="381"/>
      <c r="D34" s="381"/>
      <c r="E34" s="381"/>
      <c r="F34" s="381"/>
      <c r="G34" s="381"/>
      <c r="H34" s="381"/>
      <c r="I34" s="381"/>
      <c r="J34" s="11"/>
      <c r="K34" s="11"/>
      <c r="L34" s="404"/>
      <c r="M34" s="13"/>
      <c r="N34" s="13"/>
      <c r="O34" s="13"/>
      <c r="P34" s="13"/>
      <c r="Q34" s="13"/>
      <c r="R34" s="13"/>
      <c r="S34" s="13"/>
      <c r="T34" s="13"/>
      <c r="U34" s="408"/>
      <c r="V34" s="11"/>
    </row>
    <row r="35" spans="1:22">
      <c r="A35" s="11"/>
      <c r="B35" s="381"/>
      <c r="C35" s="381"/>
      <c r="D35" s="381"/>
      <c r="E35" s="381"/>
      <c r="F35" s="381"/>
      <c r="G35" s="381"/>
      <c r="H35" s="381"/>
      <c r="I35" s="381"/>
      <c r="J35" s="11"/>
      <c r="K35" s="11"/>
      <c r="L35" s="404"/>
      <c r="M35" s="13"/>
      <c r="N35" s="13"/>
      <c r="O35" s="13"/>
      <c r="P35" s="13"/>
      <c r="Q35" s="13"/>
      <c r="R35" s="13"/>
      <c r="S35" s="13"/>
      <c r="T35" s="13"/>
      <c r="U35" s="408"/>
      <c r="V35" s="11"/>
    </row>
    <row r="36" spans="1:22">
      <c r="A36" s="11"/>
      <c r="B36" s="381"/>
      <c r="C36" s="381"/>
      <c r="D36" s="381"/>
      <c r="E36" s="381"/>
      <c r="F36" s="381"/>
      <c r="G36" s="381"/>
      <c r="H36" s="381"/>
      <c r="I36" s="381"/>
      <c r="J36" s="11"/>
      <c r="K36" s="11"/>
      <c r="L36" s="404"/>
      <c r="M36" s="13"/>
      <c r="N36" s="13"/>
      <c r="O36" s="13"/>
      <c r="P36" s="13"/>
      <c r="Q36" s="13"/>
      <c r="R36" s="13"/>
      <c r="S36" s="13"/>
      <c r="T36" s="13"/>
      <c r="U36" s="408"/>
      <c r="V36" s="11"/>
    </row>
    <row r="37" spans="1:22">
      <c r="A37" s="11"/>
      <c r="B37" s="11"/>
      <c r="C37" s="11"/>
      <c r="D37" s="11"/>
      <c r="E37" s="11"/>
      <c r="F37" s="11"/>
      <c r="G37" s="11"/>
      <c r="H37" s="11"/>
      <c r="I37" s="11"/>
      <c r="J37" s="11"/>
      <c r="K37" s="11"/>
      <c r="L37" s="404"/>
      <c r="M37" s="13"/>
      <c r="N37" s="13"/>
      <c r="O37" s="13"/>
      <c r="P37" s="13"/>
      <c r="Q37" s="13"/>
      <c r="R37" s="13"/>
      <c r="S37" s="13"/>
      <c r="T37" s="13"/>
      <c r="U37" s="408"/>
      <c r="V37" s="11"/>
    </row>
    <row r="38" spans="1:22">
      <c r="A38" s="11"/>
      <c r="B38" s="11"/>
      <c r="C38" s="11"/>
      <c r="D38" s="11"/>
      <c r="E38" s="11"/>
      <c r="F38" s="11"/>
      <c r="G38" s="11"/>
      <c r="H38" s="11"/>
      <c r="I38" s="11"/>
      <c r="J38" s="11"/>
      <c r="K38" s="11"/>
      <c r="L38" s="404"/>
      <c r="M38" s="13"/>
      <c r="N38" s="13"/>
      <c r="O38" s="13"/>
      <c r="P38" s="13"/>
      <c r="Q38" s="13"/>
      <c r="R38" s="13"/>
      <c r="S38" s="13"/>
      <c r="T38" s="13"/>
      <c r="U38" s="408"/>
      <c r="V38" s="11"/>
    </row>
    <row r="39" spans="1:22">
      <c r="A39" s="11"/>
      <c r="B39" s="11"/>
      <c r="C39" s="11"/>
      <c r="D39" s="11"/>
      <c r="E39" s="11"/>
      <c r="F39" s="11"/>
      <c r="G39" s="11"/>
      <c r="H39" s="11"/>
      <c r="I39" s="11"/>
      <c r="J39" s="11"/>
      <c r="K39" s="11"/>
      <c r="L39" s="405"/>
      <c r="M39" s="406"/>
      <c r="N39" s="406"/>
      <c r="O39" s="406"/>
      <c r="P39" s="406"/>
      <c r="Q39" s="406"/>
      <c r="R39" s="406"/>
      <c r="S39" s="406"/>
      <c r="T39" s="406"/>
      <c r="U39" s="409"/>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2bFiJCulgBz8SkCmlziayYk6UcW/RT0pq4dE1uKBp5mQ0qaQuheovygM2kfbsMatIoSBkDIPS2BVgL5BP1N9TA==" saltValue="glvT4vu6bKehDNwwmlc3rQ=="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89" t="s">
        <v>227</v>
      </c>
      <c r="B2" s="289"/>
      <c r="C2" s="289"/>
      <c r="D2" s="289"/>
      <c r="E2" s="289"/>
      <c r="F2" s="289"/>
      <c r="G2" s="289"/>
      <c r="H2" s="289"/>
      <c r="I2" s="289"/>
      <c r="J2" s="289"/>
      <c r="K2" s="289"/>
      <c r="L2" s="289"/>
      <c r="M2" s="187" t="s">
        <v>228</v>
      </c>
      <c r="N2" s="188">
        <f>SUM(E14,J14,O14)</f>
        <v>0</v>
      </c>
      <c r="O2" s="189"/>
      <c r="P2" s="243"/>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0" t="s">
        <v>229</v>
      </c>
      <c r="C4" s="291"/>
      <c r="D4" s="291" t="s">
        <v>230</v>
      </c>
      <c r="E4" s="292" t="s">
        <v>231</v>
      </c>
      <c r="F4" s="11"/>
      <c r="G4" s="290" t="s">
        <v>26</v>
      </c>
      <c r="H4" s="291" t="s">
        <v>231</v>
      </c>
      <c r="I4" s="291" t="s">
        <v>230</v>
      </c>
      <c r="J4" s="292" t="s">
        <v>231</v>
      </c>
      <c r="K4" s="11"/>
      <c r="L4" s="290" t="s">
        <v>232</v>
      </c>
      <c r="M4" s="291" t="s">
        <v>231</v>
      </c>
      <c r="N4" s="291" t="s">
        <v>230</v>
      </c>
      <c r="O4" s="292" t="s">
        <v>231</v>
      </c>
      <c r="P4" s="11"/>
      <c r="Q4" s="11"/>
    </row>
    <row r="5" ht="27" customHeight="1" spans="1:17">
      <c r="A5" s="11"/>
      <c r="B5" s="293" t="s">
        <v>233</v>
      </c>
      <c r="C5" s="294" t="s">
        <v>234</v>
      </c>
      <c r="D5" s="294" t="s">
        <v>235</v>
      </c>
      <c r="E5" s="295" t="s">
        <v>236</v>
      </c>
      <c r="F5" s="11"/>
      <c r="G5" s="293" t="s">
        <v>233</v>
      </c>
      <c r="H5" s="294" t="s">
        <v>234</v>
      </c>
      <c r="I5" s="294" t="s">
        <v>235</v>
      </c>
      <c r="J5" s="295" t="s">
        <v>236</v>
      </c>
      <c r="K5" s="11"/>
      <c r="L5" s="293" t="s">
        <v>233</v>
      </c>
      <c r="M5" s="294" t="s">
        <v>234</v>
      </c>
      <c r="N5" s="294" t="s">
        <v>235</v>
      </c>
      <c r="O5" s="295" t="s">
        <v>236</v>
      </c>
      <c r="P5" s="11"/>
      <c r="Q5" s="11"/>
    </row>
    <row r="6" ht="27" customHeight="1" spans="1:17">
      <c r="A6" s="11"/>
      <c r="B6" s="296"/>
      <c r="C6" s="297"/>
      <c r="D6" s="298"/>
      <c r="E6" s="299">
        <f>C6*D6</f>
        <v>0</v>
      </c>
      <c r="F6" s="11"/>
      <c r="G6" s="296"/>
      <c r="H6" s="297"/>
      <c r="I6" s="298"/>
      <c r="J6" s="299">
        <f>H6*I6</f>
        <v>0</v>
      </c>
      <c r="K6" s="11"/>
      <c r="L6" s="316"/>
      <c r="M6" s="317"/>
      <c r="N6" s="318"/>
      <c r="O6" s="319">
        <f>M6*N6</f>
        <v>0</v>
      </c>
      <c r="P6" s="11"/>
      <c r="Q6" s="11"/>
    </row>
    <row r="7" ht="27" customHeight="1" spans="1:17">
      <c r="A7" s="11"/>
      <c r="B7" s="78"/>
      <c r="C7" s="300"/>
      <c r="D7" s="301"/>
      <c r="E7" s="302">
        <f t="shared" ref="E7:E13" si="0">C7*D7</f>
        <v>0</v>
      </c>
      <c r="F7" s="11"/>
      <c r="G7" s="78"/>
      <c r="H7" s="300"/>
      <c r="I7" s="301"/>
      <c r="J7" s="302">
        <f t="shared" ref="J7:J13" si="1">H7*I7</f>
        <v>0</v>
      </c>
      <c r="K7" s="11"/>
      <c r="L7" s="316"/>
      <c r="M7" s="317"/>
      <c r="N7" s="318"/>
      <c r="O7" s="319">
        <f t="shared" ref="O7:O13" si="2">M7*N7</f>
        <v>0</v>
      </c>
      <c r="P7" s="11"/>
      <c r="Q7" s="11"/>
    </row>
    <row r="8" ht="27" customHeight="1" spans="1:17">
      <c r="A8" s="11"/>
      <c r="B8" s="78"/>
      <c r="C8" s="300"/>
      <c r="D8" s="301"/>
      <c r="E8" s="302">
        <f t="shared" si="0"/>
        <v>0</v>
      </c>
      <c r="F8" s="11"/>
      <c r="G8" s="78"/>
      <c r="H8" s="300"/>
      <c r="I8" s="301"/>
      <c r="J8" s="302">
        <f t="shared" si="1"/>
        <v>0</v>
      </c>
      <c r="K8" s="11"/>
      <c r="L8" s="316"/>
      <c r="M8" s="300"/>
      <c r="N8" s="301"/>
      <c r="O8" s="319">
        <f t="shared" si="2"/>
        <v>0</v>
      </c>
      <c r="P8" s="11"/>
      <c r="Q8" s="11"/>
    </row>
    <row r="9" ht="27" customHeight="1" spans="1:17">
      <c r="A9" s="11"/>
      <c r="B9" s="78"/>
      <c r="C9" s="300"/>
      <c r="D9" s="301"/>
      <c r="E9" s="302">
        <f t="shared" si="0"/>
        <v>0</v>
      </c>
      <c r="F9" s="11"/>
      <c r="G9" s="78"/>
      <c r="H9" s="300"/>
      <c r="I9" s="301"/>
      <c r="J9" s="302">
        <f t="shared" si="1"/>
        <v>0</v>
      </c>
      <c r="K9" s="11"/>
      <c r="L9" s="316"/>
      <c r="M9" s="317"/>
      <c r="N9" s="318"/>
      <c r="O9" s="319">
        <f t="shared" si="2"/>
        <v>0</v>
      </c>
      <c r="P9" s="11"/>
      <c r="Q9" s="11"/>
    </row>
    <row r="10" ht="27" customHeight="1" spans="1:17">
      <c r="A10" s="11"/>
      <c r="B10" s="78"/>
      <c r="C10" s="300"/>
      <c r="D10" s="301"/>
      <c r="E10" s="302">
        <f t="shared" si="0"/>
        <v>0</v>
      </c>
      <c r="F10" s="11"/>
      <c r="G10" s="78"/>
      <c r="H10" s="300"/>
      <c r="I10" s="301"/>
      <c r="J10" s="302">
        <f t="shared" si="1"/>
        <v>0</v>
      </c>
      <c r="K10" s="11"/>
      <c r="L10" s="316"/>
      <c r="M10" s="317"/>
      <c r="N10" s="318"/>
      <c r="O10" s="319">
        <f t="shared" si="2"/>
        <v>0</v>
      </c>
      <c r="P10" s="11"/>
      <c r="Q10" s="11"/>
    </row>
    <row r="11" ht="27" customHeight="1" spans="1:17">
      <c r="A11" s="11"/>
      <c r="B11" s="78"/>
      <c r="C11" s="300"/>
      <c r="D11" s="301"/>
      <c r="E11" s="302">
        <f t="shared" si="0"/>
        <v>0</v>
      </c>
      <c r="F11" s="11"/>
      <c r="G11" s="303"/>
      <c r="H11" s="300"/>
      <c r="I11" s="301"/>
      <c r="J11" s="302">
        <f t="shared" si="1"/>
        <v>0</v>
      </c>
      <c r="K11" s="11"/>
      <c r="L11" s="316"/>
      <c r="M11" s="317"/>
      <c r="N11" s="318"/>
      <c r="O11" s="319">
        <f t="shared" si="2"/>
        <v>0</v>
      </c>
      <c r="P11" s="11"/>
      <c r="Q11" s="11"/>
    </row>
    <row r="12" ht="27" customHeight="1" spans="1:17">
      <c r="A12" s="11"/>
      <c r="B12" s="78"/>
      <c r="C12" s="300"/>
      <c r="D12" s="301"/>
      <c r="E12" s="302">
        <f t="shared" si="0"/>
        <v>0</v>
      </c>
      <c r="F12" s="11"/>
      <c r="G12" s="303"/>
      <c r="H12" s="300"/>
      <c r="I12" s="301"/>
      <c r="J12" s="302">
        <f t="shared" si="1"/>
        <v>0</v>
      </c>
      <c r="K12" s="11"/>
      <c r="L12" s="316"/>
      <c r="M12" s="317"/>
      <c r="N12" s="318"/>
      <c r="O12" s="319">
        <f t="shared" si="2"/>
        <v>0</v>
      </c>
      <c r="P12" s="11"/>
      <c r="Q12" s="11"/>
    </row>
    <row r="13" ht="27" customHeight="1" spans="1:17">
      <c r="A13" s="11"/>
      <c r="B13" s="78"/>
      <c r="C13" s="300"/>
      <c r="D13" s="301"/>
      <c r="E13" s="302">
        <f t="shared" si="0"/>
        <v>0</v>
      </c>
      <c r="F13" s="11"/>
      <c r="G13" s="303"/>
      <c r="H13" s="300"/>
      <c r="I13" s="301"/>
      <c r="J13" s="320">
        <f t="shared" si="1"/>
        <v>0</v>
      </c>
      <c r="K13" s="11"/>
      <c r="L13" s="316"/>
      <c r="M13" s="300"/>
      <c r="N13" s="301"/>
      <c r="O13" s="319">
        <f t="shared" si="2"/>
        <v>0</v>
      </c>
      <c r="P13" s="11"/>
      <c r="Q13" s="11"/>
    </row>
    <row r="14" ht="27" customHeight="1" spans="1:17">
      <c r="A14" s="11"/>
      <c r="B14" s="304" t="s">
        <v>18</v>
      </c>
      <c r="C14" s="305" t="s">
        <v>237</v>
      </c>
      <c r="D14" s="306">
        <f>SUM(D6:D13)</f>
        <v>0</v>
      </c>
      <c r="E14" s="307">
        <f>SUM(E6:E13)</f>
        <v>0</v>
      </c>
      <c r="F14" s="11"/>
      <c r="G14" s="304" t="s">
        <v>26</v>
      </c>
      <c r="H14" s="305" t="s">
        <v>237</v>
      </c>
      <c r="I14" s="306">
        <f>SUM(I6:I13)</f>
        <v>0</v>
      </c>
      <c r="J14" s="307">
        <f>SUM(J6:J13)</f>
        <v>0</v>
      </c>
      <c r="K14" s="11"/>
      <c r="L14" s="304" t="s">
        <v>28</v>
      </c>
      <c r="M14" s="305" t="s">
        <v>237</v>
      </c>
      <c r="N14" s="306">
        <f>SUM(N6:N13)</f>
        <v>0</v>
      </c>
      <c r="O14" s="307">
        <f>SUM(O6:O13)</f>
        <v>0</v>
      </c>
      <c r="P14" s="11"/>
      <c r="Q14" s="11"/>
    </row>
    <row r="15" ht="34.95" customHeight="1" spans="1:17">
      <c r="A15" s="11"/>
      <c r="B15" s="304" t="s">
        <v>238</v>
      </c>
      <c r="C15" s="308" t="s">
        <v>237</v>
      </c>
      <c r="D15" s="309"/>
      <c r="E15" s="310">
        <f>スタート!C12</f>
        <v>0</v>
      </c>
      <c r="F15" s="11"/>
      <c r="G15" s="304" t="s">
        <v>239</v>
      </c>
      <c r="H15" s="308" t="s">
        <v>237</v>
      </c>
      <c r="I15" s="309"/>
      <c r="J15" s="310">
        <f>スタート!C16</f>
        <v>0</v>
      </c>
      <c r="K15" s="11"/>
      <c r="L15" s="346" t="s">
        <v>240</v>
      </c>
      <c r="M15" s="308" t="s">
        <v>237</v>
      </c>
      <c r="N15" s="309"/>
      <c r="O15" s="310">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5" t="s">
        <v>241</v>
      </c>
      <c r="C17" s="311"/>
      <c r="D17" s="311"/>
      <c r="E17" s="312" t="s">
        <v>242</v>
      </c>
      <c r="F17" s="11"/>
      <c r="G17" s="11"/>
      <c r="H17" s="11"/>
      <c r="I17" s="11"/>
      <c r="J17" s="11"/>
      <c r="K17" s="11"/>
      <c r="L17" s="11"/>
      <c r="M17" s="11"/>
      <c r="N17" s="11"/>
      <c r="O17" s="11"/>
      <c r="P17" s="11"/>
      <c r="Q17" s="11"/>
    </row>
    <row r="18" ht="27.6" customHeight="1" spans="1:17">
      <c r="A18" s="11"/>
      <c r="B18" s="311" t="s">
        <v>243</v>
      </c>
      <c r="C18" s="313" t="e">
        <f>(E14+J14+O14)/(D14+I14+N14)</f>
        <v>#DIV/0!</v>
      </c>
      <c r="D18" s="311" t="s">
        <v>218</v>
      </c>
      <c r="E18" s="314" t="e">
        <f>C18/C19</f>
        <v>#DIV/0!</v>
      </c>
      <c r="F18" s="11"/>
      <c r="G18" s="11"/>
      <c r="H18" s="11"/>
      <c r="I18" s="11"/>
      <c r="J18" s="11"/>
      <c r="K18" s="11"/>
      <c r="L18" s="11"/>
      <c r="M18" s="11"/>
      <c r="N18" s="11"/>
      <c r="O18" s="11"/>
      <c r="P18" s="11"/>
      <c r="Q18" s="11"/>
    </row>
    <row r="19" ht="27.6" customHeight="1" spans="1:17">
      <c r="A19" s="11"/>
      <c r="B19" s="311" t="s">
        <v>244</v>
      </c>
      <c r="C19" s="315" t="str">
        <f>IFERROR((E15+J15+O15)/(N15+I15+D15),"0")</f>
        <v>0</v>
      </c>
      <c r="D19" s="311" t="s">
        <v>218</v>
      </c>
      <c r="E19" s="314"/>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E7" sqref="E7"/>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6" t="s">
        <v>245</v>
      </c>
      <c r="B2" s="11"/>
      <c r="C2" s="11"/>
      <c r="D2" s="11"/>
      <c r="E2" s="11"/>
      <c r="F2" s="11"/>
      <c r="G2" s="11"/>
      <c r="H2" s="11"/>
      <c r="I2" s="266">
        <f>L16+I24+F13+C43</f>
        <v>0</v>
      </c>
      <c r="J2" s="267"/>
      <c r="K2" s="267"/>
      <c r="L2" s="268"/>
      <c r="M2" s="11"/>
      <c r="N2" s="327"/>
      <c r="O2" s="327"/>
    </row>
    <row r="3" ht="21" spans="1:14">
      <c r="A3" s="11"/>
      <c r="B3" s="321" t="s">
        <v>246</v>
      </c>
      <c r="C3" s="322" t="s">
        <v>231</v>
      </c>
      <c r="D3" s="248"/>
      <c r="E3" s="249" t="s">
        <v>75</v>
      </c>
      <c r="F3" s="250" t="s">
        <v>231</v>
      </c>
      <c r="G3" s="11"/>
      <c r="H3" s="69" t="s">
        <v>247</v>
      </c>
      <c r="I3" s="70" t="s">
        <v>231</v>
      </c>
      <c r="J3" s="270"/>
      <c r="K3" s="69" t="s">
        <v>248</v>
      </c>
      <c r="L3" s="328" t="s">
        <v>231</v>
      </c>
      <c r="M3" s="329"/>
      <c r="N3" s="330"/>
    </row>
    <row r="4" ht="21" spans="1:14">
      <c r="A4" s="11"/>
      <c r="B4" s="101" t="s">
        <v>249</v>
      </c>
      <c r="C4" s="251" t="s">
        <v>236</v>
      </c>
      <c r="D4" s="248"/>
      <c r="E4" s="252"/>
      <c r="F4" s="253"/>
      <c r="G4" s="11"/>
      <c r="H4" s="275" t="s">
        <v>249</v>
      </c>
      <c r="I4" s="274" t="s">
        <v>236</v>
      </c>
      <c r="J4" s="270"/>
      <c r="K4" s="275" t="s">
        <v>249</v>
      </c>
      <c r="L4" s="331" t="s">
        <v>236</v>
      </c>
      <c r="M4" s="329"/>
      <c r="N4" s="332"/>
    </row>
    <row r="5" ht="25.2" customHeight="1" spans="1:14">
      <c r="A5" s="11"/>
      <c r="B5" s="255"/>
      <c r="C5" s="256"/>
      <c r="D5" s="248"/>
      <c r="E5" s="252"/>
      <c r="F5" s="257"/>
      <c r="G5" s="11"/>
      <c r="H5" s="323" t="s">
        <v>18</v>
      </c>
      <c r="I5" s="333">
        <f>③給料!E14</f>
        <v>0</v>
      </c>
      <c r="J5" s="270"/>
      <c r="K5" s="280"/>
      <c r="L5" s="253"/>
      <c r="M5" s="334"/>
      <c r="N5" s="335"/>
    </row>
    <row r="6" ht="25.2" customHeight="1" spans="1:14">
      <c r="A6" s="11"/>
      <c r="B6" s="255"/>
      <c r="C6" s="256"/>
      <c r="D6" s="248"/>
      <c r="E6" s="259"/>
      <c r="F6" s="257"/>
      <c r="G6" s="11"/>
      <c r="H6" s="324" t="s">
        <v>26</v>
      </c>
      <c r="I6" s="336">
        <f>③給料!J14</f>
        <v>0</v>
      </c>
      <c r="J6" s="270"/>
      <c r="K6" s="280"/>
      <c r="L6" s="257"/>
      <c r="M6" s="334"/>
      <c r="N6" s="335"/>
    </row>
    <row r="7" ht="25.2" customHeight="1" spans="1:14">
      <c r="A7" s="11"/>
      <c r="B7" s="255"/>
      <c r="C7" s="256"/>
      <c r="D7" s="248"/>
      <c r="E7" s="259"/>
      <c r="F7" s="261"/>
      <c r="G7" s="11"/>
      <c r="H7" s="324" t="s">
        <v>28</v>
      </c>
      <c r="I7" s="336">
        <f>③給料!O14</f>
        <v>0</v>
      </c>
      <c r="J7" s="270"/>
      <c r="K7" s="280"/>
      <c r="L7" s="257"/>
      <c r="M7" s="334"/>
      <c r="N7" s="335"/>
    </row>
    <row r="8" ht="25.2" customHeight="1" spans="1:14">
      <c r="A8" s="11"/>
      <c r="B8" s="255"/>
      <c r="C8" s="256"/>
      <c r="D8" s="248"/>
      <c r="E8" s="259"/>
      <c r="F8" s="261"/>
      <c r="G8" s="11"/>
      <c r="H8" s="280"/>
      <c r="I8" s="281"/>
      <c r="J8" s="270"/>
      <c r="K8" s="280"/>
      <c r="L8" s="257"/>
      <c r="M8" s="334"/>
      <c r="N8" s="167"/>
    </row>
    <row r="9" ht="25.2" customHeight="1" spans="1:14">
      <c r="A9" s="11"/>
      <c r="B9" s="255"/>
      <c r="C9" s="256"/>
      <c r="D9" s="248"/>
      <c r="E9" s="259"/>
      <c r="F9" s="261"/>
      <c r="G9" s="11"/>
      <c r="H9" s="280"/>
      <c r="I9" s="281"/>
      <c r="J9" s="270"/>
      <c r="K9" s="280"/>
      <c r="L9" s="257"/>
      <c r="M9" s="334"/>
      <c r="N9" s="167"/>
    </row>
    <row r="10" ht="25.2" customHeight="1" spans="1:14">
      <c r="A10" s="11"/>
      <c r="B10" s="255"/>
      <c r="C10" s="256"/>
      <c r="D10" s="248"/>
      <c r="E10" s="259"/>
      <c r="F10" s="261"/>
      <c r="G10" s="11"/>
      <c r="H10" s="280"/>
      <c r="I10" s="281"/>
      <c r="J10" s="270"/>
      <c r="K10" s="280"/>
      <c r="L10" s="257"/>
      <c r="M10" s="334"/>
      <c r="N10" s="167"/>
    </row>
    <row r="11" ht="25.2" customHeight="1" spans="1:14">
      <c r="A11" s="11"/>
      <c r="B11" s="255"/>
      <c r="C11" s="256"/>
      <c r="D11" s="248"/>
      <c r="E11" s="259"/>
      <c r="F11" s="261"/>
      <c r="G11" s="11"/>
      <c r="H11" s="280"/>
      <c r="I11" s="281"/>
      <c r="J11" s="270"/>
      <c r="K11" s="280"/>
      <c r="L11" s="257"/>
      <c r="M11" s="334"/>
      <c r="N11" s="167"/>
    </row>
    <row r="12" ht="25.2" customHeight="1" spans="1:14">
      <c r="A12" s="11"/>
      <c r="B12" s="255"/>
      <c r="C12" s="256"/>
      <c r="D12" s="248"/>
      <c r="E12" s="259"/>
      <c r="F12" s="261"/>
      <c r="G12" s="11"/>
      <c r="H12" s="280"/>
      <c r="I12" s="282"/>
      <c r="J12" s="270"/>
      <c r="K12" s="280"/>
      <c r="L12" s="261"/>
      <c r="M12" s="334"/>
      <c r="N12" s="167"/>
    </row>
    <row r="13" ht="25.2" customHeight="1" spans="1:14">
      <c r="A13" s="11"/>
      <c r="B13" s="255"/>
      <c r="C13" s="256"/>
      <c r="D13" s="248"/>
      <c r="E13" s="120" t="s">
        <v>237</v>
      </c>
      <c r="F13" s="262">
        <f>SUM(F4:F12)</f>
        <v>0</v>
      </c>
      <c r="G13" s="11"/>
      <c r="H13" s="280"/>
      <c r="I13" s="282"/>
      <c r="J13" s="270"/>
      <c r="K13" s="337"/>
      <c r="L13" s="338"/>
      <c r="M13" s="334"/>
      <c r="N13" s="167"/>
    </row>
    <row r="14" ht="25.2" customHeight="1" spans="1:14">
      <c r="A14" s="11"/>
      <c r="B14" s="255"/>
      <c r="C14" s="256"/>
      <c r="D14" s="248"/>
      <c r="E14" s="120" t="s">
        <v>250</v>
      </c>
      <c r="F14" s="262">
        <f>SUM(スタート!C37:C42)</f>
        <v>0</v>
      </c>
      <c r="G14" s="11"/>
      <c r="H14" s="285"/>
      <c r="I14" s="282"/>
      <c r="J14" s="270"/>
      <c r="K14" s="337"/>
      <c r="L14" s="338"/>
      <c r="M14" s="334"/>
      <c r="N14" s="335"/>
    </row>
    <row r="15" ht="25.2" customHeight="1" spans="1:13">
      <c r="A15" s="11"/>
      <c r="B15" s="255"/>
      <c r="C15" s="256"/>
      <c r="D15" s="248"/>
      <c r="E15" s="248"/>
      <c r="F15" s="248"/>
      <c r="G15" s="11"/>
      <c r="H15" s="280"/>
      <c r="I15" s="282"/>
      <c r="J15" s="270"/>
      <c r="K15" s="339"/>
      <c r="L15" s="340"/>
      <c r="M15" s="334"/>
    </row>
    <row r="16" ht="25.2" customHeight="1" spans="1:13">
      <c r="A16" s="11"/>
      <c r="B16" s="255"/>
      <c r="C16" s="256"/>
      <c r="D16" s="248"/>
      <c r="E16" s="248"/>
      <c r="F16" s="248"/>
      <c r="G16" s="11"/>
      <c r="H16" s="280"/>
      <c r="I16" s="257"/>
      <c r="J16" s="283"/>
      <c r="K16" s="91" t="s">
        <v>237</v>
      </c>
      <c r="L16" s="262">
        <f>SUM(L5:L15)</f>
        <v>0</v>
      </c>
      <c r="M16" s="334"/>
    </row>
    <row r="17" ht="25.2" customHeight="1" spans="1:13">
      <c r="A17" s="11"/>
      <c r="B17" s="255"/>
      <c r="C17" s="256"/>
      <c r="D17" s="248"/>
      <c r="E17" s="248"/>
      <c r="F17" s="248"/>
      <c r="G17" s="11"/>
      <c r="H17" s="280"/>
      <c r="I17" s="261"/>
      <c r="J17" s="283"/>
      <c r="K17" s="120" t="s">
        <v>250</v>
      </c>
      <c r="L17" s="262">
        <f>SUM(スタート!C29:C36)</f>
        <v>0</v>
      </c>
      <c r="M17" s="334"/>
    </row>
    <row r="18" ht="25.2" customHeight="1" spans="1:13">
      <c r="A18" s="11"/>
      <c r="B18" s="255"/>
      <c r="C18" s="256"/>
      <c r="D18" s="11"/>
      <c r="E18" s="11"/>
      <c r="F18" s="11"/>
      <c r="G18" s="11"/>
      <c r="H18" s="280"/>
      <c r="I18" s="257"/>
      <c r="J18" s="283"/>
      <c r="K18" s="284"/>
      <c r="L18" s="11"/>
      <c r="M18" s="334"/>
    </row>
    <row r="19" ht="25.2" customHeight="1" spans="1:13">
      <c r="A19" s="11"/>
      <c r="B19" s="255"/>
      <c r="C19" s="256"/>
      <c r="D19" s="11"/>
      <c r="E19" s="11"/>
      <c r="F19" s="11"/>
      <c r="G19" s="11"/>
      <c r="H19" s="280"/>
      <c r="I19" s="341"/>
      <c r="J19" s="283"/>
      <c r="K19" s="284"/>
      <c r="L19" s="11"/>
      <c r="M19" s="334"/>
    </row>
    <row r="20" ht="25.2" customHeight="1" spans="1:13">
      <c r="A20" s="11"/>
      <c r="B20" s="255"/>
      <c r="C20" s="256"/>
      <c r="D20" s="11"/>
      <c r="E20" s="11"/>
      <c r="F20" s="11"/>
      <c r="G20" s="11"/>
      <c r="H20" s="280"/>
      <c r="I20" s="341"/>
      <c r="J20" s="283"/>
      <c r="K20" s="284"/>
      <c r="L20" s="11"/>
      <c r="M20" s="334"/>
    </row>
    <row r="21" ht="25.2" customHeight="1" spans="1:13">
      <c r="A21" s="11"/>
      <c r="B21" s="255"/>
      <c r="C21" s="256"/>
      <c r="D21" s="11"/>
      <c r="E21" s="11"/>
      <c r="F21" s="11"/>
      <c r="G21" s="11"/>
      <c r="H21" s="280"/>
      <c r="I21" s="341"/>
      <c r="J21" s="283"/>
      <c r="K21" s="284"/>
      <c r="L21" s="11"/>
      <c r="M21" s="334"/>
    </row>
    <row r="22" ht="25.2" customHeight="1" spans="1:13">
      <c r="A22" s="11"/>
      <c r="B22" s="255"/>
      <c r="C22" s="256"/>
      <c r="D22" s="11"/>
      <c r="E22" s="11"/>
      <c r="F22" s="11"/>
      <c r="G22" s="11"/>
      <c r="H22" s="280"/>
      <c r="I22" s="341"/>
      <c r="J22" s="283"/>
      <c r="K22" s="284"/>
      <c r="L22" s="11"/>
      <c r="M22" s="334"/>
    </row>
    <row r="23" ht="25.2" customHeight="1" spans="1:13">
      <c r="A23" s="11"/>
      <c r="B23" s="255"/>
      <c r="C23" s="256"/>
      <c r="D23" s="11"/>
      <c r="E23" s="11"/>
      <c r="F23" s="11"/>
      <c r="G23" s="11"/>
      <c r="H23" s="285"/>
      <c r="I23" s="342"/>
      <c r="J23" s="283"/>
      <c r="K23" s="284"/>
      <c r="L23" s="11"/>
      <c r="M23" s="334"/>
    </row>
    <row r="24" ht="25.2" customHeight="1" spans="1:13">
      <c r="A24" s="11"/>
      <c r="B24" s="255"/>
      <c r="C24" s="256"/>
      <c r="D24" s="11"/>
      <c r="E24" s="11"/>
      <c r="F24" s="11"/>
      <c r="G24" s="11"/>
      <c r="H24" s="325" t="s">
        <v>237</v>
      </c>
      <c r="I24" s="343">
        <f>SUM(I5:I23)</f>
        <v>0</v>
      </c>
      <c r="J24" s="283"/>
      <c r="K24" s="284"/>
      <c r="L24" s="11"/>
      <c r="M24" s="334"/>
    </row>
    <row r="25" ht="25.2" customHeight="1" spans="1:13">
      <c r="A25" s="11"/>
      <c r="B25" s="255"/>
      <c r="C25" s="256"/>
      <c r="D25" s="11"/>
      <c r="E25" s="11"/>
      <c r="F25" s="11"/>
      <c r="G25" s="11"/>
      <c r="H25" s="326" t="s">
        <v>250</v>
      </c>
      <c r="I25" s="344">
        <f>SUM(スタート!C12:C28)</f>
        <v>0</v>
      </c>
      <c r="J25" s="283"/>
      <c r="K25" s="284"/>
      <c r="L25" s="11"/>
      <c r="M25" s="334"/>
    </row>
    <row r="26" ht="25.2" customHeight="1" spans="1:13">
      <c r="A26" s="11"/>
      <c r="B26" s="255"/>
      <c r="C26" s="256"/>
      <c r="D26" s="11"/>
      <c r="E26" s="11"/>
      <c r="F26" s="11"/>
      <c r="G26" s="11"/>
      <c r="H26" s="11"/>
      <c r="I26" s="284"/>
      <c r="J26" s="283"/>
      <c r="K26" s="284"/>
      <c r="L26" s="11"/>
      <c r="M26" s="334"/>
    </row>
    <row r="27" ht="25.2" customHeight="1" spans="1:13">
      <c r="A27" s="11"/>
      <c r="B27" s="255"/>
      <c r="C27" s="256"/>
      <c r="D27" s="11"/>
      <c r="E27" s="11"/>
      <c r="F27" s="11"/>
      <c r="G27" s="11"/>
      <c r="H27" s="11"/>
      <c r="I27" s="284"/>
      <c r="J27" s="283"/>
      <c r="K27" s="284"/>
      <c r="L27" s="11"/>
      <c r="M27" s="334"/>
    </row>
    <row r="28" ht="25.2" customHeight="1" spans="1:13">
      <c r="A28" s="11"/>
      <c r="B28" s="255"/>
      <c r="C28" s="256"/>
      <c r="D28" s="11"/>
      <c r="E28" s="11"/>
      <c r="F28" s="11"/>
      <c r="G28" s="11"/>
      <c r="H28" s="11"/>
      <c r="I28" s="284"/>
      <c r="J28" s="283"/>
      <c r="K28" s="284"/>
      <c r="L28" s="11"/>
      <c r="M28" s="334"/>
    </row>
    <row r="29" ht="25.2" customHeight="1" spans="1:13">
      <c r="A29" s="11"/>
      <c r="B29" s="255"/>
      <c r="C29" s="256"/>
      <c r="D29" s="11"/>
      <c r="E29" s="11"/>
      <c r="F29" s="11"/>
      <c r="G29" s="11"/>
      <c r="H29" s="11"/>
      <c r="I29" s="284"/>
      <c r="J29" s="283"/>
      <c r="K29" s="284"/>
      <c r="L29" s="11"/>
      <c r="M29" s="334"/>
    </row>
    <row r="30" ht="25.2" customHeight="1" spans="1:13">
      <c r="A30" s="11"/>
      <c r="B30" s="255"/>
      <c r="C30" s="256"/>
      <c r="D30" s="11"/>
      <c r="E30" s="11"/>
      <c r="F30" s="11"/>
      <c r="G30" s="11"/>
      <c r="H30" s="11"/>
      <c r="I30" s="284"/>
      <c r="J30" s="283"/>
      <c r="K30" s="284"/>
      <c r="L30" s="11"/>
      <c r="M30" s="334"/>
    </row>
    <row r="31" ht="25.2" customHeight="1" spans="1:13">
      <c r="A31" s="11"/>
      <c r="B31" s="255"/>
      <c r="C31" s="256"/>
      <c r="D31" s="11"/>
      <c r="E31" s="11"/>
      <c r="F31" s="11"/>
      <c r="G31" s="11"/>
      <c r="H31" s="11"/>
      <c r="I31" s="284"/>
      <c r="J31" s="283"/>
      <c r="K31" s="284"/>
      <c r="L31" s="11"/>
      <c r="M31" s="334"/>
    </row>
    <row r="32" ht="25.2" customHeight="1" spans="1:13">
      <c r="A32" s="11"/>
      <c r="B32" s="255"/>
      <c r="C32" s="256"/>
      <c r="D32" s="11"/>
      <c r="E32" s="11"/>
      <c r="F32" s="11"/>
      <c r="G32" s="11"/>
      <c r="H32" s="11"/>
      <c r="I32" s="284"/>
      <c r="J32" s="283"/>
      <c r="K32" s="284"/>
      <c r="L32" s="11"/>
      <c r="M32" s="11"/>
    </row>
    <row r="33" ht="25.2" customHeight="1" spans="1:13">
      <c r="A33" s="11"/>
      <c r="B33" s="255"/>
      <c r="C33" s="256"/>
      <c r="D33" s="11"/>
      <c r="E33" s="11"/>
      <c r="F33" s="11"/>
      <c r="G33" s="11"/>
      <c r="H33" s="11"/>
      <c r="I33" s="284"/>
      <c r="J33" s="283"/>
      <c r="K33" s="284"/>
      <c r="L33" s="11"/>
      <c r="M33" s="11"/>
    </row>
    <row r="34" ht="25.2" customHeight="1" spans="1:13">
      <c r="A34" s="11"/>
      <c r="B34" s="255"/>
      <c r="C34" s="256"/>
      <c r="D34" s="11"/>
      <c r="E34" s="11"/>
      <c r="F34" s="11"/>
      <c r="G34" s="11"/>
      <c r="H34" s="11"/>
      <c r="I34" s="11"/>
      <c r="J34" s="283"/>
      <c r="K34" s="284"/>
      <c r="L34" s="11"/>
      <c r="M34" s="11"/>
    </row>
    <row r="35" ht="25.2" customHeight="1" spans="1:13">
      <c r="A35" s="11"/>
      <c r="B35" s="255"/>
      <c r="C35" s="256"/>
      <c r="D35" s="11"/>
      <c r="E35" s="11"/>
      <c r="F35" s="11"/>
      <c r="G35" s="11"/>
      <c r="H35" s="11"/>
      <c r="I35" s="11"/>
      <c r="J35" s="283"/>
      <c r="K35" s="284"/>
      <c r="L35" s="11"/>
      <c r="M35" s="11"/>
    </row>
    <row r="36" ht="25.2" customHeight="1" spans="1:13">
      <c r="A36" s="11"/>
      <c r="B36" s="255"/>
      <c r="C36" s="256"/>
      <c r="D36" s="11"/>
      <c r="E36" s="11"/>
      <c r="F36" s="11"/>
      <c r="G36" s="11"/>
      <c r="H36" s="11"/>
      <c r="I36" s="11"/>
      <c r="J36" s="283"/>
      <c r="K36" s="284"/>
      <c r="L36" s="11"/>
      <c r="M36" s="11"/>
    </row>
    <row r="37" ht="25.2" customHeight="1" spans="1:13">
      <c r="A37" s="11"/>
      <c r="B37" s="255"/>
      <c r="C37" s="256"/>
      <c r="D37" s="11"/>
      <c r="E37" s="11"/>
      <c r="F37" s="11"/>
      <c r="G37" s="11"/>
      <c r="H37" s="11"/>
      <c r="I37" s="11"/>
      <c r="J37" s="283"/>
      <c r="K37" s="284"/>
      <c r="L37" s="11"/>
      <c r="M37" s="11"/>
    </row>
    <row r="38" ht="25.2" customHeight="1" spans="1:13">
      <c r="A38" s="11"/>
      <c r="B38" s="255"/>
      <c r="C38" s="256"/>
      <c r="D38" s="11"/>
      <c r="E38" s="11"/>
      <c r="F38" s="11"/>
      <c r="G38" s="11"/>
      <c r="H38" s="11"/>
      <c r="I38" s="11"/>
      <c r="J38" s="283"/>
      <c r="K38" s="284"/>
      <c r="L38" s="11"/>
      <c r="M38" s="11"/>
    </row>
    <row r="39" ht="25.2" customHeight="1" spans="1:13">
      <c r="A39" s="11"/>
      <c r="B39" s="255"/>
      <c r="C39" s="256"/>
      <c r="D39" s="11"/>
      <c r="E39" s="11"/>
      <c r="F39" s="11"/>
      <c r="G39" s="11"/>
      <c r="H39" s="11"/>
      <c r="I39" s="11"/>
      <c r="J39" s="283"/>
      <c r="K39" s="284"/>
      <c r="L39" s="11"/>
      <c r="M39" s="11"/>
    </row>
    <row r="40" ht="25.2" customHeight="1" spans="1:13">
      <c r="A40" s="11"/>
      <c r="B40" s="255"/>
      <c r="C40" s="256"/>
      <c r="D40" s="11"/>
      <c r="E40" s="11"/>
      <c r="F40" s="11"/>
      <c r="G40" s="11"/>
      <c r="H40" s="11"/>
      <c r="I40" s="11"/>
      <c r="J40" s="283"/>
      <c r="K40" s="284"/>
      <c r="L40" s="11"/>
      <c r="M40" s="11"/>
    </row>
    <row r="41" ht="25.2" customHeight="1" spans="1:13">
      <c r="A41" s="11"/>
      <c r="B41" s="255"/>
      <c r="C41" s="256"/>
      <c r="D41" s="11"/>
      <c r="E41" s="11"/>
      <c r="F41" s="11"/>
      <c r="G41" s="11"/>
      <c r="H41" s="11"/>
      <c r="I41" s="11"/>
      <c r="J41" s="11"/>
      <c r="K41" s="11"/>
      <c r="L41" s="11"/>
      <c r="M41" s="11"/>
    </row>
    <row r="42" ht="25.2" customHeight="1" spans="1:13">
      <c r="A42" s="11"/>
      <c r="B42" s="255"/>
      <c r="C42" s="256"/>
      <c r="D42" s="11"/>
      <c r="E42" s="11"/>
      <c r="F42" s="11"/>
      <c r="G42" s="11"/>
      <c r="H42" s="11"/>
      <c r="I42" s="11"/>
      <c r="J42" s="11"/>
      <c r="K42" s="11"/>
      <c r="L42" s="11"/>
      <c r="M42" s="11"/>
    </row>
    <row r="43" ht="40.2" customHeight="1" spans="1:13">
      <c r="A43" s="11"/>
      <c r="B43" s="264" t="s">
        <v>237</v>
      </c>
      <c r="C43" s="265">
        <f>SUM(C5:C42)</f>
        <v>0</v>
      </c>
      <c r="D43" s="11"/>
      <c r="E43" s="11"/>
      <c r="F43" s="11"/>
      <c r="G43" s="11"/>
      <c r="H43" s="11"/>
      <c r="I43" s="11"/>
      <c r="J43" s="11"/>
      <c r="K43" s="11"/>
      <c r="L43" s="11"/>
      <c r="M43" s="11"/>
    </row>
    <row r="44" ht="33.6" customHeight="1" spans="1:13">
      <c r="A44" s="11"/>
      <c r="B44" s="264" t="s">
        <v>250</v>
      </c>
      <c r="C44" s="265">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LAKz0zxaVEE/SKFbRyVXyz9Fr5d56Jglzak3Sv6XrsrpjpcH0Z1r1doHjJ4nh+GG5Egz1nNVccsyJRwQwDp9vw==" saltValue="aQ+E/jhjLFE/QiSBTIJPWA=="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89" t="s">
        <v>251</v>
      </c>
      <c r="B2" s="289"/>
      <c r="C2" s="289"/>
      <c r="D2" s="289"/>
      <c r="E2" s="289"/>
      <c r="F2" s="289"/>
      <c r="G2" s="289"/>
      <c r="H2" s="289"/>
      <c r="I2" s="289"/>
      <c r="J2" s="289"/>
      <c r="K2" s="289"/>
      <c r="L2" s="289"/>
      <c r="M2" s="187" t="s">
        <v>228</v>
      </c>
      <c r="N2" s="188">
        <f>SUM(E14,J14,O14)</f>
        <v>0</v>
      </c>
      <c r="O2" s="189"/>
      <c r="P2" s="243"/>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0" t="s">
        <v>229</v>
      </c>
      <c r="C4" s="291"/>
      <c r="D4" s="291" t="s">
        <v>230</v>
      </c>
      <c r="E4" s="292" t="s">
        <v>231</v>
      </c>
      <c r="F4" s="11"/>
      <c r="G4" s="290" t="s">
        <v>26</v>
      </c>
      <c r="H4" s="291" t="s">
        <v>231</v>
      </c>
      <c r="I4" s="291" t="s">
        <v>230</v>
      </c>
      <c r="J4" s="292" t="s">
        <v>231</v>
      </c>
      <c r="K4" s="11"/>
      <c r="L4" s="290" t="s">
        <v>232</v>
      </c>
      <c r="M4" s="291" t="s">
        <v>231</v>
      </c>
      <c r="N4" s="291" t="s">
        <v>230</v>
      </c>
      <c r="O4" s="292" t="s">
        <v>231</v>
      </c>
      <c r="P4" s="11"/>
      <c r="Q4" s="11"/>
      <c r="R4" s="11"/>
    </row>
    <row r="5" ht="27" customHeight="1" spans="1:18">
      <c r="A5" s="11"/>
      <c r="B5" s="293" t="s">
        <v>233</v>
      </c>
      <c r="C5" s="294" t="s">
        <v>234</v>
      </c>
      <c r="D5" s="294" t="s">
        <v>235</v>
      </c>
      <c r="E5" s="295" t="s">
        <v>236</v>
      </c>
      <c r="F5" s="11"/>
      <c r="G5" s="293" t="s">
        <v>233</v>
      </c>
      <c r="H5" s="294" t="s">
        <v>234</v>
      </c>
      <c r="I5" s="294" t="s">
        <v>235</v>
      </c>
      <c r="J5" s="295" t="s">
        <v>236</v>
      </c>
      <c r="K5" s="11"/>
      <c r="L5" s="293" t="s">
        <v>233</v>
      </c>
      <c r="M5" s="294" t="s">
        <v>234</v>
      </c>
      <c r="N5" s="294" t="s">
        <v>235</v>
      </c>
      <c r="O5" s="295" t="s">
        <v>236</v>
      </c>
      <c r="P5" s="11"/>
      <c r="Q5" s="11"/>
      <c r="R5" s="11"/>
    </row>
    <row r="6" ht="27" customHeight="1" spans="1:18">
      <c r="A6" s="11"/>
      <c r="B6" s="296"/>
      <c r="C6" s="297"/>
      <c r="D6" s="298"/>
      <c r="E6" s="299">
        <f>C6*D6</f>
        <v>0</v>
      </c>
      <c r="F6" s="11"/>
      <c r="G6" s="296"/>
      <c r="H6" s="297"/>
      <c r="I6" s="298"/>
      <c r="J6" s="299">
        <f>H6*I6</f>
        <v>0</v>
      </c>
      <c r="K6" s="11"/>
      <c r="L6" s="316"/>
      <c r="M6" s="317"/>
      <c r="N6" s="318"/>
      <c r="O6" s="319">
        <f>M6*N6</f>
        <v>0</v>
      </c>
      <c r="P6" s="11"/>
      <c r="Q6" s="11"/>
      <c r="R6" s="11"/>
    </row>
    <row r="7" ht="27" customHeight="1" spans="1:18">
      <c r="A7" s="11"/>
      <c r="B7" s="78"/>
      <c r="C7" s="300"/>
      <c r="D7" s="301"/>
      <c r="E7" s="302">
        <f t="shared" ref="E7:E13" si="0">C7*D7</f>
        <v>0</v>
      </c>
      <c r="F7" s="11"/>
      <c r="G7" s="78"/>
      <c r="H7" s="300"/>
      <c r="I7" s="301"/>
      <c r="J7" s="302">
        <f t="shared" ref="J7:J13" si="1">H7*I7</f>
        <v>0</v>
      </c>
      <c r="K7" s="11"/>
      <c r="L7" s="316"/>
      <c r="M7" s="317"/>
      <c r="N7" s="318"/>
      <c r="O7" s="319">
        <f t="shared" ref="O7:O13" si="2">M7*N7</f>
        <v>0</v>
      </c>
      <c r="P7" s="11"/>
      <c r="Q7" s="11"/>
      <c r="R7" s="11"/>
    </row>
    <row r="8" ht="27" customHeight="1" spans="1:18">
      <c r="A8" s="11"/>
      <c r="B8" s="78"/>
      <c r="C8" s="300"/>
      <c r="D8" s="301"/>
      <c r="E8" s="302">
        <f t="shared" si="0"/>
        <v>0</v>
      </c>
      <c r="F8" s="11"/>
      <c r="G8" s="78"/>
      <c r="H8" s="300"/>
      <c r="I8" s="301"/>
      <c r="J8" s="302">
        <f t="shared" si="1"/>
        <v>0</v>
      </c>
      <c r="K8" s="11"/>
      <c r="L8" s="316"/>
      <c r="M8" s="300"/>
      <c r="N8" s="301"/>
      <c r="O8" s="319">
        <f t="shared" si="2"/>
        <v>0</v>
      </c>
      <c r="P8" s="11"/>
      <c r="Q8" s="11"/>
      <c r="R8" s="11"/>
    </row>
    <row r="9" ht="27" customHeight="1" spans="1:18">
      <c r="A9" s="11"/>
      <c r="B9" s="78"/>
      <c r="C9" s="300"/>
      <c r="D9" s="301"/>
      <c r="E9" s="302">
        <f t="shared" si="0"/>
        <v>0</v>
      </c>
      <c r="F9" s="11"/>
      <c r="G9" s="78"/>
      <c r="H9" s="300"/>
      <c r="I9" s="301"/>
      <c r="J9" s="302">
        <f t="shared" si="1"/>
        <v>0</v>
      </c>
      <c r="K9" s="11"/>
      <c r="L9" s="316"/>
      <c r="M9" s="317"/>
      <c r="N9" s="318"/>
      <c r="O9" s="319">
        <f t="shared" si="2"/>
        <v>0</v>
      </c>
      <c r="P9" s="11"/>
      <c r="Q9" s="11"/>
      <c r="R9" s="11"/>
    </row>
    <row r="10" ht="27" customHeight="1" spans="1:18">
      <c r="A10" s="11"/>
      <c r="B10" s="78"/>
      <c r="C10" s="300"/>
      <c r="D10" s="301"/>
      <c r="E10" s="302">
        <f t="shared" si="0"/>
        <v>0</v>
      </c>
      <c r="F10" s="11"/>
      <c r="G10" s="78"/>
      <c r="H10" s="300"/>
      <c r="I10" s="301"/>
      <c r="J10" s="302">
        <f t="shared" si="1"/>
        <v>0</v>
      </c>
      <c r="K10" s="11"/>
      <c r="L10" s="316"/>
      <c r="M10" s="317"/>
      <c r="N10" s="318"/>
      <c r="O10" s="319">
        <f t="shared" si="2"/>
        <v>0</v>
      </c>
      <c r="P10" s="11"/>
      <c r="Q10" s="11"/>
      <c r="R10" s="11"/>
    </row>
    <row r="11" ht="27" customHeight="1" spans="1:18">
      <c r="A11" s="11"/>
      <c r="B11" s="78"/>
      <c r="C11" s="300"/>
      <c r="D11" s="301"/>
      <c r="E11" s="302">
        <f t="shared" si="0"/>
        <v>0</v>
      </c>
      <c r="F11" s="11"/>
      <c r="G11" s="303"/>
      <c r="H11" s="300"/>
      <c r="I11" s="301"/>
      <c r="J11" s="302">
        <f t="shared" si="1"/>
        <v>0</v>
      </c>
      <c r="K11" s="11"/>
      <c r="L11" s="316"/>
      <c r="M11" s="317"/>
      <c r="N11" s="318"/>
      <c r="O11" s="319">
        <f t="shared" si="2"/>
        <v>0</v>
      </c>
      <c r="P11" s="11"/>
      <c r="Q11" s="11"/>
      <c r="R11" s="11"/>
    </row>
    <row r="12" ht="27" customHeight="1" spans="1:18">
      <c r="A12" s="11"/>
      <c r="B12" s="78"/>
      <c r="C12" s="300"/>
      <c r="D12" s="301"/>
      <c r="E12" s="302">
        <f t="shared" si="0"/>
        <v>0</v>
      </c>
      <c r="F12" s="11"/>
      <c r="G12" s="303"/>
      <c r="H12" s="300"/>
      <c r="I12" s="301"/>
      <c r="J12" s="302">
        <f t="shared" si="1"/>
        <v>0</v>
      </c>
      <c r="K12" s="11"/>
      <c r="L12" s="316"/>
      <c r="M12" s="317"/>
      <c r="N12" s="318"/>
      <c r="O12" s="319">
        <f t="shared" si="2"/>
        <v>0</v>
      </c>
      <c r="P12" s="11"/>
      <c r="Q12" s="11"/>
      <c r="R12" s="11"/>
    </row>
    <row r="13" ht="27" customHeight="1" spans="1:18">
      <c r="A13" s="11"/>
      <c r="B13" s="78"/>
      <c r="C13" s="300"/>
      <c r="D13" s="301"/>
      <c r="E13" s="302">
        <f t="shared" si="0"/>
        <v>0</v>
      </c>
      <c r="F13" s="11"/>
      <c r="G13" s="303"/>
      <c r="H13" s="300"/>
      <c r="I13" s="301"/>
      <c r="J13" s="320">
        <f t="shared" si="1"/>
        <v>0</v>
      </c>
      <c r="K13" s="11"/>
      <c r="L13" s="316"/>
      <c r="M13" s="300"/>
      <c r="N13" s="301"/>
      <c r="O13" s="319">
        <f t="shared" si="2"/>
        <v>0</v>
      </c>
      <c r="P13" s="11"/>
      <c r="Q13" s="11"/>
      <c r="R13" s="11"/>
    </row>
    <row r="14" ht="27" customHeight="1" spans="1:18">
      <c r="A14" s="11"/>
      <c r="B14" s="304" t="s">
        <v>18</v>
      </c>
      <c r="C14" s="305" t="s">
        <v>237</v>
      </c>
      <c r="D14" s="306">
        <f>SUM(D6:D13)</f>
        <v>0</v>
      </c>
      <c r="E14" s="307">
        <f>SUM(E6:E13)</f>
        <v>0</v>
      </c>
      <c r="F14" s="11"/>
      <c r="G14" s="304" t="s">
        <v>26</v>
      </c>
      <c r="H14" s="305" t="s">
        <v>237</v>
      </c>
      <c r="I14" s="306">
        <f>SUM(I6:I13)</f>
        <v>0</v>
      </c>
      <c r="J14" s="307">
        <f>SUM(J6:J13)</f>
        <v>0</v>
      </c>
      <c r="K14" s="11"/>
      <c r="L14" s="304" t="s">
        <v>28</v>
      </c>
      <c r="M14" s="305" t="s">
        <v>237</v>
      </c>
      <c r="N14" s="306">
        <f>SUM(N6:N13)</f>
        <v>0</v>
      </c>
      <c r="O14" s="307">
        <f>SUM(O6:O13)</f>
        <v>0</v>
      </c>
      <c r="P14" s="11"/>
      <c r="Q14" s="11"/>
      <c r="R14" s="11"/>
    </row>
    <row r="15" ht="34.95" customHeight="1" spans="1:18">
      <c r="A15" s="11"/>
      <c r="B15" s="304" t="s">
        <v>238</v>
      </c>
      <c r="C15" s="308" t="s">
        <v>237</v>
      </c>
      <c r="D15" s="309"/>
      <c r="E15" s="310">
        <f>スタート!D60</f>
        <v>0</v>
      </c>
      <c r="F15" s="11"/>
      <c r="G15" s="304" t="s">
        <v>238</v>
      </c>
      <c r="H15" s="308" t="s">
        <v>237</v>
      </c>
      <c r="I15" s="309"/>
      <c r="J15" s="310">
        <f>スタート!D61</f>
        <v>0</v>
      </c>
      <c r="K15" s="11"/>
      <c r="L15" s="304" t="s">
        <v>238</v>
      </c>
      <c r="M15" s="308" t="s">
        <v>237</v>
      </c>
      <c r="N15" s="309"/>
      <c r="O15" s="310">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1" t="s">
        <v>241</v>
      </c>
      <c r="C17" s="311"/>
      <c r="D17" s="311"/>
      <c r="E17" s="312" t="s">
        <v>242</v>
      </c>
      <c r="F17" s="11"/>
      <c r="G17" s="11"/>
      <c r="H17" s="11"/>
      <c r="I17" s="11"/>
      <c r="J17" s="11"/>
      <c r="K17" s="11"/>
      <c r="L17" s="11"/>
      <c r="M17" s="11"/>
      <c r="N17" s="11"/>
      <c r="O17" s="11"/>
      <c r="P17" s="11"/>
      <c r="Q17" s="11"/>
      <c r="R17" s="11"/>
    </row>
    <row r="18" ht="27" customHeight="1" spans="1:18">
      <c r="A18" s="11"/>
      <c r="B18" s="311" t="s">
        <v>243</v>
      </c>
      <c r="C18" s="313" t="e">
        <f>(E14+J14+O14)/(D14+I14+N14)</f>
        <v>#DIV/0!</v>
      </c>
      <c r="D18" s="311" t="s">
        <v>218</v>
      </c>
      <c r="E18" s="314" t="e">
        <f>C18/C19</f>
        <v>#DIV/0!</v>
      </c>
      <c r="F18" s="11"/>
      <c r="G18" s="11"/>
      <c r="H18" s="11"/>
      <c r="I18" s="11"/>
      <c r="J18" s="11"/>
      <c r="K18" s="11"/>
      <c r="L18" s="11"/>
      <c r="M18" s="11"/>
      <c r="N18" s="11"/>
      <c r="O18" s="11"/>
      <c r="P18" s="11"/>
      <c r="Q18" s="11"/>
      <c r="R18" s="11"/>
    </row>
    <row r="19" ht="27" customHeight="1" spans="1:18">
      <c r="A19" s="11"/>
      <c r="B19" s="311" t="s">
        <v>244</v>
      </c>
      <c r="C19" s="315" t="str">
        <f>IFERROR((E15+J15+O15)/(N15+I15+D15),"0")</f>
        <v>0</v>
      </c>
      <c r="D19" s="311" t="s">
        <v>218</v>
      </c>
      <c r="E19" s="314"/>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workbookViewId="0">
      <selection activeCell="L15" sqref="L15"/>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6" t="s">
        <v>252</v>
      </c>
      <c r="B2" s="11"/>
      <c r="C2" s="11"/>
      <c r="D2" s="11"/>
      <c r="E2" s="11"/>
      <c r="F2" s="11"/>
      <c r="G2" s="11"/>
      <c r="H2" s="11"/>
      <c r="I2" s="266">
        <f>L20+I16+F13+C43</f>
        <v>0</v>
      </c>
      <c r="J2" s="267"/>
      <c r="K2" s="267"/>
      <c r="L2" s="268"/>
      <c r="M2" s="186"/>
      <c r="N2" s="186"/>
    </row>
    <row r="3" ht="21" spans="1:14">
      <c r="A3" s="11"/>
      <c r="B3" s="132" t="s">
        <v>246</v>
      </c>
      <c r="C3" s="247" t="s">
        <v>231</v>
      </c>
      <c r="D3" s="248"/>
      <c r="E3" s="249" t="s">
        <v>75</v>
      </c>
      <c r="F3" s="250" t="s">
        <v>231</v>
      </c>
      <c r="G3" s="11"/>
      <c r="H3" s="69" t="s">
        <v>247</v>
      </c>
      <c r="I3" s="269" t="s">
        <v>231</v>
      </c>
      <c r="J3" s="270"/>
      <c r="K3" s="271" t="s">
        <v>248</v>
      </c>
      <c r="L3" s="269" t="s">
        <v>231</v>
      </c>
      <c r="M3" s="272"/>
      <c r="N3" s="273"/>
    </row>
    <row r="4" ht="21" spans="1:14">
      <c r="A4" s="11"/>
      <c r="B4" s="101" t="s">
        <v>249</v>
      </c>
      <c r="C4" s="251" t="s">
        <v>236</v>
      </c>
      <c r="D4" s="248"/>
      <c r="E4" s="252"/>
      <c r="F4" s="253"/>
      <c r="G4" s="11"/>
      <c r="H4" s="254" t="s">
        <v>249</v>
      </c>
      <c r="I4" s="274" t="s">
        <v>236</v>
      </c>
      <c r="J4" s="270"/>
      <c r="K4" s="275" t="s">
        <v>249</v>
      </c>
      <c r="L4" s="274" t="s">
        <v>236</v>
      </c>
      <c r="M4" s="276"/>
      <c r="N4" s="277"/>
    </row>
    <row r="5" ht="25.2" customHeight="1" spans="1:14">
      <c r="A5" s="11"/>
      <c r="B5" s="255"/>
      <c r="C5" s="256"/>
      <c r="D5" s="248"/>
      <c r="E5" s="252"/>
      <c r="F5" s="257"/>
      <c r="G5" s="11"/>
      <c r="H5" s="258" t="s">
        <v>18</v>
      </c>
      <c r="I5" s="81">
        <f>'⑤製造原価 (人）'!E14</f>
        <v>0</v>
      </c>
      <c r="J5" s="270"/>
      <c r="K5" s="278"/>
      <c r="L5" s="279"/>
      <c r="M5" s="272"/>
      <c r="N5" s="139"/>
    </row>
    <row r="6" ht="25.2" customHeight="1" spans="1:14">
      <c r="A6" s="11"/>
      <c r="B6" s="255"/>
      <c r="C6" s="256"/>
      <c r="D6" s="248"/>
      <c r="E6" s="259"/>
      <c r="F6" s="257"/>
      <c r="G6" s="11"/>
      <c r="H6" s="260" t="s">
        <v>26</v>
      </c>
      <c r="I6" s="119">
        <f>'⑤製造原価 (人）'!J14</f>
        <v>0</v>
      </c>
      <c r="J6" s="270"/>
      <c r="K6" s="280"/>
      <c r="L6" s="281"/>
      <c r="M6" s="272"/>
      <c r="N6" s="139"/>
    </row>
    <row r="7" ht="25.2" customHeight="1" spans="1:14">
      <c r="A7" s="11"/>
      <c r="B7" s="255"/>
      <c r="C7" s="256"/>
      <c r="D7" s="248"/>
      <c r="E7" s="259"/>
      <c r="F7" s="261"/>
      <c r="G7" s="11"/>
      <c r="H7" s="260" t="s">
        <v>28</v>
      </c>
      <c r="I7" s="119">
        <f>'⑤製造原価 (人）'!O14</f>
        <v>0</v>
      </c>
      <c r="J7" s="270"/>
      <c r="K7" s="280"/>
      <c r="L7" s="281"/>
      <c r="M7" s="272"/>
      <c r="N7" s="131"/>
    </row>
    <row r="8" ht="25.2" customHeight="1" spans="1:14">
      <c r="A8" s="11"/>
      <c r="B8" s="255"/>
      <c r="C8" s="256"/>
      <c r="D8" s="248"/>
      <c r="E8" s="259"/>
      <c r="F8" s="261"/>
      <c r="G8" s="11"/>
      <c r="H8" s="252"/>
      <c r="I8" s="281"/>
      <c r="J8" s="270"/>
      <c r="K8" s="280"/>
      <c r="L8" s="281"/>
      <c r="M8" s="272"/>
      <c r="N8" s="131"/>
    </row>
    <row r="9" ht="25.2" customHeight="1" spans="1:14">
      <c r="A9" s="11"/>
      <c r="B9" s="255"/>
      <c r="C9" s="256"/>
      <c r="D9" s="248"/>
      <c r="E9" s="259"/>
      <c r="F9" s="261"/>
      <c r="G9" s="11"/>
      <c r="H9" s="252"/>
      <c r="I9" s="281"/>
      <c r="J9" s="270"/>
      <c r="K9" s="280"/>
      <c r="L9" s="281"/>
      <c r="M9" s="272"/>
      <c r="N9" s="131"/>
    </row>
    <row r="10" ht="25.2" customHeight="1" spans="1:14">
      <c r="A10" s="11"/>
      <c r="B10" s="255"/>
      <c r="C10" s="256"/>
      <c r="D10" s="248"/>
      <c r="E10" s="259"/>
      <c r="F10" s="261"/>
      <c r="G10" s="11"/>
      <c r="H10" s="252"/>
      <c r="I10" s="281"/>
      <c r="J10" s="270"/>
      <c r="K10" s="280"/>
      <c r="L10" s="281"/>
      <c r="M10" s="272"/>
      <c r="N10" s="131"/>
    </row>
    <row r="11" ht="25.2" customHeight="1" spans="1:14">
      <c r="A11" s="11"/>
      <c r="B11" s="255"/>
      <c r="C11" s="256"/>
      <c r="D11" s="248"/>
      <c r="E11" s="259"/>
      <c r="F11" s="261"/>
      <c r="G11" s="11"/>
      <c r="H11" s="252"/>
      <c r="I11" s="281"/>
      <c r="J11" s="270"/>
      <c r="K11" s="280"/>
      <c r="L11" s="281"/>
      <c r="M11" s="272"/>
      <c r="N11" s="131"/>
    </row>
    <row r="12" ht="25.2" customHeight="1" spans="1:14">
      <c r="A12" s="11"/>
      <c r="B12" s="255"/>
      <c r="C12" s="256"/>
      <c r="D12" s="248"/>
      <c r="E12" s="259"/>
      <c r="F12" s="261"/>
      <c r="G12" s="11"/>
      <c r="H12" s="252"/>
      <c r="I12" s="282"/>
      <c r="J12" s="270"/>
      <c r="K12" s="280"/>
      <c r="L12" s="282"/>
      <c r="M12" s="272"/>
      <c r="N12" s="131"/>
    </row>
    <row r="13" ht="25.2" customHeight="1" spans="1:14">
      <c r="A13" s="11"/>
      <c r="B13" s="255"/>
      <c r="C13" s="256"/>
      <c r="D13" s="248"/>
      <c r="E13" s="120" t="s">
        <v>237</v>
      </c>
      <c r="F13" s="262">
        <f>SUM(F4:F12)</f>
        <v>0</v>
      </c>
      <c r="G13" s="11"/>
      <c r="H13" s="252"/>
      <c r="I13" s="282"/>
      <c r="J13" s="270"/>
      <c r="K13" s="280"/>
      <c r="L13" s="282"/>
      <c r="M13" s="272"/>
      <c r="N13" s="131"/>
    </row>
    <row r="14" ht="25.2" customHeight="1" spans="1:14">
      <c r="A14" s="11"/>
      <c r="B14" s="255"/>
      <c r="C14" s="256"/>
      <c r="D14" s="248"/>
      <c r="E14" s="120" t="s">
        <v>250</v>
      </c>
      <c r="F14" s="262">
        <f>SUM(スタート!D35:D42)</f>
        <v>0</v>
      </c>
      <c r="G14" s="11"/>
      <c r="H14" s="252"/>
      <c r="I14" s="282"/>
      <c r="J14" s="270"/>
      <c r="K14" s="280"/>
      <c r="L14" s="282"/>
      <c r="M14" s="272"/>
      <c r="N14" s="139"/>
    </row>
    <row r="15" ht="25.2" customHeight="1" spans="1:14">
      <c r="A15" s="11"/>
      <c r="B15" s="255"/>
      <c r="C15" s="256"/>
      <c r="D15" s="248"/>
      <c r="E15" s="248"/>
      <c r="F15" s="248"/>
      <c r="G15" s="11"/>
      <c r="H15" s="263"/>
      <c r="I15" s="282"/>
      <c r="J15" s="270"/>
      <c r="K15" s="280"/>
      <c r="L15" s="282"/>
      <c r="M15" s="272"/>
      <c r="N15" s="11"/>
    </row>
    <row r="16" ht="25.2" customHeight="1" spans="1:14">
      <c r="A16" s="11"/>
      <c r="B16" s="255"/>
      <c r="C16" s="256"/>
      <c r="D16" s="248"/>
      <c r="E16" s="248"/>
      <c r="F16" s="248"/>
      <c r="G16" s="11"/>
      <c r="H16" s="120" t="s">
        <v>237</v>
      </c>
      <c r="I16" s="262">
        <f>SUM(I5:I15)</f>
        <v>0</v>
      </c>
      <c r="J16" s="283"/>
      <c r="K16" s="280"/>
      <c r="L16" s="261"/>
      <c r="M16" s="11"/>
      <c r="N16" s="11"/>
    </row>
    <row r="17" ht="25.2" customHeight="1" spans="1:14">
      <c r="A17" s="11"/>
      <c r="B17" s="255"/>
      <c r="C17" s="256"/>
      <c r="D17" s="248"/>
      <c r="E17" s="248"/>
      <c r="F17" s="248"/>
      <c r="G17" s="11"/>
      <c r="H17" s="120" t="s">
        <v>253</v>
      </c>
      <c r="I17" s="262">
        <f>SUM(スタート!D13:D28)+SUM(スタート!D60:D62)</f>
        <v>0</v>
      </c>
      <c r="J17" s="283"/>
      <c r="K17" s="280"/>
      <c r="L17" s="261"/>
      <c r="M17" s="11"/>
      <c r="N17" s="11"/>
    </row>
    <row r="18" ht="25.2" customHeight="1" spans="1:14">
      <c r="A18" s="11"/>
      <c r="B18" s="255"/>
      <c r="C18" s="256"/>
      <c r="D18" s="11"/>
      <c r="E18" s="11"/>
      <c r="F18" s="11"/>
      <c r="G18" s="11"/>
      <c r="H18" s="11"/>
      <c r="I18" s="284"/>
      <c r="J18" s="283"/>
      <c r="K18" s="280"/>
      <c r="L18" s="261"/>
      <c r="M18" s="11"/>
      <c r="N18" s="11"/>
    </row>
    <row r="19" ht="25.2" customHeight="1" spans="1:14">
      <c r="A19" s="11"/>
      <c r="B19" s="255"/>
      <c r="C19" s="256"/>
      <c r="D19" s="11"/>
      <c r="E19" s="11"/>
      <c r="F19" s="11"/>
      <c r="G19" s="11"/>
      <c r="H19" s="11"/>
      <c r="I19" s="284"/>
      <c r="J19" s="283"/>
      <c r="K19" s="285"/>
      <c r="L19" s="261"/>
      <c r="M19" s="11"/>
      <c r="N19" s="11"/>
    </row>
    <row r="20" ht="25.2" customHeight="1" spans="1:14">
      <c r="A20" s="11"/>
      <c r="B20" s="255"/>
      <c r="C20" s="256"/>
      <c r="D20" s="11"/>
      <c r="E20" s="11"/>
      <c r="F20" s="11"/>
      <c r="G20" s="11"/>
      <c r="H20" s="11"/>
      <c r="I20" s="284"/>
      <c r="J20" s="283"/>
      <c r="K20" s="286" t="s">
        <v>237</v>
      </c>
      <c r="L20" s="287">
        <f>SUM(L5:L19)</f>
        <v>0</v>
      </c>
      <c r="M20" s="11"/>
      <c r="N20" s="11"/>
    </row>
    <row r="21" ht="25.2" customHeight="1" spans="1:14">
      <c r="A21" s="11"/>
      <c r="B21" s="255"/>
      <c r="C21" s="256"/>
      <c r="D21" s="11"/>
      <c r="E21" s="11"/>
      <c r="F21" s="11"/>
      <c r="G21" s="11"/>
      <c r="H21" s="11"/>
      <c r="I21" s="284"/>
      <c r="J21" s="283"/>
      <c r="K21" s="288" t="s">
        <v>253</v>
      </c>
      <c r="L21" s="287">
        <f>SUM(スタート!D43:D58)</f>
        <v>0</v>
      </c>
      <c r="M21" s="11"/>
      <c r="N21" s="11"/>
    </row>
    <row r="22" ht="25.2" customHeight="1" spans="1:14">
      <c r="A22" s="11"/>
      <c r="B22" s="255"/>
      <c r="C22" s="256"/>
      <c r="D22" s="11"/>
      <c r="E22" s="11"/>
      <c r="F22" s="11"/>
      <c r="G22" s="11"/>
      <c r="H22" s="11"/>
      <c r="I22" s="284"/>
      <c r="J22" s="283"/>
      <c r="K22" s="284"/>
      <c r="L22" s="11"/>
      <c r="M22" s="11"/>
      <c r="N22" s="11"/>
    </row>
    <row r="23" ht="25.2" customHeight="1" spans="1:14">
      <c r="A23" s="11"/>
      <c r="B23" s="255"/>
      <c r="C23" s="256"/>
      <c r="D23" s="11"/>
      <c r="E23" s="11"/>
      <c r="F23" s="11"/>
      <c r="G23" s="11"/>
      <c r="H23" s="11"/>
      <c r="I23" s="284"/>
      <c r="J23" s="283"/>
      <c r="K23" s="284"/>
      <c r="L23" s="11"/>
      <c r="M23" s="11"/>
      <c r="N23" s="11"/>
    </row>
    <row r="24" ht="25.2" customHeight="1" spans="1:14">
      <c r="A24" s="11"/>
      <c r="B24" s="255"/>
      <c r="C24" s="256"/>
      <c r="D24" s="11"/>
      <c r="E24" s="11"/>
      <c r="F24" s="11"/>
      <c r="G24" s="11"/>
      <c r="H24" s="11"/>
      <c r="I24" s="284"/>
      <c r="J24" s="283"/>
      <c r="K24" s="284"/>
      <c r="L24" s="11"/>
      <c r="M24" s="11"/>
      <c r="N24" s="11"/>
    </row>
    <row r="25" ht="25.2" customHeight="1" spans="1:14">
      <c r="A25" s="11"/>
      <c r="B25" s="255"/>
      <c r="C25" s="256"/>
      <c r="D25" s="11"/>
      <c r="E25" s="11"/>
      <c r="F25" s="11"/>
      <c r="G25" s="11"/>
      <c r="H25" s="11"/>
      <c r="I25" s="284"/>
      <c r="J25" s="283"/>
      <c r="K25" s="284"/>
      <c r="L25" s="11"/>
      <c r="M25" s="11"/>
      <c r="N25" s="11"/>
    </row>
    <row r="26" ht="25.2" customHeight="1" spans="1:14">
      <c r="A26" s="11"/>
      <c r="B26" s="255"/>
      <c r="C26" s="256"/>
      <c r="D26" s="11"/>
      <c r="E26" s="11"/>
      <c r="F26" s="11"/>
      <c r="G26" s="11"/>
      <c r="H26" s="11"/>
      <c r="I26" s="284"/>
      <c r="J26" s="283"/>
      <c r="K26" s="284"/>
      <c r="L26" s="11"/>
      <c r="M26" s="11"/>
      <c r="N26" s="11"/>
    </row>
    <row r="27" ht="25.2" customHeight="1" spans="1:14">
      <c r="A27" s="11"/>
      <c r="B27" s="255"/>
      <c r="C27" s="256"/>
      <c r="D27" s="11"/>
      <c r="E27" s="11"/>
      <c r="F27" s="11"/>
      <c r="G27" s="11"/>
      <c r="H27" s="11"/>
      <c r="I27" s="284"/>
      <c r="J27" s="283"/>
      <c r="K27" s="284"/>
      <c r="L27" s="11"/>
      <c r="M27" s="11"/>
      <c r="N27" s="11"/>
    </row>
    <row r="28" ht="25.2" customHeight="1" spans="1:14">
      <c r="A28" s="11"/>
      <c r="B28" s="255"/>
      <c r="C28" s="256"/>
      <c r="D28" s="11"/>
      <c r="E28" s="11"/>
      <c r="F28" s="11"/>
      <c r="G28" s="11"/>
      <c r="H28" s="11"/>
      <c r="I28" s="284"/>
      <c r="J28" s="283"/>
      <c r="K28" s="284"/>
      <c r="L28" s="11"/>
      <c r="M28" s="11"/>
      <c r="N28" s="11"/>
    </row>
    <row r="29" ht="25.2" customHeight="1" spans="1:14">
      <c r="A29" s="11"/>
      <c r="B29" s="255"/>
      <c r="C29" s="256"/>
      <c r="D29" s="11"/>
      <c r="E29" s="11"/>
      <c r="F29" s="11"/>
      <c r="G29" s="11"/>
      <c r="H29" s="11"/>
      <c r="I29" s="284"/>
      <c r="J29" s="283"/>
      <c r="K29" s="284"/>
      <c r="L29" s="11"/>
      <c r="M29" s="11"/>
      <c r="N29" s="11"/>
    </row>
    <row r="30" ht="25.2" customHeight="1" spans="1:14">
      <c r="A30" s="11"/>
      <c r="B30" s="255"/>
      <c r="C30" s="256"/>
      <c r="D30" s="11"/>
      <c r="E30" s="11"/>
      <c r="F30" s="11"/>
      <c r="G30" s="11"/>
      <c r="H30" s="11"/>
      <c r="I30" s="284"/>
      <c r="J30" s="283"/>
      <c r="K30" s="284"/>
      <c r="L30" s="11"/>
      <c r="M30" s="11"/>
      <c r="N30" s="11"/>
    </row>
    <row r="31" ht="25.2" customHeight="1" spans="1:14">
      <c r="A31" s="11"/>
      <c r="B31" s="255"/>
      <c r="C31" s="256"/>
      <c r="D31" s="11"/>
      <c r="E31" s="11"/>
      <c r="F31" s="11"/>
      <c r="G31" s="11"/>
      <c r="H31" s="11"/>
      <c r="I31" s="284"/>
      <c r="J31" s="283"/>
      <c r="K31" s="284"/>
      <c r="L31" s="11"/>
      <c r="M31" s="11"/>
      <c r="N31" s="11"/>
    </row>
    <row r="32" ht="25.2" customHeight="1" spans="1:14">
      <c r="A32" s="11"/>
      <c r="B32" s="255"/>
      <c r="C32" s="256"/>
      <c r="D32" s="11"/>
      <c r="E32" s="11"/>
      <c r="F32" s="11"/>
      <c r="G32" s="11"/>
      <c r="H32" s="11"/>
      <c r="I32" s="284"/>
      <c r="J32" s="283"/>
      <c r="K32" s="284"/>
      <c r="L32" s="11"/>
      <c r="M32" s="11"/>
      <c r="N32" s="11"/>
    </row>
    <row r="33" ht="25.2" customHeight="1" spans="1:14">
      <c r="A33" s="11"/>
      <c r="B33" s="255"/>
      <c r="C33" s="256"/>
      <c r="D33" s="11"/>
      <c r="E33" s="11"/>
      <c r="F33" s="11"/>
      <c r="G33" s="11"/>
      <c r="H33" s="11"/>
      <c r="I33" s="284"/>
      <c r="J33" s="283"/>
      <c r="K33" s="284"/>
      <c r="L33" s="11"/>
      <c r="M33" s="11"/>
      <c r="N33" s="11"/>
    </row>
    <row r="34" ht="25.2" customHeight="1" spans="1:14">
      <c r="A34" s="11"/>
      <c r="B34" s="255"/>
      <c r="C34" s="256"/>
      <c r="D34" s="11"/>
      <c r="E34" s="11"/>
      <c r="F34" s="11"/>
      <c r="G34" s="11"/>
      <c r="H34" s="11"/>
      <c r="I34" s="11"/>
      <c r="J34" s="283"/>
      <c r="K34" s="284"/>
      <c r="L34" s="11"/>
      <c r="M34" s="11"/>
      <c r="N34" s="11"/>
    </row>
    <row r="35" ht="25.2" customHeight="1" spans="1:14">
      <c r="A35" s="11"/>
      <c r="B35" s="255"/>
      <c r="C35" s="256"/>
      <c r="D35" s="11"/>
      <c r="E35" s="11"/>
      <c r="F35" s="11"/>
      <c r="G35" s="11"/>
      <c r="H35" s="11"/>
      <c r="I35" s="11"/>
      <c r="J35" s="283"/>
      <c r="K35" s="284"/>
      <c r="L35" s="11"/>
      <c r="M35" s="11"/>
      <c r="N35" s="11"/>
    </row>
    <row r="36" ht="25.2" customHeight="1" spans="1:14">
      <c r="A36" s="11"/>
      <c r="B36" s="255"/>
      <c r="C36" s="256"/>
      <c r="D36" s="11"/>
      <c r="E36" s="11"/>
      <c r="F36" s="11"/>
      <c r="G36" s="11"/>
      <c r="H36" s="11"/>
      <c r="I36" s="11"/>
      <c r="J36" s="283"/>
      <c r="K36" s="284"/>
      <c r="L36" s="11"/>
      <c r="M36" s="11"/>
      <c r="N36" s="11"/>
    </row>
    <row r="37" ht="25.2" customHeight="1" spans="1:14">
      <c r="A37" s="11"/>
      <c r="B37" s="255"/>
      <c r="C37" s="256"/>
      <c r="D37" s="11"/>
      <c r="E37" s="11"/>
      <c r="F37" s="11"/>
      <c r="G37" s="11"/>
      <c r="H37" s="11"/>
      <c r="I37" s="11"/>
      <c r="J37" s="283"/>
      <c r="K37" s="284"/>
      <c r="L37" s="11"/>
      <c r="M37" s="11"/>
      <c r="N37" s="11"/>
    </row>
    <row r="38" ht="25.2" customHeight="1" spans="1:14">
      <c r="A38" s="11"/>
      <c r="B38" s="255"/>
      <c r="C38" s="256"/>
      <c r="D38" s="11"/>
      <c r="E38" s="11"/>
      <c r="F38" s="11"/>
      <c r="G38" s="11"/>
      <c r="H38" s="11"/>
      <c r="I38" s="11"/>
      <c r="J38" s="283"/>
      <c r="K38" s="284"/>
      <c r="L38" s="11"/>
      <c r="M38" s="11"/>
      <c r="N38" s="11"/>
    </row>
    <row r="39" ht="25.2" customHeight="1" spans="1:14">
      <c r="A39" s="11"/>
      <c r="B39" s="255"/>
      <c r="C39" s="256"/>
      <c r="D39" s="11"/>
      <c r="E39" s="11"/>
      <c r="F39" s="11"/>
      <c r="G39" s="11"/>
      <c r="H39" s="11"/>
      <c r="I39" s="11"/>
      <c r="J39" s="283"/>
      <c r="K39" s="284"/>
      <c r="L39" s="11"/>
      <c r="M39" s="11"/>
      <c r="N39" s="11"/>
    </row>
    <row r="40" ht="25.2" customHeight="1" spans="1:14">
      <c r="A40" s="11"/>
      <c r="B40" s="255"/>
      <c r="C40" s="256"/>
      <c r="D40" s="11"/>
      <c r="E40" s="11"/>
      <c r="F40" s="11"/>
      <c r="G40" s="11"/>
      <c r="H40" s="11"/>
      <c r="I40" s="11"/>
      <c r="J40" s="283"/>
      <c r="K40" s="284"/>
      <c r="L40" s="11"/>
      <c r="M40" s="11"/>
      <c r="N40" s="11"/>
    </row>
    <row r="41" ht="25.2" customHeight="1" spans="1:14">
      <c r="A41" s="11"/>
      <c r="B41" s="255"/>
      <c r="C41" s="256"/>
      <c r="D41" s="11"/>
      <c r="E41" s="11"/>
      <c r="F41" s="11"/>
      <c r="G41" s="11"/>
      <c r="H41" s="11"/>
      <c r="I41" s="11"/>
      <c r="J41" s="11"/>
      <c r="K41" s="11"/>
      <c r="L41" s="11"/>
      <c r="M41" s="11"/>
      <c r="N41" s="11"/>
    </row>
    <row r="42" ht="25.2" customHeight="1" spans="1:14">
      <c r="A42" s="11"/>
      <c r="B42" s="255"/>
      <c r="C42" s="256"/>
      <c r="D42" s="11"/>
      <c r="E42" s="11"/>
      <c r="F42" s="11"/>
      <c r="G42" s="11"/>
      <c r="H42" s="11"/>
      <c r="I42" s="11"/>
      <c r="J42" s="11"/>
      <c r="K42" s="11"/>
      <c r="L42" s="11"/>
      <c r="M42" s="11"/>
      <c r="N42" s="11"/>
    </row>
    <row r="43" ht="27.6" customHeight="1" spans="1:14">
      <c r="A43" s="11"/>
      <c r="B43" s="264" t="s">
        <v>237</v>
      </c>
      <c r="C43" s="265">
        <f>SUM(C5:C42)</f>
        <v>0</v>
      </c>
      <c r="D43" s="11"/>
      <c r="E43" s="11"/>
      <c r="F43" s="11"/>
      <c r="G43" s="11"/>
      <c r="H43" s="11"/>
      <c r="I43" s="11"/>
      <c r="J43" s="11"/>
      <c r="K43" s="11"/>
      <c r="L43" s="11"/>
      <c r="M43" s="11"/>
      <c r="N43" s="11"/>
    </row>
    <row r="44" ht="27.6" customHeight="1" spans="1:14">
      <c r="A44" s="11"/>
      <c r="B44" s="264" t="s">
        <v>250</v>
      </c>
      <c r="C44" s="265">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UjLRcFHCA0sLRT+yQvITMwxaTJdEFEvBdjKTkkkQj/ZJiIYTpFmnkHUvRg3C7lTCoMkbmsMzjTbaXovRVZ370g==" saltValue="k/Ld7ZqbooF4LfBY2tJFPw=="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4" customWidth="1"/>
    <col min="2" max="3" width="14.5047619047619" style="184" customWidth="1"/>
    <col min="4" max="4" width="21.5904761904762" style="184" customWidth="1"/>
    <col min="5" max="7" width="14.5047619047619" style="184" customWidth="1"/>
    <col min="8" max="8" width="8.8952380952381" style="184" customWidth="1"/>
    <col min="9" max="16384" width="8.69523809523809" style="184"/>
  </cols>
  <sheetData>
    <row r="1" spans="1:11">
      <c r="A1" s="185">
        <f>スタート!C1</f>
        <v>0</v>
      </c>
      <c r="B1" s="11"/>
      <c r="C1" s="11"/>
      <c r="D1" s="11"/>
      <c r="E1" s="11"/>
      <c r="F1" s="185"/>
      <c r="G1" s="185"/>
      <c r="H1" s="185"/>
      <c r="I1" s="185"/>
      <c r="J1" s="185"/>
      <c r="K1" s="185"/>
    </row>
    <row r="2" ht="46.5" spans="1:12">
      <c r="A2" s="186" t="s">
        <v>254</v>
      </c>
      <c r="B2" s="11"/>
      <c r="C2" s="11"/>
      <c r="D2" s="11"/>
      <c r="E2" s="11" t="s">
        <v>255</v>
      </c>
      <c r="F2" s="187" t="s">
        <v>228</v>
      </c>
      <c r="G2" s="188">
        <f>F31</f>
        <v>0</v>
      </c>
      <c r="H2" s="189"/>
      <c r="I2" s="243"/>
      <c r="J2" s="244"/>
      <c r="K2" s="11"/>
      <c r="L2" s="245"/>
    </row>
    <row r="3" spans="1:11">
      <c r="A3" s="185"/>
      <c r="B3" s="185"/>
      <c r="C3" s="185"/>
      <c r="D3" s="185"/>
      <c r="E3" s="185"/>
      <c r="F3" s="185"/>
      <c r="G3" s="185"/>
      <c r="H3" s="185"/>
      <c r="I3" s="185"/>
      <c r="J3" s="185"/>
      <c r="K3" s="185"/>
    </row>
    <row r="4" spans="1:11">
      <c r="A4" s="185"/>
      <c r="B4" s="185"/>
      <c r="C4" s="190" t="s">
        <v>256</v>
      </c>
      <c r="D4" s="191"/>
      <c r="E4" s="191"/>
      <c r="F4" s="185"/>
      <c r="G4" s="185"/>
      <c r="H4" s="185"/>
      <c r="I4" s="185"/>
      <c r="J4" s="185"/>
      <c r="K4" s="185"/>
    </row>
    <row r="5" spans="1:11">
      <c r="A5" s="192" t="s">
        <v>257</v>
      </c>
      <c r="B5" s="193"/>
      <c r="C5" s="192" t="s">
        <v>258</v>
      </c>
      <c r="D5" s="192" t="s">
        <v>259</v>
      </c>
      <c r="E5" s="192" t="s">
        <v>260</v>
      </c>
      <c r="F5" s="193"/>
      <c r="G5" s="193"/>
      <c r="H5" s="185"/>
      <c r="I5" s="185"/>
      <c r="J5" s="185"/>
      <c r="K5" s="185"/>
    </row>
    <row r="6" spans="1:11">
      <c r="A6" s="194" t="s">
        <v>231</v>
      </c>
      <c r="B6" s="194" t="s">
        <v>261</v>
      </c>
      <c r="C6" s="194" t="s">
        <v>262</v>
      </c>
      <c r="D6" s="194" t="s">
        <v>263</v>
      </c>
      <c r="E6" s="194" t="s">
        <v>234</v>
      </c>
      <c r="F6" s="194" t="s">
        <v>11</v>
      </c>
      <c r="G6" s="194" t="s">
        <v>264</v>
      </c>
      <c r="H6" s="185"/>
      <c r="I6" s="185"/>
      <c r="J6" s="185"/>
      <c r="K6" s="185"/>
    </row>
    <row r="7" spans="1:11">
      <c r="A7" s="195" t="s">
        <v>265</v>
      </c>
      <c r="B7" s="196" t="s">
        <v>266</v>
      </c>
      <c r="C7" s="196" t="s">
        <v>267</v>
      </c>
      <c r="D7" s="196" t="s">
        <v>268</v>
      </c>
      <c r="E7" s="196" t="s">
        <v>267</v>
      </c>
      <c r="F7" s="196" t="s">
        <v>266</v>
      </c>
      <c r="G7" s="195" t="s">
        <v>231</v>
      </c>
      <c r="H7" s="185"/>
      <c r="I7" s="185"/>
      <c r="J7" s="185"/>
      <c r="K7" s="185"/>
    </row>
    <row r="8" spans="1:11">
      <c r="A8" s="197" t="s">
        <v>269</v>
      </c>
      <c r="B8" s="198">
        <f>D8*C8</f>
        <v>0</v>
      </c>
      <c r="C8" s="199"/>
      <c r="D8" s="200"/>
      <c r="E8" s="201"/>
      <c r="F8" s="202">
        <f>D8*E8</f>
        <v>0</v>
      </c>
      <c r="G8" s="203" t="str">
        <f>IFERROR(C8/E8,"0")</f>
        <v>0</v>
      </c>
      <c r="H8" s="185"/>
      <c r="I8" s="185"/>
      <c r="J8" s="185"/>
      <c r="K8" s="185"/>
    </row>
    <row r="9" spans="1:11">
      <c r="A9" s="197" t="s">
        <v>269</v>
      </c>
      <c r="B9" s="204">
        <f t="shared" ref="B9:B29" si="0">D9*C9</f>
        <v>0</v>
      </c>
      <c r="C9" s="205"/>
      <c r="D9" s="206"/>
      <c r="E9" s="207"/>
      <c r="F9" s="208">
        <f t="shared" ref="F9:F29" si="1">D9*E9</f>
        <v>0</v>
      </c>
      <c r="G9" s="203" t="str">
        <f t="shared" ref="G9:G29" si="2">IFERROR(C9/E9,"0")</f>
        <v>0</v>
      </c>
      <c r="H9" s="185"/>
      <c r="I9" s="185"/>
      <c r="J9" s="185"/>
      <c r="K9" s="185"/>
    </row>
    <row r="10" spans="1:11">
      <c r="A10" s="197" t="s">
        <v>269</v>
      </c>
      <c r="B10" s="204">
        <f t="shared" si="0"/>
        <v>0</v>
      </c>
      <c r="C10" s="205"/>
      <c r="D10" s="206"/>
      <c r="E10" s="207"/>
      <c r="F10" s="208">
        <f t="shared" si="1"/>
        <v>0</v>
      </c>
      <c r="G10" s="203" t="str">
        <f t="shared" si="2"/>
        <v>0</v>
      </c>
      <c r="H10" s="185"/>
      <c r="I10" s="185"/>
      <c r="J10" s="185"/>
      <c r="K10" s="185"/>
    </row>
    <row r="11" spans="1:11">
      <c r="A11" s="197" t="s">
        <v>269</v>
      </c>
      <c r="B11" s="204">
        <f t="shared" si="0"/>
        <v>0</v>
      </c>
      <c r="C11" s="205"/>
      <c r="D11" s="206"/>
      <c r="E11" s="207"/>
      <c r="F11" s="208">
        <f t="shared" si="1"/>
        <v>0</v>
      </c>
      <c r="G11" s="203" t="str">
        <f t="shared" si="2"/>
        <v>0</v>
      </c>
      <c r="H11" s="185"/>
      <c r="I11" s="185"/>
      <c r="J11" s="185"/>
      <c r="K11" s="185"/>
    </row>
    <row r="12" spans="1:11">
      <c r="A12" s="197" t="s">
        <v>269</v>
      </c>
      <c r="B12" s="204">
        <f t="shared" si="0"/>
        <v>0</v>
      </c>
      <c r="C12" s="205"/>
      <c r="D12" s="206"/>
      <c r="E12" s="207"/>
      <c r="F12" s="208">
        <f t="shared" si="1"/>
        <v>0</v>
      </c>
      <c r="G12" s="203" t="str">
        <f t="shared" si="2"/>
        <v>0</v>
      </c>
      <c r="H12" s="185"/>
      <c r="I12" s="185"/>
      <c r="J12" s="185"/>
      <c r="K12" s="185"/>
    </row>
    <row r="13" spans="1:11">
      <c r="A13" s="197" t="s">
        <v>269</v>
      </c>
      <c r="B13" s="204">
        <f t="shared" si="0"/>
        <v>0</v>
      </c>
      <c r="C13" s="205"/>
      <c r="D13" s="206"/>
      <c r="E13" s="207"/>
      <c r="F13" s="208">
        <f t="shared" si="1"/>
        <v>0</v>
      </c>
      <c r="G13" s="203" t="str">
        <f t="shared" si="2"/>
        <v>0</v>
      </c>
      <c r="H13" s="185"/>
      <c r="I13" s="185"/>
      <c r="J13" s="185"/>
      <c r="K13" s="185"/>
    </row>
    <row r="14" spans="1:11">
      <c r="A14" s="197" t="s">
        <v>269</v>
      </c>
      <c r="B14" s="204">
        <f t="shared" si="0"/>
        <v>0</v>
      </c>
      <c r="C14" s="209"/>
      <c r="D14" s="206"/>
      <c r="E14" s="207"/>
      <c r="F14" s="208">
        <f t="shared" si="1"/>
        <v>0</v>
      </c>
      <c r="G14" s="203" t="str">
        <f t="shared" si="2"/>
        <v>0</v>
      </c>
      <c r="H14" s="185"/>
      <c r="I14" s="185"/>
      <c r="J14" s="185"/>
      <c r="K14" s="185"/>
    </row>
    <row r="15" spans="1:11">
      <c r="A15" s="197" t="s">
        <v>269</v>
      </c>
      <c r="B15" s="204">
        <f t="shared" si="0"/>
        <v>0</v>
      </c>
      <c r="C15" s="209"/>
      <c r="D15" s="206"/>
      <c r="E15" s="207"/>
      <c r="F15" s="208">
        <f t="shared" si="1"/>
        <v>0</v>
      </c>
      <c r="G15" s="203" t="str">
        <f t="shared" si="2"/>
        <v>0</v>
      </c>
      <c r="H15" s="185"/>
      <c r="I15" s="185"/>
      <c r="J15" s="185"/>
      <c r="K15" s="185"/>
    </row>
    <row r="16" spans="1:11">
      <c r="A16" s="197" t="s">
        <v>269</v>
      </c>
      <c r="B16" s="204">
        <f t="shared" si="0"/>
        <v>0</v>
      </c>
      <c r="C16" s="209"/>
      <c r="D16" s="206"/>
      <c r="E16" s="207"/>
      <c r="F16" s="208">
        <f t="shared" si="1"/>
        <v>0</v>
      </c>
      <c r="G16" s="203" t="str">
        <f t="shared" si="2"/>
        <v>0</v>
      </c>
      <c r="H16" s="185"/>
      <c r="I16" s="185"/>
      <c r="J16" s="185"/>
      <c r="K16" s="185"/>
    </row>
    <row r="17" spans="1:11">
      <c r="A17" s="197" t="s">
        <v>269</v>
      </c>
      <c r="B17" s="204">
        <f t="shared" si="0"/>
        <v>0</v>
      </c>
      <c r="C17" s="209"/>
      <c r="D17" s="206"/>
      <c r="E17" s="207"/>
      <c r="F17" s="208">
        <f t="shared" si="1"/>
        <v>0</v>
      </c>
      <c r="G17" s="203" t="str">
        <f t="shared" si="2"/>
        <v>0</v>
      </c>
      <c r="H17" s="185"/>
      <c r="I17" s="185"/>
      <c r="J17" s="185"/>
      <c r="K17" s="185"/>
    </row>
    <row r="18" spans="1:11">
      <c r="A18" s="197" t="s">
        <v>269</v>
      </c>
      <c r="B18" s="204">
        <f t="shared" si="0"/>
        <v>0</v>
      </c>
      <c r="C18" s="209"/>
      <c r="D18" s="206"/>
      <c r="E18" s="207"/>
      <c r="F18" s="208">
        <f t="shared" si="1"/>
        <v>0</v>
      </c>
      <c r="G18" s="203" t="str">
        <f t="shared" si="2"/>
        <v>0</v>
      </c>
      <c r="H18" s="185"/>
      <c r="I18" s="185"/>
      <c r="J18" s="185"/>
      <c r="K18" s="185"/>
    </row>
    <row r="19" spans="1:11">
      <c r="A19" s="197" t="s">
        <v>269</v>
      </c>
      <c r="B19" s="204">
        <f t="shared" si="0"/>
        <v>0</v>
      </c>
      <c r="C19" s="209"/>
      <c r="D19" s="206"/>
      <c r="E19" s="207"/>
      <c r="F19" s="208">
        <f t="shared" si="1"/>
        <v>0</v>
      </c>
      <c r="G19" s="203" t="str">
        <f t="shared" si="2"/>
        <v>0</v>
      </c>
      <c r="H19" s="185"/>
      <c r="I19" s="185"/>
      <c r="J19" s="185"/>
      <c r="K19" s="185"/>
    </row>
    <row r="20" spans="1:11">
      <c r="A20" s="197" t="s">
        <v>269</v>
      </c>
      <c r="B20" s="204">
        <f t="shared" si="0"/>
        <v>0</v>
      </c>
      <c r="C20" s="209"/>
      <c r="D20" s="206"/>
      <c r="E20" s="207"/>
      <c r="F20" s="208">
        <f t="shared" si="1"/>
        <v>0</v>
      </c>
      <c r="G20" s="203" t="str">
        <f t="shared" si="2"/>
        <v>0</v>
      </c>
      <c r="H20" s="185"/>
      <c r="I20" s="185"/>
      <c r="J20" s="185"/>
      <c r="K20" s="185"/>
    </row>
    <row r="21" spans="1:11">
      <c r="A21" s="197" t="s">
        <v>269</v>
      </c>
      <c r="B21" s="204">
        <f t="shared" si="0"/>
        <v>0</v>
      </c>
      <c r="C21" s="209"/>
      <c r="D21" s="206"/>
      <c r="E21" s="207"/>
      <c r="F21" s="208">
        <f t="shared" si="1"/>
        <v>0</v>
      </c>
      <c r="G21" s="203" t="str">
        <f t="shared" si="2"/>
        <v>0</v>
      </c>
      <c r="H21" s="185"/>
      <c r="I21" s="185"/>
      <c r="J21" s="185"/>
      <c r="K21" s="185"/>
    </row>
    <row r="22" spans="1:11">
      <c r="A22" s="197" t="s">
        <v>269</v>
      </c>
      <c r="B22" s="204">
        <f t="shared" si="0"/>
        <v>0</v>
      </c>
      <c r="C22" s="209"/>
      <c r="D22" s="206"/>
      <c r="E22" s="207"/>
      <c r="F22" s="208">
        <f t="shared" si="1"/>
        <v>0</v>
      </c>
      <c r="G22" s="203" t="str">
        <f t="shared" si="2"/>
        <v>0</v>
      </c>
      <c r="H22" s="185"/>
      <c r="I22" s="185"/>
      <c r="J22" s="185"/>
      <c r="K22" s="185"/>
    </row>
    <row r="23" spans="1:11">
      <c r="A23" s="197" t="s">
        <v>269</v>
      </c>
      <c r="B23" s="204">
        <f t="shared" si="0"/>
        <v>0</v>
      </c>
      <c r="C23" s="209"/>
      <c r="D23" s="206"/>
      <c r="E23" s="207"/>
      <c r="F23" s="208">
        <f t="shared" si="1"/>
        <v>0</v>
      </c>
      <c r="G23" s="203" t="str">
        <f t="shared" si="2"/>
        <v>0</v>
      </c>
      <c r="H23" s="185"/>
      <c r="I23" s="185"/>
      <c r="J23" s="185"/>
      <c r="K23" s="185"/>
    </row>
    <row r="24" spans="1:11">
      <c r="A24" s="197" t="s">
        <v>269</v>
      </c>
      <c r="B24" s="204">
        <f t="shared" si="0"/>
        <v>0</v>
      </c>
      <c r="C24" s="209"/>
      <c r="D24" s="206"/>
      <c r="E24" s="207"/>
      <c r="F24" s="208">
        <f t="shared" si="1"/>
        <v>0</v>
      </c>
      <c r="G24" s="203" t="str">
        <f t="shared" si="2"/>
        <v>0</v>
      </c>
      <c r="H24" s="185"/>
      <c r="I24" s="185"/>
      <c r="J24" s="185"/>
      <c r="K24" s="185"/>
    </row>
    <row r="25" spans="1:11">
      <c r="A25" s="197" t="s">
        <v>269</v>
      </c>
      <c r="B25" s="204">
        <f t="shared" si="0"/>
        <v>0</v>
      </c>
      <c r="C25" s="209"/>
      <c r="D25" s="206"/>
      <c r="E25" s="207"/>
      <c r="F25" s="208">
        <f t="shared" si="1"/>
        <v>0</v>
      </c>
      <c r="G25" s="203" t="str">
        <f t="shared" si="2"/>
        <v>0</v>
      </c>
      <c r="H25" s="185"/>
      <c r="I25" s="185"/>
      <c r="J25" s="185"/>
      <c r="K25" s="185"/>
    </row>
    <row r="26" spans="1:11">
      <c r="A26" s="197" t="s">
        <v>269</v>
      </c>
      <c r="B26" s="204">
        <f t="shared" si="0"/>
        <v>0</v>
      </c>
      <c r="C26" s="209"/>
      <c r="D26" s="206"/>
      <c r="E26" s="207"/>
      <c r="F26" s="208">
        <f t="shared" si="1"/>
        <v>0</v>
      </c>
      <c r="G26" s="203" t="str">
        <f t="shared" si="2"/>
        <v>0</v>
      </c>
      <c r="H26" s="185"/>
      <c r="I26" s="185"/>
      <c r="J26" s="185"/>
      <c r="K26" s="185"/>
    </row>
    <row r="27" spans="1:11">
      <c r="A27" s="197" t="s">
        <v>269</v>
      </c>
      <c r="B27" s="204">
        <f t="shared" si="0"/>
        <v>0</v>
      </c>
      <c r="C27" s="209"/>
      <c r="D27" s="206"/>
      <c r="E27" s="207"/>
      <c r="F27" s="208">
        <f t="shared" si="1"/>
        <v>0</v>
      </c>
      <c r="G27" s="203" t="str">
        <f t="shared" si="2"/>
        <v>0</v>
      </c>
      <c r="H27" s="185"/>
      <c r="I27" s="185"/>
      <c r="J27" s="185"/>
      <c r="K27" s="185"/>
    </row>
    <row r="28" spans="1:11">
      <c r="A28" s="197" t="s">
        <v>269</v>
      </c>
      <c r="B28" s="204">
        <f t="shared" si="0"/>
        <v>0</v>
      </c>
      <c r="C28" s="209"/>
      <c r="D28" s="206"/>
      <c r="E28" s="207"/>
      <c r="F28" s="208">
        <f t="shared" si="1"/>
        <v>0</v>
      </c>
      <c r="G28" s="203" t="str">
        <f t="shared" si="2"/>
        <v>0</v>
      </c>
      <c r="H28" s="185"/>
      <c r="I28" s="185"/>
      <c r="J28" s="185"/>
      <c r="K28" s="185"/>
    </row>
    <row r="29" spans="1:11">
      <c r="A29" s="197" t="s">
        <v>269</v>
      </c>
      <c r="B29" s="210">
        <f t="shared" si="0"/>
        <v>0</v>
      </c>
      <c r="C29" s="211"/>
      <c r="D29" s="212"/>
      <c r="E29" s="213"/>
      <c r="F29" s="214">
        <f t="shared" si="1"/>
        <v>0</v>
      </c>
      <c r="G29" s="203" t="str">
        <f t="shared" si="2"/>
        <v>0</v>
      </c>
      <c r="H29" s="185"/>
      <c r="I29" s="185"/>
      <c r="J29" s="185"/>
      <c r="K29" s="185"/>
    </row>
    <row r="30" spans="1:11">
      <c r="A30" s="215"/>
      <c r="B30" s="216" t="s">
        <v>270</v>
      </c>
      <c r="C30" s="217" t="s">
        <v>271</v>
      </c>
      <c r="D30" s="218" t="s">
        <v>272</v>
      </c>
      <c r="E30" s="217" t="s">
        <v>273</v>
      </c>
      <c r="F30" s="218" t="s">
        <v>274</v>
      </c>
      <c r="G30" s="219" t="s">
        <v>275</v>
      </c>
      <c r="H30" s="185"/>
      <c r="I30" s="185"/>
      <c r="J30" s="185"/>
      <c r="K30" s="185"/>
    </row>
    <row r="31" spans="1:11">
      <c r="A31" s="194" t="s">
        <v>276</v>
      </c>
      <c r="B31" s="220">
        <f>SUM(B8:B29)</f>
        <v>0</v>
      </c>
      <c r="C31" s="220">
        <f>AVERAGE(C8:C29,"0")</f>
        <v>0</v>
      </c>
      <c r="D31" s="220">
        <f>SUM(D8:D29)</f>
        <v>0</v>
      </c>
      <c r="E31" s="220" t="str">
        <f>IFERROR(F31/D31,"")</f>
        <v/>
      </c>
      <c r="F31" s="220">
        <f>SUM(F8:F29)</f>
        <v>0</v>
      </c>
      <c r="G31" s="221" t="e">
        <f>AVERAGE(G8:G29)</f>
        <v>#DIV/0!</v>
      </c>
      <c r="H31" s="185"/>
      <c r="I31" s="185"/>
      <c r="J31" s="185"/>
      <c r="K31" s="185"/>
    </row>
    <row r="32" spans="1:11">
      <c r="A32" s="222"/>
      <c r="B32" s="223"/>
      <c r="C32" s="224" t="s">
        <v>231</v>
      </c>
      <c r="D32" s="224" t="s">
        <v>231</v>
      </c>
      <c r="E32" s="223"/>
      <c r="F32" s="223"/>
      <c r="G32" s="222"/>
      <c r="H32" s="185"/>
      <c r="I32" s="246"/>
      <c r="J32" s="185"/>
      <c r="K32" s="185"/>
    </row>
    <row r="33" spans="1:11">
      <c r="A33" s="225" t="s">
        <v>277</v>
      </c>
      <c r="B33" s="226" t="s">
        <v>231</v>
      </c>
      <c r="C33" s="227" t="s">
        <v>278</v>
      </c>
      <c r="D33" s="228" t="s">
        <v>279</v>
      </c>
      <c r="E33" s="228" t="s">
        <v>280</v>
      </c>
      <c r="F33" s="229" t="s">
        <v>281</v>
      </c>
      <c r="G33" s="230">
        <f>③給料!D14+③給料!I14+③給料!N14+'⑤製造原価 (人）'!D14+'⑤製造原価 (人）'!I14+'⑤製造原価 (人）'!N14</f>
        <v>0</v>
      </c>
      <c r="H33" s="185"/>
      <c r="I33" s="185"/>
      <c r="J33" s="185"/>
      <c r="K33" s="185"/>
    </row>
    <row r="34" ht="21" spans="1:11">
      <c r="A34" s="231" t="s">
        <v>282</v>
      </c>
      <c r="B34" s="232">
        <f>'②⑧MQ（未来）'!F17*1000</f>
        <v>0</v>
      </c>
      <c r="C34" s="233" t="str">
        <f>IFERROR(B31/F31,"")</f>
        <v/>
      </c>
      <c r="D34" s="234"/>
      <c r="E34" s="234" t="s">
        <v>231</v>
      </c>
      <c r="F34" s="235" t="s">
        <v>283</v>
      </c>
      <c r="G34" s="236" t="s">
        <v>284</v>
      </c>
      <c r="H34" s="185"/>
      <c r="I34" s="185"/>
      <c r="J34" s="185"/>
      <c r="K34" s="185"/>
    </row>
    <row r="35" spans="1:11">
      <c r="A35" s="194"/>
      <c r="B35" s="194" t="s">
        <v>231</v>
      </c>
      <c r="C35" s="237" t="s">
        <v>285</v>
      </c>
      <c r="D35" s="228" t="s">
        <v>286</v>
      </c>
      <c r="E35" s="228" t="s">
        <v>287</v>
      </c>
      <c r="F35" s="238" t="s">
        <v>231</v>
      </c>
      <c r="G35" s="239"/>
      <c r="H35" s="185"/>
      <c r="I35" s="185"/>
      <c r="J35" s="185"/>
      <c r="K35" s="185"/>
    </row>
    <row r="36" spans="1:11">
      <c r="A36" s="195" t="s">
        <v>261</v>
      </c>
      <c r="B36" s="195">
        <f>B31</f>
        <v>0</v>
      </c>
      <c r="C36" s="234">
        <v>0</v>
      </c>
      <c r="D36" s="234" t="s">
        <v>231</v>
      </c>
      <c r="E36" s="234">
        <v>0</v>
      </c>
      <c r="F36" s="240" t="e">
        <f>B36/G33</f>
        <v>#DIV/0!</v>
      </c>
      <c r="G36" s="241" t="e">
        <f>F31/G33</f>
        <v>#DIV/0!</v>
      </c>
      <c r="H36" s="185"/>
      <c r="I36" s="185"/>
      <c r="J36" s="185"/>
      <c r="K36" s="185"/>
    </row>
    <row r="37" spans="1:11">
      <c r="A37" s="242"/>
      <c r="B37" s="242"/>
      <c r="C37" s="242"/>
      <c r="D37" s="242"/>
      <c r="E37" s="242"/>
      <c r="F37" s="242"/>
      <c r="G37" s="242"/>
      <c r="H37" s="185"/>
      <c r="I37" s="185"/>
      <c r="J37" s="185"/>
      <c r="K37" s="185"/>
    </row>
    <row r="38" spans="1:11">
      <c r="A38" s="185"/>
      <c r="B38" s="185"/>
      <c r="C38" s="185"/>
      <c r="D38" s="185"/>
      <c r="E38" s="185"/>
      <c r="F38" s="185"/>
      <c r="G38" s="185"/>
      <c r="H38" s="185"/>
      <c r="I38" s="185"/>
      <c r="J38" s="185"/>
      <c r="K38" s="185"/>
    </row>
    <row r="39" spans="1:11">
      <c r="A39" s="185"/>
      <c r="B39" s="185"/>
      <c r="C39" s="185"/>
      <c r="D39" s="185"/>
      <c r="E39" s="185"/>
      <c r="F39" s="185"/>
      <c r="G39" s="185"/>
      <c r="H39" s="185"/>
      <c r="I39" s="185"/>
      <c r="J39" s="185"/>
      <c r="K39" s="185"/>
    </row>
    <row r="40" spans="1:11">
      <c r="A40" s="185"/>
      <c r="B40" s="185"/>
      <c r="C40" s="185"/>
      <c r="D40" s="185"/>
      <c r="E40" s="185"/>
      <c r="F40" s="185"/>
      <c r="G40" s="185"/>
      <c r="H40" s="185"/>
      <c r="I40" s="185"/>
      <c r="J40" s="185"/>
      <c r="K40" s="185"/>
    </row>
    <row r="41" spans="1:11">
      <c r="A41" s="185"/>
      <c r="B41" s="185"/>
      <c r="C41" s="185"/>
      <c r="D41" s="185"/>
      <c r="E41" s="185"/>
      <c r="F41" s="185"/>
      <c r="G41" s="185"/>
      <c r="H41" s="185"/>
      <c r="I41" s="185"/>
      <c r="J41" s="185"/>
      <c r="K41" s="185"/>
    </row>
    <row r="42" spans="1:11">
      <c r="A42" s="185"/>
      <c r="B42" s="185"/>
      <c r="C42" s="185"/>
      <c r="D42" s="185"/>
      <c r="E42" s="185"/>
      <c r="F42" s="185"/>
      <c r="G42" s="185"/>
      <c r="H42" s="185"/>
      <c r="I42" s="185"/>
      <c r="J42" s="185"/>
      <c r="K42" s="185"/>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B3" sqref="B3"/>
    </sheetView>
  </sheetViews>
  <sheetFormatPr defaultColWidth="8.69523809523809" defaultRowHeight="15"/>
  <cols>
    <col min="1" max="1" width="31.5047619047619" style="168" customWidth="1"/>
    <col min="2" max="2" width="16.2" style="168" customWidth="1"/>
    <col min="3" max="3" width="12.6" style="168" customWidth="1"/>
    <col min="4" max="4" width="29.6" style="168" customWidth="1"/>
    <col min="5" max="5" width="16.8" style="168" customWidth="1"/>
    <col min="6" max="7" width="8.69523809523809" style="168"/>
    <col min="8" max="8" width="14.2" style="168" customWidth="1"/>
    <col min="9" max="9" width="14.8952380952381" style="168" customWidth="1"/>
    <col min="10" max="10" width="11.2" style="168" customWidth="1"/>
    <col min="11" max="11" width="8.69523809523809" style="168"/>
    <col min="12" max="12" width="10.2" style="168" customWidth="1"/>
    <col min="13" max="16384" width="8.69523809523809" style="168"/>
  </cols>
  <sheetData>
    <row r="1" ht="15.75" spans="1:19">
      <c r="A1" s="169" t="s">
        <v>288</v>
      </c>
      <c r="B1" s="170"/>
      <c r="C1" s="171"/>
      <c r="D1" s="169" t="s">
        <v>244</v>
      </c>
      <c r="E1" s="170"/>
      <c r="F1" s="171"/>
      <c r="G1" s="171"/>
      <c r="H1" s="171"/>
      <c r="I1" s="171"/>
      <c r="J1" s="171"/>
      <c r="K1" s="171"/>
      <c r="L1" s="171"/>
      <c r="M1" s="171"/>
      <c r="N1" s="171"/>
      <c r="O1" s="171"/>
      <c r="P1" s="171"/>
      <c r="Q1" s="171"/>
      <c r="R1" s="171"/>
      <c r="S1" s="171"/>
    </row>
    <row r="2" ht="15.75" spans="1:19">
      <c r="A2" s="172" t="s">
        <v>289</v>
      </c>
      <c r="B2" s="173">
        <f>⑦原価詳細!F31</f>
        <v>0</v>
      </c>
      <c r="C2" s="174"/>
      <c r="D2" s="172" t="s">
        <v>289</v>
      </c>
      <c r="E2" s="173">
        <f>スタート!C6*1000000</f>
        <v>0</v>
      </c>
      <c r="F2" s="171"/>
      <c r="G2" s="171"/>
      <c r="H2" s="171" t="s">
        <v>289</v>
      </c>
      <c r="I2" s="171" t="s">
        <v>290</v>
      </c>
      <c r="J2" s="171" t="s">
        <v>291</v>
      </c>
      <c r="K2" s="171" t="s">
        <v>291</v>
      </c>
      <c r="L2" s="171" t="s">
        <v>292</v>
      </c>
      <c r="M2" s="171"/>
      <c r="N2" s="171" t="s">
        <v>289</v>
      </c>
      <c r="O2" s="171" t="s">
        <v>290</v>
      </c>
      <c r="P2" s="171" t="s">
        <v>291</v>
      </c>
      <c r="Q2" s="171" t="s">
        <v>291</v>
      </c>
      <c r="R2" s="171" t="s">
        <v>292</v>
      </c>
      <c r="S2" s="171"/>
    </row>
    <row r="3" ht="15.75" spans="1:19">
      <c r="A3" s="172" t="s">
        <v>293</v>
      </c>
      <c r="B3" s="173">
        <f>'②⑧MQ（未来）'!F3*1000000</f>
        <v>0</v>
      </c>
      <c r="C3" s="174"/>
      <c r="D3" s="172" t="s">
        <v>293</v>
      </c>
      <c r="E3" s="173">
        <f>スタート!G102*1000000</f>
        <v>0</v>
      </c>
      <c r="F3" s="171"/>
      <c r="G3" s="171"/>
      <c r="H3" s="171">
        <v>0</v>
      </c>
      <c r="I3" s="182">
        <f>B4</f>
        <v>0</v>
      </c>
      <c r="J3" s="183">
        <f>H3-I3</f>
        <v>0</v>
      </c>
      <c r="K3" s="171" t="e">
        <f>IF(J3&gt;0,J3,NA())</f>
        <v>#N/A</v>
      </c>
      <c r="L3" s="171" t="e">
        <f>IF(J3&lt;0,J3,NA())</f>
        <v>#N/A</v>
      </c>
      <c r="M3" s="171"/>
      <c r="N3" s="171">
        <v>0</v>
      </c>
      <c r="O3" s="182">
        <f>E4</f>
        <v>0</v>
      </c>
      <c r="P3" s="183">
        <f>N3-O3</f>
        <v>0</v>
      </c>
      <c r="Q3" s="171" t="e">
        <f>IF(P3&gt;0,P3,NA())</f>
        <v>#N/A</v>
      </c>
      <c r="R3" s="171" t="e">
        <f>IF(P3&lt;0,P3,NA())</f>
        <v>#N/A</v>
      </c>
      <c r="S3" s="171"/>
    </row>
    <row r="4" ht="15.75" spans="1:19">
      <c r="A4" s="172" t="s">
        <v>294</v>
      </c>
      <c r="B4" s="173">
        <f>④経費!I2*1000000</f>
        <v>0</v>
      </c>
      <c r="C4" s="174"/>
      <c r="D4" s="172" t="s">
        <v>294</v>
      </c>
      <c r="E4" s="173">
        <f>スタート!G103*1000000</f>
        <v>0</v>
      </c>
      <c r="F4" s="171"/>
      <c r="G4" s="171"/>
      <c r="H4" s="171">
        <f>B2/6</f>
        <v>0</v>
      </c>
      <c r="I4" s="182" t="e">
        <f>(B4+(B3/B2)*H4)</f>
        <v>#DIV/0!</v>
      </c>
      <c r="J4" s="183" t="e">
        <f t="shared" ref="J4:J9" si="0">H4-I4</f>
        <v>#DIV/0!</v>
      </c>
      <c r="K4" s="171" t="e">
        <f t="shared" ref="K4:K9" si="1">IF(J4&gt;0,J4,NA())</f>
        <v>#DIV/0!</v>
      </c>
      <c r="L4" s="171" t="e">
        <f t="shared" ref="L4:L9" si="2">IF(J4&lt;0,J4,NA())</f>
        <v>#DIV/0!</v>
      </c>
      <c r="M4" s="171"/>
      <c r="N4" s="171">
        <f>E2/6</f>
        <v>0</v>
      </c>
      <c r="O4" s="182" t="e">
        <f>(E4+(E3/E2)*N4)</f>
        <v>#DIV/0!</v>
      </c>
      <c r="P4" s="183" t="e">
        <f t="shared" ref="P4:P9" si="3">N4-O4</f>
        <v>#DIV/0!</v>
      </c>
      <c r="Q4" s="171" t="e">
        <f t="shared" ref="Q4:Q9" si="4">IF(P4&gt;0,P4,NA())</f>
        <v>#DIV/0!</v>
      </c>
      <c r="R4" s="171" t="e">
        <f t="shared" ref="R4:R9" si="5">IF(P4&lt;0,P4,NA())</f>
        <v>#DIV/0!</v>
      </c>
      <c r="S4" s="171"/>
    </row>
    <row r="5" spans="1:19">
      <c r="A5" s="175" t="s">
        <v>295</v>
      </c>
      <c r="B5" s="176" t="e">
        <f>B3/B2</f>
        <v>#DIV/0!</v>
      </c>
      <c r="C5" s="176"/>
      <c r="D5" s="175" t="s">
        <v>295</v>
      </c>
      <c r="E5" s="176" t="e">
        <f>E3/E2</f>
        <v>#DIV/0!</v>
      </c>
      <c r="F5" s="171"/>
      <c r="G5" s="171"/>
      <c r="H5" s="171">
        <f>B2/3</f>
        <v>0</v>
      </c>
      <c r="I5" s="182" t="e">
        <f>(B4+(B3/B2)*H5)</f>
        <v>#DIV/0!</v>
      </c>
      <c r="J5" s="183" t="e">
        <f t="shared" si="0"/>
        <v>#DIV/0!</v>
      </c>
      <c r="K5" s="171" t="e">
        <f t="shared" si="1"/>
        <v>#DIV/0!</v>
      </c>
      <c r="L5" s="171" t="e">
        <f t="shared" si="2"/>
        <v>#DIV/0!</v>
      </c>
      <c r="M5" s="171"/>
      <c r="N5" s="171">
        <f>E2/3</f>
        <v>0</v>
      </c>
      <c r="O5" s="182" t="e">
        <f>(E4+(E3/E2)*N5)</f>
        <v>#DIV/0!</v>
      </c>
      <c r="P5" s="183" t="e">
        <f t="shared" si="3"/>
        <v>#DIV/0!</v>
      </c>
      <c r="Q5" s="171" t="e">
        <f t="shared" si="4"/>
        <v>#DIV/0!</v>
      </c>
      <c r="R5" s="171" t="e">
        <f t="shared" si="5"/>
        <v>#DIV/0!</v>
      </c>
      <c r="S5" s="171"/>
    </row>
    <row r="6" ht="30" customHeight="1" spans="1:19">
      <c r="A6" s="177" t="s">
        <v>296</v>
      </c>
      <c r="B6" s="178" t="e">
        <f>B4/(1-B3/B2)</f>
        <v>#DIV/0!</v>
      </c>
      <c r="C6" s="179"/>
      <c r="D6" s="177" t="s">
        <v>296</v>
      </c>
      <c r="E6" s="180" t="e">
        <f>E4/(1-E3/E2)</f>
        <v>#DIV/0!</v>
      </c>
      <c r="F6" s="171"/>
      <c r="G6" s="171"/>
      <c r="H6" s="171">
        <f>B2/2</f>
        <v>0</v>
      </c>
      <c r="I6" s="182" t="e">
        <f>(B4+(B3/B2)*H6)</f>
        <v>#DIV/0!</v>
      </c>
      <c r="J6" s="183" t="e">
        <f t="shared" si="0"/>
        <v>#DIV/0!</v>
      </c>
      <c r="K6" s="171" t="e">
        <f t="shared" si="1"/>
        <v>#DIV/0!</v>
      </c>
      <c r="L6" s="171" t="e">
        <f t="shared" si="2"/>
        <v>#DIV/0!</v>
      </c>
      <c r="M6" s="171"/>
      <c r="N6" s="171">
        <f>E2/2</f>
        <v>0</v>
      </c>
      <c r="O6" s="182" t="e">
        <f>(E4+(E3/E2)*N6)</f>
        <v>#DIV/0!</v>
      </c>
      <c r="P6" s="183" t="e">
        <f t="shared" si="3"/>
        <v>#DIV/0!</v>
      </c>
      <c r="Q6" s="171" t="e">
        <f t="shared" si="4"/>
        <v>#DIV/0!</v>
      </c>
      <c r="R6" s="171" t="e">
        <f t="shared" si="5"/>
        <v>#DIV/0!</v>
      </c>
      <c r="S6" s="171"/>
    </row>
    <row r="7" spans="1:19">
      <c r="A7" s="171"/>
      <c r="B7" s="171"/>
      <c r="C7" s="171"/>
      <c r="D7" s="171"/>
      <c r="E7" s="171"/>
      <c r="F7" s="171"/>
      <c r="G7" s="171"/>
      <c r="H7" s="171">
        <f>2*B2/3</f>
        <v>0</v>
      </c>
      <c r="I7" s="182" t="e">
        <f>(B4+(B3/B2)*H7)</f>
        <v>#DIV/0!</v>
      </c>
      <c r="J7" s="183" t="e">
        <f t="shared" si="0"/>
        <v>#DIV/0!</v>
      </c>
      <c r="K7" s="171" t="e">
        <f t="shared" si="1"/>
        <v>#DIV/0!</v>
      </c>
      <c r="L7" s="171" t="e">
        <f t="shared" si="2"/>
        <v>#DIV/0!</v>
      </c>
      <c r="M7" s="171"/>
      <c r="N7" s="171">
        <f>2*E2/3</f>
        <v>0</v>
      </c>
      <c r="O7" s="182" t="e">
        <f>(E4+(E3/E2)*N7)</f>
        <v>#DIV/0!</v>
      </c>
      <c r="P7" s="183" t="e">
        <f t="shared" si="3"/>
        <v>#DIV/0!</v>
      </c>
      <c r="Q7" s="171" t="e">
        <f t="shared" si="4"/>
        <v>#DIV/0!</v>
      </c>
      <c r="R7" s="171" t="e">
        <f t="shared" si="5"/>
        <v>#DIV/0!</v>
      </c>
      <c r="S7" s="171"/>
    </row>
    <row r="8" spans="1:19">
      <c r="A8" s="171"/>
      <c r="B8" s="171"/>
      <c r="C8" s="171"/>
      <c r="D8" s="171"/>
      <c r="E8" s="171"/>
      <c r="F8" s="171"/>
      <c r="G8" s="171"/>
      <c r="H8" s="171">
        <f>5*B2/6</f>
        <v>0</v>
      </c>
      <c r="I8" s="182" t="e">
        <f>(B4+(B3/B2)*H8)</f>
        <v>#DIV/0!</v>
      </c>
      <c r="J8" s="183" t="e">
        <f t="shared" si="0"/>
        <v>#DIV/0!</v>
      </c>
      <c r="K8" s="171" t="e">
        <f t="shared" si="1"/>
        <v>#DIV/0!</v>
      </c>
      <c r="L8" s="171" t="e">
        <f t="shared" si="2"/>
        <v>#DIV/0!</v>
      </c>
      <c r="M8" s="171"/>
      <c r="N8" s="171">
        <f>5*E2/6</f>
        <v>0</v>
      </c>
      <c r="O8" s="182" t="e">
        <f>(E4+(E3/E2)*N8)</f>
        <v>#DIV/0!</v>
      </c>
      <c r="P8" s="183" t="e">
        <f t="shared" si="3"/>
        <v>#DIV/0!</v>
      </c>
      <c r="Q8" s="171" t="e">
        <f t="shared" si="4"/>
        <v>#DIV/0!</v>
      </c>
      <c r="R8" s="171" t="e">
        <f t="shared" si="5"/>
        <v>#DIV/0!</v>
      </c>
      <c r="S8" s="171"/>
    </row>
    <row r="9" spans="1:19">
      <c r="A9" s="171"/>
      <c r="B9" s="171"/>
      <c r="C9" s="171"/>
      <c r="D9" s="171"/>
      <c r="E9" s="171"/>
      <c r="F9" s="171"/>
      <c r="G9" s="171"/>
      <c r="H9" s="171">
        <f>B2</f>
        <v>0</v>
      </c>
      <c r="I9" s="182" t="e">
        <f>(B4+(B3/B2)*H9)</f>
        <v>#DIV/0!</v>
      </c>
      <c r="J9" s="183" t="e">
        <f t="shared" si="0"/>
        <v>#DIV/0!</v>
      </c>
      <c r="K9" s="171" t="e">
        <f t="shared" si="1"/>
        <v>#DIV/0!</v>
      </c>
      <c r="L9" s="171" t="e">
        <f t="shared" si="2"/>
        <v>#DIV/0!</v>
      </c>
      <c r="M9" s="171"/>
      <c r="N9" s="171">
        <f>E2</f>
        <v>0</v>
      </c>
      <c r="O9" s="182" t="e">
        <f>(E4+(E3/E2)*N9)</f>
        <v>#DIV/0!</v>
      </c>
      <c r="P9" s="183" t="e">
        <f t="shared" si="3"/>
        <v>#DIV/0!</v>
      </c>
      <c r="Q9" s="171" t="e">
        <f t="shared" si="4"/>
        <v>#DIV/0!</v>
      </c>
      <c r="R9" s="171" t="e">
        <f t="shared" si="5"/>
        <v>#DIV/0!</v>
      </c>
      <c r="S9" s="171"/>
    </row>
    <row r="10" spans="1:19">
      <c r="A10" s="171"/>
      <c r="B10" s="171"/>
      <c r="C10" s="171"/>
      <c r="D10" s="171"/>
      <c r="E10" s="171"/>
      <c r="F10" s="171"/>
      <c r="G10" s="171"/>
      <c r="H10" s="181"/>
      <c r="I10" s="182"/>
      <c r="J10" s="171"/>
      <c r="K10" s="171"/>
      <c r="L10" s="171"/>
      <c r="M10" s="171"/>
      <c r="N10" s="171"/>
      <c r="O10" s="171"/>
      <c r="P10" s="171"/>
      <c r="Q10" s="171"/>
      <c r="R10" s="171"/>
      <c r="S10" s="171"/>
    </row>
    <row r="11" spans="1:19">
      <c r="A11" s="171"/>
      <c r="B11" s="171"/>
      <c r="C11" s="171"/>
      <c r="D11" s="171"/>
      <c r="E11" s="171"/>
      <c r="F11" s="171"/>
      <c r="G11" s="171"/>
      <c r="H11" s="181"/>
      <c r="I11" s="171"/>
      <c r="J11" s="171"/>
      <c r="K11" s="171"/>
      <c r="L11" s="171"/>
      <c r="M11" s="171"/>
      <c r="N11" s="171"/>
      <c r="O11" s="171"/>
      <c r="P11" s="171"/>
      <c r="Q11" s="171"/>
      <c r="R11" s="171"/>
      <c r="S11" s="171"/>
    </row>
    <row r="12" spans="1:19">
      <c r="A12" s="171"/>
      <c r="B12" s="171"/>
      <c r="C12" s="171"/>
      <c r="D12" s="171"/>
      <c r="E12" s="171"/>
      <c r="F12" s="171"/>
      <c r="G12" s="171"/>
      <c r="H12" s="181"/>
      <c r="I12" s="171"/>
      <c r="J12" s="171"/>
      <c r="K12" s="171"/>
      <c r="L12" s="171"/>
      <c r="M12" s="171"/>
      <c r="N12" s="171"/>
      <c r="O12" s="171"/>
      <c r="P12" s="171"/>
      <c r="Q12" s="171"/>
      <c r="R12" s="171"/>
      <c r="S12" s="171"/>
    </row>
    <row r="13" spans="1:19">
      <c r="A13" s="171"/>
      <c r="B13" s="171"/>
      <c r="C13" s="171"/>
      <c r="D13" s="171"/>
      <c r="E13" s="171"/>
      <c r="F13" s="171"/>
      <c r="G13" s="171"/>
      <c r="H13" s="181"/>
      <c r="I13" s="171"/>
      <c r="J13" s="171"/>
      <c r="K13" s="171"/>
      <c r="L13" s="171"/>
      <c r="M13" s="171"/>
      <c r="N13" s="171"/>
      <c r="O13" s="171"/>
      <c r="P13" s="171"/>
      <c r="Q13" s="171"/>
      <c r="R13" s="171"/>
      <c r="S13" s="171"/>
    </row>
    <row r="14" spans="1:19">
      <c r="A14" s="171"/>
      <c r="B14" s="171"/>
      <c r="C14" s="171"/>
      <c r="D14" s="171"/>
      <c r="E14" s="171"/>
      <c r="F14" s="171"/>
      <c r="G14" s="171"/>
      <c r="H14" s="171"/>
      <c r="I14" s="171"/>
      <c r="J14" s="171"/>
      <c r="K14" s="171"/>
      <c r="L14" s="171"/>
      <c r="M14" s="171"/>
      <c r="N14" s="171"/>
      <c r="O14" s="171"/>
      <c r="P14" s="171"/>
      <c r="Q14" s="171"/>
      <c r="R14" s="171"/>
      <c r="S14" s="171"/>
    </row>
    <row r="15" spans="1:19">
      <c r="A15" s="171"/>
      <c r="B15" s="171"/>
      <c r="C15" s="171"/>
      <c r="D15" s="171"/>
      <c r="E15" s="171"/>
      <c r="F15" s="171"/>
      <c r="G15" s="171"/>
      <c r="H15" s="171"/>
      <c r="I15" s="171"/>
      <c r="J15" s="171"/>
      <c r="K15" s="171"/>
      <c r="L15" s="171"/>
      <c r="M15" s="171"/>
      <c r="N15" s="171"/>
      <c r="O15" s="171"/>
      <c r="P15" s="171"/>
      <c r="Q15" s="171"/>
      <c r="R15" s="171"/>
      <c r="S15" s="171"/>
    </row>
    <row r="16" spans="1:19">
      <c r="A16" s="171"/>
      <c r="B16" s="171"/>
      <c r="C16" s="171"/>
      <c r="D16" s="171"/>
      <c r="E16" s="171"/>
      <c r="F16" s="171"/>
      <c r="G16" s="171"/>
      <c r="H16" s="171"/>
      <c r="I16" s="171"/>
      <c r="J16" s="171"/>
      <c r="K16" s="171"/>
      <c r="L16" s="171"/>
      <c r="M16" s="171"/>
      <c r="N16" s="171"/>
      <c r="O16" s="171"/>
      <c r="P16" s="171"/>
      <c r="Q16" s="171"/>
      <c r="R16" s="171"/>
      <c r="S16" s="171"/>
    </row>
    <row r="17" spans="1:19">
      <c r="A17" s="171"/>
      <c r="B17" s="171"/>
      <c r="C17" s="171"/>
      <c r="D17" s="171"/>
      <c r="E17" s="171"/>
      <c r="F17" s="171"/>
      <c r="G17" s="171"/>
      <c r="H17" s="171"/>
      <c r="I17" s="171"/>
      <c r="J17" s="171"/>
      <c r="K17" s="171"/>
      <c r="L17" s="171"/>
      <c r="M17" s="171"/>
      <c r="N17" s="171"/>
      <c r="O17" s="171"/>
      <c r="P17" s="171"/>
      <c r="Q17" s="171"/>
      <c r="R17" s="171"/>
      <c r="S17" s="171"/>
    </row>
    <row r="18" spans="1:19">
      <c r="A18" s="171"/>
      <c r="B18" s="171"/>
      <c r="C18" s="171"/>
      <c r="D18" s="171"/>
      <c r="E18" s="171"/>
      <c r="F18" s="171"/>
      <c r="G18" s="171"/>
      <c r="H18" s="171"/>
      <c r="I18" s="171"/>
      <c r="J18" s="171"/>
      <c r="K18" s="171"/>
      <c r="L18" s="171"/>
      <c r="M18" s="171"/>
      <c r="N18" s="171"/>
      <c r="O18" s="171"/>
      <c r="P18" s="171"/>
      <c r="Q18" s="171"/>
      <c r="R18" s="171"/>
      <c r="S18" s="171"/>
    </row>
    <row r="19" spans="1:19">
      <c r="A19" s="171"/>
      <c r="B19" s="171"/>
      <c r="C19" s="171"/>
      <c r="D19" s="171"/>
      <c r="E19" s="171"/>
      <c r="F19" s="171"/>
      <c r="G19" s="171"/>
      <c r="H19" s="171"/>
      <c r="I19" s="171"/>
      <c r="J19" s="171"/>
      <c r="K19" s="171"/>
      <c r="L19" s="171"/>
      <c r="M19" s="171"/>
      <c r="N19" s="171"/>
      <c r="O19" s="171"/>
      <c r="P19" s="171"/>
      <c r="Q19" s="171"/>
      <c r="R19" s="171"/>
      <c r="S19" s="171"/>
    </row>
    <row r="20" spans="1:19">
      <c r="A20" s="171"/>
      <c r="B20" s="171"/>
      <c r="C20" s="171"/>
      <c r="D20" s="171"/>
      <c r="E20" s="171"/>
      <c r="F20" s="171"/>
      <c r="G20" s="171"/>
      <c r="H20" s="171"/>
      <c r="I20" s="171"/>
      <c r="J20" s="171"/>
      <c r="K20" s="171"/>
      <c r="L20" s="171"/>
      <c r="M20" s="171"/>
      <c r="N20" s="171"/>
      <c r="O20" s="171"/>
      <c r="P20" s="171"/>
      <c r="Q20" s="171"/>
      <c r="R20" s="171"/>
      <c r="S20" s="171"/>
    </row>
    <row r="21" spans="1:19">
      <c r="A21" s="171"/>
      <c r="B21" s="171"/>
      <c r="C21" s="171"/>
      <c r="D21" s="171"/>
      <c r="E21" s="171"/>
      <c r="F21" s="171"/>
      <c r="G21" s="171"/>
      <c r="H21" s="171"/>
      <c r="I21" s="171"/>
      <c r="J21" s="171"/>
      <c r="K21" s="171"/>
      <c r="L21" s="171"/>
      <c r="M21" s="171"/>
      <c r="N21" s="171"/>
      <c r="O21" s="171"/>
      <c r="P21" s="171"/>
      <c r="Q21" s="171"/>
      <c r="R21" s="171"/>
      <c r="S21" s="171"/>
    </row>
    <row r="22" spans="1:19">
      <c r="A22" s="171"/>
      <c r="B22" s="171"/>
      <c r="C22" s="171"/>
      <c r="D22" s="171"/>
      <c r="E22" s="171"/>
      <c r="F22" s="171"/>
      <c r="G22" s="171"/>
      <c r="H22" s="171"/>
      <c r="I22" s="171"/>
      <c r="J22" s="171"/>
      <c r="K22" s="171"/>
      <c r="L22" s="171"/>
      <c r="M22" s="171"/>
      <c r="N22" s="171"/>
      <c r="O22" s="171"/>
      <c r="P22" s="171"/>
      <c r="Q22" s="171"/>
      <c r="R22" s="171"/>
      <c r="S22" s="171"/>
    </row>
    <row r="23" spans="1:19">
      <c r="A23" s="171"/>
      <c r="B23" s="171"/>
      <c r="C23" s="171"/>
      <c r="D23" s="171"/>
      <c r="E23" s="171"/>
      <c r="F23" s="171"/>
      <c r="G23" s="171"/>
      <c r="H23" s="171"/>
      <c r="I23" s="171"/>
      <c r="J23" s="171"/>
      <c r="K23" s="171"/>
      <c r="L23" s="171"/>
      <c r="M23" s="171"/>
      <c r="N23" s="171"/>
      <c r="O23" s="171"/>
      <c r="P23" s="171"/>
      <c r="Q23" s="171"/>
      <c r="R23" s="171"/>
      <c r="S23" s="171"/>
    </row>
    <row r="24" spans="1:19">
      <c r="A24" s="171"/>
      <c r="B24" s="171"/>
      <c r="C24" s="171"/>
      <c r="D24" s="171"/>
      <c r="E24" s="171"/>
      <c r="F24" s="171"/>
      <c r="G24" s="171"/>
      <c r="H24" s="171"/>
      <c r="I24" s="171"/>
      <c r="J24" s="171"/>
      <c r="K24" s="171"/>
      <c r="L24" s="171"/>
      <c r="M24" s="171"/>
      <c r="N24" s="171"/>
      <c r="O24" s="171"/>
      <c r="P24" s="171"/>
      <c r="Q24" s="171"/>
      <c r="R24" s="171"/>
      <c r="S24" s="171"/>
    </row>
    <row r="25" spans="1:19">
      <c r="A25" s="171"/>
      <c r="B25" s="171"/>
      <c r="C25" s="171"/>
      <c r="D25" s="171"/>
      <c r="E25" s="171"/>
      <c r="F25" s="171"/>
      <c r="G25" s="171"/>
      <c r="H25" s="171"/>
      <c r="I25" s="11"/>
      <c r="J25" s="171"/>
      <c r="K25" s="171"/>
      <c r="L25" s="171"/>
      <c r="M25" s="171"/>
      <c r="N25" s="171"/>
      <c r="O25" s="171"/>
      <c r="P25" s="171"/>
      <c r="Q25" s="171"/>
      <c r="R25" s="171"/>
      <c r="S25" s="171"/>
    </row>
    <row r="26" spans="1:19">
      <c r="A26" s="171"/>
      <c r="B26" s="171"/>
      <c r="C26" s="171"/>
      <c r="D26" s="171"/>
      <c r="E26" s="171"/>
      <c r="F26" s="171"/>
      <c r="G26" s="171"/>
      <c r="H26" s="171"/>
      <c r="I26" s="171"/>
      <c r="J26" s="171"/>
      <c r="K26" s="171"/>
      <c r="L26" s="171"/>
      <c r="M26" s="171"/>
      <c r="N26" s="171"/>
      <c r="O26" s="171"/>
      <c r="P26" s="171"/>
      <c r="Q26" s="171"/>
      <c r="R26" s="171"/>
      <c r="S26" s="171"/>
    </row>
    <row r="27" spans="1:19">
      <c r="A27" s="171"/>
      <c r="B27" s="171"/>
      <c r="C27" s="171"/>
      <c r="D27" s="171"/>
      <c r="E27" s="171"/>
      <c r="F27" s="171"/>
      <c r="G27" s="171"/>
      <c r="H27" s="171"/>
      <c r="I27" s="171"/>
      <c r="J27" s="171"/>
      <c r="K27" s="171"/>
      <c r="L27" s="171"/>
      <c r="M27" s="171"/>
      <c r="N27" s="171"/>
      <c r="O27" s="171"/>
      <c r="P27" s="171"/>
      <c r="Q27" s="171"/>
      <c r="R27" s="171"/>
      <c r="S27" s="171"/>
    </row>
    <row r="28" spans="1:19">
      <c r="A28" s="171"/>
      <c r="B28" s="171"/>
      <c r="C28" s="171"/>
      <c r="D28" s="171"/>
      <c r="E28" s="171"/>
      <c r="F28" s="171"/>
      <c r="G28" s="171"/>
      <c r="H28" s="171"/>
      <c r="I28" s="171"/>
      <c r="J28" s="171"/>
      <c r="K28" s="171"/>
      <c r="L28" s="171"/>
      <c r="M28" s="171"/>
      <c r="N28" s="171"/>
      <c r="O28" s="171"/>
      <c r="P28" s="171"/>
      <c r="Q28" s="171"/>
      <c r="R28" s="171"/>
      <c r="S28" s="171"/>
    </row>
    <row r="29" spans="1:19">
      <c r="A29" s="11"/>
      <c r="B29" s="171"/>
      <c r="C29" s="171"/>
      <c r="D29" s="171"/>
      <c r="E29" s="171"/>
      <c r="F29" s="171"/>
      <c r="G29" s="171"/>
      <c r="H29" s="171"/>
      <c r="I29" s="171"/>
      <c r="J29" s="171"/>
      <c r="K29" s="171"/>
      <c r="L29" s="171"/>
      <c r="M29" s="171"/>
      <c r="N29" s="171"/>
      <c r="O29" s="171"/>
      <c r="P29" s="171"/>
      <c r="Q29" s="171"/>
      <c r="R29" s="171"/>
      <c r="S29" s="171"/>
    </row>
    <row r="30" spans="1:19">
      <c r="A30" s="171"/>
      <c r="B30" s="171"/>
      <c r="C30" s="171"/>
      <c r="D30" s="171"/>
      <c r="E30" s="171"/>
      <c r="F30" s="171"/>
      <c r="G30" s="171"/>
      <c r="H30" s="171"/>
      <c r="I30" s="171"/>
      <c r="J30" s="171"/>
      <c r="K30" s="171"/>
      <c r="L30" s="171"/>
      <c r="M30" s="171"/>
      <c r="N30" s="171"/>
      <c r="O30" s="171"/>
      <c r="P30" s="171"/>
      <c r="Q30" s="171"/>
      <c r="R30" s="171"/>
      <c r="S30" s="171"/>
    </row>
    <row r="31" spans="1:19">
      <c r="A31" s="171"/>
      <c r="B31" s="171"/>
      <c r="C31" s="171"/>
      <c r="D31" s="171"/>
      <c r="E31" s="171"/>
      <c r="F31" s="171"/>
      <c r="G31" s="171"/>
      <c r="H31" s="171"/>
      <c r="I31" s="171"/>
      <c r="J31" s="171"/>
      <c r="K31" s="171"/>
      <c r="L31" s="171"/>
      <c r="M31" s="171"/>
      <c r="N31" s="171"/>
      <c r="O31" s="171"/>
      <c r="P31" s="171"/>
      <c r="Q31" s="171"/>
      <c r="R31" s="171"/>
      <c r="S31" s="171"/>
    </row>
    <row r="32" spans="1:19">
      <c r="A32" s="171"/>
      <c r="B32" s="171"/>
      <c r="C32" s="171"/>
      <c r="D32" s="171"/>
      <c r="E32" s="171"/>
      <c r="F32" s="171"/>
      <c r="G32" s="171"/>
      <c r="H32" s="171"/>
      <c r="I32" s="171"/>
      <c r="J32" s="171"/>
      <c r="K32" s="171"/>
      <c r="L32" s="171"/>
      <c r="M32" s="171"/>
      <c r="N32" s="171"/>
      <c r="O32" s="171"/>
      <c r="P32" s="171"/>
      <c r="Q32" s="171"/>
      <c r="R32" s="171"/>
      <c r="S32" s="171"/>
    </row>
    <row r="33" spans="1:19">
      <c r="A33" s="171"/>
      <c r="B33" s="171"/>
      <c r="C33" s="171"/>
      <c r="D33" s="171"/>
      <c r="E33" s="171"/>
      <c r="F33" s="171"/>
      <c r="G33" s="171"/>
      <c r="H33" s="171"/>
      <c r="I33" s="171"/>
      <c r="J33" s="171"/>
      <c r="K33" s="171"/>
      <c r="L33" s="171"/>
      <c r="M33" s="171"/>
      <c r="N33" s="171"/>
      <c r="O33" s="171"/>
      <c r="P33" s="171"/>
      <c r="Q33" s="171"/>
      <c r="R33" s="171"/>
      <c r="S33" s="171"/>
    </row>
    <row r="34" spans="1:19">
      <c r="A34" s="171"/>
      <c r="B34" s="171"/>
      <c r="C34" s="171"/>
      <c r="D34" s="171"/>
      <c r="E34" s="171"/>
      <c r="F34" s="171"/>
      <c r="G34" s="171"/>
      <c r="H34" s="171"/>
      <c r="I34" s="171"/>
      <c r="J34" s="171"/>
      <c r="K34" s="171"/>
      <c r="L34" s="171"/>
      <c r="M34" s="171"/>
      <c r="N34" s="171"/>
      <c r="O34" s="171"/>
      <c r="P34" s="171"/>
      <c r="Q34" s="171"/>
      <c r="R34" s="171"/>
      <c r="S34" s="171"/>
    </row>
    <row r="35" spans="1:19">
      <c r="A35" s="171"/>
      <c r="B35" s="171"/>
      <c r="C35" s="171"/>
      <c r="D35" s="171"/>
      <c r="E35" s="171"/>
      <c r="F35" s="171"/>
      <c r="G35" s="171"/>
      <c r="H35" s="171"/>
      <c r="I35" s="171"/>
      <c r="J35" s="171"/>
      <c r="K35" s="171"/>
      <c r="L35" s="171"/>
      <c r="M35" s="171"/>
      <c r="N35" s="171"/>
      <c r="O35" s="171"/>
      <c r="P35" s="171"/>
      <c r="Q35" s="171"/>
      <c r="R35" s="171"/>
      <c r="S35" s="171"/>
    </row>
    <row r="36" spans="1:19">
      <c r="A36" s="171"/>
      <c r="B36" s="171"/>
      <c r="C36" s="171"/>
      <c r="D36" s="171"/>
      <c r="E36" s="171"/>
      <c r="F36" s="171"/>
      <c r="G36" s="171"/>
      <c r="H36" s="171"/>
      <c r="I36" s="171"/>
      <c r="J36" s="171"/>
      <c r="K36" s="171"/>
      <c r="L36" s="171"/>
      <c r="M36" s="171"/>
      <c r="N36" s="171"/>
      <c r="O36" s="171"/>
      <c r="P36" s="171"/>
      <c r="Q36" s="171"/>
      <c r="R36" s="171"/>
      <c r="S36" s="171"/>
    </row>
    <row r="37" spans="1:19">
      <c r="A37" s="171"/>
      <c r="B37" s="171"/>
      <c r="C37" s="171"/>
      <c r="D37" s="171"/>
      <c r="E37" s="171"/>
      <c r="F37" s="171"/>
      <c r="G37" s="171"/>
      <c r="H37" s="171"/>
      <c r="I37" s="171"/>
      <c r="J37" s="171"/>
      <c r="K37" s="171"/>
      <c r="L37" s="171"/>
      <c r="M37" s="171"/>
      <c r="N37" s="171"/>
      <c r="O37" s="171"/>
      <c r="P37" s="171"/>
      <c r="Q37" s="171"/>
      <c r="R37" s="171"/>
      <c r="S37" s="171"/>
    </row>
    <row r="38" spans="1:19">
      <c r="A38" s="171"/>
      <c r="B38" s="171"/>
      <c r="C38" s="171"/>
      <c r="D38" s="171"/>
      <c r="E38" s="171"/>
      <c r="F38" s="171"/>
      <c r="G38" s="171"/>
      <c r="H38" s="171"/>
      <c r="I38" s="171"/>
      <c r="J38" s="171"/>
      <c r="K38" s="171"/>
      <c r="L38" s="171"/>
      <c r="M38" s="171"/>
      <c r="N38" s="171"/>
      <c r="O38" s="171"/>
      <c r="P38" s="171"/>
      <c r="Q38" s="171"/>
      <c r="R38" s="171"/>
      <c r="S38" s="171"/>
    </row>
  </sheetData>
  <sheetProtection algorithmName="SHA-512" hashValue="RjmvHDVxK96b0y+5Wh/jqg9U4JTwnCcy89aVPul7Uqzt0kKTgckDQbSgl+XuKipdILn9kk1Z8MX1VX/Odjev5g==" saltValue="okApC6Mu9Zf6nEGyiOG6Hw=="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tabSelected="1" view="pageBreakPreview" zoomScale="60" zoomScaleNormal="90" workbookViewId="0">
      <selection activeCell="K8" sqref="K8"/>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7" t="s">
        <v>231</v>
      </c>
      <c r="R4" s="158"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59" t="s">
        <v>303</v>
      </c>
      <c r="R5" s="160"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81">
        <f>'⑥製造（経費)'!L5</f>
        <v>0</v>
      </c>
      <c r="M6" s="137"/>
      <c r="N6" s="131"/>
      <c r="O6" s="11"/>
      <c r="P6" s="104">
        <f>'⑥製造（経費)'!B5</f>
        <v>0</v>
      </c>
      <c r="Q6" s="105">
        <f>'⑥製造（経費)'!C5</f>
        <v>0</v>
      </c>
      <c r="R6" s="137"/>
      <c r="S6" s="11"/>
    </row>
    <row r="7" ht="24" customHeight="1" spans="1:19">
      <c r="A7" s="11"/>
      <c r="B7" s="72" t="s">
        <v>14</v>
      </c>
      <c r="C7" s="73">
        <f>'②⑧MQ（未来）'!F13</f>
        <v>0</v>
      </c>
      <c r="D7" s="83"/>
      <c r="E7" s="11"/>
      <c r="F7" s="80">
        <f>④経費!K6</f>
        <v>0</v>
      </c>
      <c r="G7" s="81">
        <f>④経費!L6</f>
        <v>0</v>
      </c>
      <c r="H7" s="82"/>
      <c r="I7" s="11"/>
      <c r="J7" s="11"/>
      <c r="K7" s="136">
        <f>'⑥製造（経費)'!K6</f>
        <v>0</v>
      </c>
      <c r="L7" s="81">
        <f>'⑥製造（経費)'!L6</f>
        <v>0</v>
      </c>
      <c r="M7" s="138"/>
      <c r="N7" s="139"/>
      <c r="O7" s="11"/>
      <c r="P7" s="104">
        <f>'⑥製造（経費)'!B6</f>
        <v>0</v>
      </c>
      <c r="Q7" s="105">
        <f>'⑥製造（経費)'!C6</f>
        <v>0</v>
      </c>
      <c r="R7" s="137"/>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81">
        <f>'⑥製造（経費)'!L7</f>
        <v>0</v>
      </c>
      <c r="M8" s="138"/>
      <c r="N8" s="139"/>
      <c r="O8" s="11"/>
      <c r="P8" s="104">
        <f>'⑥製造（経費)'!B7</f>
        <v>0</v>
      </c>
      <c r="Q8" s="105">
        <f>'⑥製造（経費)'!C7</f>
        <v>0</v>
      </c>
      <c r="R8" s="138"/>
      <c r="S8" s="11"/>
    </row>
    <row r="9" ht="24" customHeight="1" spans="1:19">
      <c r="A9" s="11"/>
      <c r="B9" s="72" t="s">
        <v>306</v>
      </c>
      <c r="C9" s="73">
        <f>'②⑧MQ（未来）'!F3</f>
        <v>0</v>
      </c>
      <c r="D9" s="83"/>
      <c r="E9" s="11"/>
      <c r="F9" s="80">
        <f>④経費!K8</f>
        <v>0</v>
      </c>
      <c r="G9" s="81">
        <f>④経費!L8</f>
        <v>0</v>
      </c>
      <c r="H9" s="85"/>
      <c r="I9" s="11"/>
      <c r="J9" s="11"/>
      <c r="K9" s="136">
        <f>'⑥製造（経費)'!K8</f>
        <v>0</v>
      </c>
      <c r="L9" s="81">
        <f>'⑥製造（経費)'!L8</f>
        <v>0</v>
      </c>
      <c r="M9" s="138"/>
      <c r="N9" s="139"/>
      <c r="O9" s="11"/>
      <c r="P9" s="104">
        <f>'⑥製造（経費)'!B8</f>
        <v>0</v>
      </c>
      <c r="Q9" s="105">
        <f>'⑥製造（経費)'!C8</f>
        <v>0</v>
      </c>
      <c r="R9" s="161"/>
      <c r="S9" s="11"/>
    </row>
    <row r="10" ht="24" customHeight="1" spans="1:19">
      <c r="A10" s="11"/>
      <c r="B10" s="72" t="s">
        <v>294</v>
      </c>
      <c r="C10" s="73">
        <f>C11+C12</f>
        <v>0</v>
      </c>
      <c r="D10" s="83"/>
      <c r="E10" s="11"/>
      <c r="F10" s="80">
        <f>④経費!K9</f>
        <v>0</v>
      </c>
      <c r="G10" s="81">
        <f>④経費!L9</f>
        <v>0</v>
      </c>
      <c r="H10" s="85"/>
      <c r="I10" s="11"/>
      <c r="J10" s="11"/>
      <c r="K10" s="136">
        <f>'⑥製造（経費)'!K9</f>
        <v>0</v>
      </c>
      <c r="L10" s="81">
        <f>'⑥製造（経費)'!L9</f>
        <v>0</v>
      </c>
      <c r="M10" s="138"/>
      <c r="N10" s="139"/>
      <c r="O10" s="11"/>
      <c r="P10" s="104">
        <f>'⑥製造（経費)'!B9</f>
        <v>0</v>
      </c>
      <c r="Q10" s="105">
        <f>'⑥製造（経費)'!C9</f>
        <v>0</v>
      </c>
      <c r="R10" s="137"/>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81">
        <f>'⑥製造（経費)'!L10</f>
        <v>0</v>
      </c>
      <c r="M11" s="138"/>
      <c r="N11" s="139"/>
      <c r="O11" s="11"/>
      <c r="P11" s="104">
        <f>'⑥製造（経費)'!B10</f>
        <v>0</v>
      </c>
      <c r="Q11" s="105">
        <f>'⑥製造（経費)'!C10</f>
        <v>0</v>
      </c>
      <c r="R11" s="137"/>
      <c r="S11" s="11"/>
    </row>
    <row r="12" ht="24" customHeight="1" spans="1:19">
      <c r="A12" s="11"/>
      <c r="B12" s="72" t="s">
        <v>308</v>
      </c>
      <c r="C12" s="73">
        <f>G50</f>
        <v>0</v>
      </c>
      <c r="D12" s="88"/>
      <c r="E12" s="11"/>
      <c r="F12" s="80">
        <f>④経費!K11</f>
        <v>0</v>
      </c>
      <c r="G12" s="81">
        <f>④経費!L11</f>
        <v>0</v>
      </c>
      <c r="H12" s="85"/>
      <c r="I12" s="11"/>
      <c r="J12" s="11"/>
      <c r="K12" s="136">
        <f>'⑥製造（経費)'!K11</f>
        <v>0</v>
      </c>
      <c r="L12" s="81">
        <f>'⑥製造（経費)'!L11</f>
        <v>0</v>
      </c>
      <c r="M12" s="137"/>
      <c r="N12" s="131"/>
      <c r="O12" s="11"/>
      <c r="P12" s="104">
        <f>'⑥製造（経費)'!B11</f>
        <v>0</v>
      </c>
      <c r="Q12" s="105">
        <f>'⑥製造（経費)'!C11</f>
        <v>0</v>
      </c>
      <c r="R12" s="138"/>
      <c r="S12" s="11"/>
    </row>
    <row r="13" ht="24" customHeight="1" spans="1:19">
      <c r="A13" s="11"/>
      <c r="B13" s="72" t="s">
        <v>211</v>
      </c>
      <c r="C13" s="73">
        <f>C6-C9-C10</f>
        <v>0</v>
      </c>
      <c r="D13" s="83"/>
      <c r="E13" s="11"/>
      <c r="F13" s="80">
        <f>④経費!K12</f>
        <v>0</v>
      </c>
      <c r="G13" s="81">
        <f>④経費!L12</f>
        <v>0</v>
      </c>
      <c r="H13" s="85"/>
      <c r="I13" s="11"/>
      <c r="J13" s="11"/>
      <c r="K13" s="136">
        <f>'⑥製造（経費)'!K12</f>
        <v>0</v>
      </c>
      <c r="L13" s="81">
        <f>'⑥製造（経費)'!L12</f>
        <v>0</v>
      </c>
      <c r="M13" s="137"/>
      <c r="N13" s="131"/>
      <c r="O13" s="11"/>
      <c r="P13" s="104">
        <f>'⑥製造（経費)'!B12</f>
        <v>0</v>
      </c>
      <c r="Q13" s="105">
        <f>'⑥製造（経費)'!C12</f>
        <v>0</v>
      </c>
      <c r="R13" s="161"/>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81">
        <f>'⑥製造（経費)'!L13</f>
        <v>0</v>
      </c>
      <c r="M14" s="138"/>
      <c r="N14" s="139"/>
      <c r="O14" s="11"/>
      <c r="P14" s="104">
        <f>'⑥製造（経費)'!B13</f>
        <v>0</v>
      </c>
      <c r="Q14" s="105">
        <f>'⑥製造（経費)'!C13</f>
        <v>0</v>
      </c>
      <c r="R14" s="138"/>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81">
        <f>'⑥製造（経費)'!L14</f>
        <v>0</v>
      </c>
      <c r="M15" s="138"/>
      <c r="N15" s="139"/>
      <c r="O15" s="11"/>
      <c r="P15" s="104">
        <f>'⑥製造（経費)'!B14</f>
        <v>0</v>
      </c>
      <c r="Q15" s="105">
        <f>'⑥製造（経費)'!C14</f>
        <v>0</v>
      </c>
      <c r="R15" s="138"/>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81">
        <f>'⑥製造（経費)'!L15</f>
        <v>0</v>
      </c>
      <c r="M16" s="138"/>
      <c r="N16" s="139"/>
      <c r="O16" s="11"/>
      <c r="P16" s="104">
        <f>'⑥製造（経費)'!B15</f>
        <v>0</v>
      </c>
      <c r="Q16" s="105">
        <f>'⑥製造（経費)'!C15</f>
        <v>0</v>
      </c>
      <c r="R16" s="137"/>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81">
        <f>'⑥製造（経費)'!L16</f>
        <v>0</v>
      </c>
      <c r="M17" s="138"/>
      <c r="N17" s="139"/>
      <c r="O17" s="11"/>
      <c r="P17" s="104">
        <f>'⑥製造（経費)'!B16</f>
        <v>0</v>
      </c>
      <c r="Q17" s="105">
        <f>'⑥製造（経費)'!C16</f>
        <v>0</v>
      </c>
      <c r="R17" s="137"/>
      <c r="S17" s="11"/>
    </row>
    <row r="18" ht="24" customHeight="1" spans="1:19">
      <c r="A18" s="11"/>
      <c r="B18" s="72" t="s">
        <v>220</v>
      </c>
      <c r="C18" s="73">
        <f>①利益!I4</f>
        <v>0</v>
      </c>
      <c r="D18" s="83"/>
      <c r="E18" s="11"/>
      <c r="F18" s="63" t="s">
        <v>309</v>
      </c>
      <c r="G18" s="64"/>
      <c r="H18" s="65"/>
      <c r="I18" s="11"/>
      <c r="J18" s="11"/>
      <c r="K18" s="136">
        <f>'⑥製造（経費)'!K17</f>
        <v>0</v>
      </c>
      <c r="L18" s="81">
        <f>'⑥製造（経費)'!L17</f>
        <v>0</v>
      </c>
      <c r="M18" s="138"/>
      <c r="N18" s="140"/>
      <c r="O18" s="11"/>
      <c r="P18" s="104">
        <f>'⑥製造（経費)'!B17</f>
        <v>0</v>
      </c>
      <c r="Q18" s="105">
        <f>'⑥製造（経費)'!C17</f>
        <v>0</v>
      </c>
      <c r="R18" s="137"/>
      <c r="S18" s="11"/>
    </row>
    <row r="19" ht="24" customHeight="1" spans="1:19">
      <c r="A19" s="11"/>
      <c r="B19" s="72" t="s">
        <v>310</v>
      </c>
      <c r="C19" s="73">
        <f>C16+C17-C18</f>
        <v>0</v>
      </c>
      <c r="D19" s="94"/>
      <c r="E19" s="11"/>
      <c r="F19" s="75" t="s">
        <v>249</v>
      </c>
      <c r="G19" s="76" t="s">
        <v>303</v>
      </c>
      <c r="H19" s="76" t="s">
        <v>304</v>
      </c>
      <c r="I19" s="11"/>
      <c r="J19" s="11"/>
      <c r="K19" s="136">
        <f>'⑥製造（経費)'!K18</f>
        <v>0</v>
      </c>
      <c r="L19" s="81">
        <f>'⑥製造（経費)'!L18</f>
        <v>0</v>
      </c>
      <c r="M19" s="138"/>
      <c r="N19" s="141"/>
      <c r="O19" s="11"/>
      <c r="P19" s="104">
        <f>'⑥製造（経費)'!B18</f>
        <v>0</v>
      </c>
      <c r="Q19" s="105">
        <f>'⑥製造（経費)'!C18</f>
        <v>0</v>
      </c>
      <c r="R19" s="137"/>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81">
        <f>'⑥製造（経費)'!L19</f>
        <v>0</v>
      </c>
      <c r="M20" s="138"/>
      <c r="N20" s="142"/>
      <c r="O20" s="11"/>
      <c r="P20" s="104">
        <f>'⑥製造（経費)'!B19</f>
        <v>0</v>
      </c>
      <c r="Q20" s="105">
        <f>'⑥製造（経費)'!C19</f>
        <v>0</v>
      </c>
      <c r="R20" s="137"/>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2"/>
      <c r="O21" s="11"/>
      <c r="P21" s="104">
        <f>'⑥製造（経費)'!B20</f>
        <v>0</v>
      </c>
      <c r="Q21" s="105">
        <f>'⑥製造（経費)'!C20</f>
        <v>0</v>
      </c>
      <c r="R21" s="138"/>
      <c r="S21" s="11"/>
    </row>
    <row r="22" ht="24" customHeight="1" spans="1:19">
      <c r="A22" s="11"/>
      <c r="B22" s="101" t="s">
        <v>249</v>
      </c>
      <c r="C22" s="102" t="s">
        <v>303</v>
      </c>
      <c r="D22" s="103"/>
      <c r="E22" s="11"/>
      <c r="F22" s="80" t="str">
        <f>④経費!H7</f>
        <v>派遣社員費</v>
      </c>
      <c r="G22" s="97">
        <f>④経費!I7</f>
        <v>0</v>
      </c>
      <c r="H22" s="85"/>
      <c r="I22" s="11"/>
      <c r="J22" s="11"/>
      <c r="K22" s="143" t="s">
        <v>247</v>
      </c>
      <c r="L22" s="144" t="s">
        <v>231</v>
      </c>
      <c r="M22" s="145" t="s">
        <v>231</v>
      </c>
      <c r="N22" s="11"/>
      <c r="O22" s="11"/>
      <c r="P22" s="104">
        <f>'⑥製造（経費)'!B21</f>
        <v>0</v>
      </c>
      <c r="Q22" s="105">
        <f>'⑥製造（経費)'!C21</f>
        <v>0</v>
      </c>
      <c r="R22" s="162"/>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05">
        <f>'⑥製造（経費)'!C22</f>
        <v>0</v>
      </c>
      <c r="R23" s="163"/>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81">
        <f>'⑥製造（経費)'!I5</f>
        <v>0</v>
      </c>
      <c r="M24" s="146"/>
      <c r="N24" s="11"/>
      <c r="O24" s="11"/>
      <c r="P24" s="104">
        <f>'⑥製造（経費)'!B23</f>
        <v>0</v>
      </c>
      <c r="Q24" s="105">
        <f>'⑥製造（経費)'!C23</f>
        <v>0</v>
      </c>
      <c r="R24" s="137"/>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81">
        <f>'⑥製造（経費)'!I6</f>
        <v>0</v>
      </c>
      <c r="M25" s="146"/>
      <c r="N25" s="11"/>
      <c r="O25" s="11"/>
      <c r="P25" s="104">
        <f>'⑥製造（経費)'!B24</f>
        <v>0</v>
      </c>
      <c r="Q25" s="105">
        <f>'⑥製造（経費)'!C24</f>
        <v>0</v>
      </c>
      <c r="R25" s="137"/>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81">
        <f>'⑥製造（経費)'!I7</f>
        <v>0</v>
      </c>
      <c r="M26" s="147"/>
      <c r="N26" s="11"/>
      <c r="O26" s="11"/>
      <c r="P26" s="104">
        <f>'⑥製造（経費)'!B25</f>
        <v>0</v>
      </c>
      <c r="Q26" s="105">
        <f>'⑥製造（経費)'!C25</f>
        <v>0</v>
      </c>
      <c r="R26" s="137"/>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81">
        <f>'⑥製造（経費)'!I8</f>
        <v>0</v>
      </c>
      <c r="M27" s="147"/>
      <c r="N27" s="11"/>
      <c r="O27" s="11"/>
      <c r="P27" s="104">
        <f>'⑥製造（経費)'!B26</f>
        <v>0</v>
      </c>
      <c r="Q27" s="105">
        <f>'⑥製造（経費)'!C26</f>
        <v>0</v>
      </c>
      <c r="R27" s="164"/>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81">
        <f>'⑥製造（経費)'!I9</f>
        <v>0</v>
      </c>
      <c r="M28" s="147"/>
      <c r="N28" s="11"/>
      <c r="O28" s="11"/>
      <c r="P28" s="104">
        <f>'⑥製造（経費)'!B27</f>
        <v>0</v>
      </c>
      <c r="Q28" s="105">
        <f>'⑥製造（経費)'!C27</f>
        <v>0</v>
      </c>
      <c r="R28" s="137"/>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81">
        <f>'⑥製造（経費)'!I10</f>
        <v>0</v>
      </c>
      <c r="M29" s="147"/>
      <c r="N29" s="11"/>
      <c r="O29" s="11"/>
      <c r="P29" s="104">
        <f>'⑥製造（経費)'!B28</f>
        <v>0</v>
      </c>
      <c r="Q29" s="105">
        <f>'⑥製造（経費)'!C28</f>
        <v>0</v>
      </c>
      <c r="R29" s="137"/>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81">
        <f>'⑥製造（経費)'!I11</f>
        <v>0</v>
      </c>
      <c r="M30" s="147"/>
      <c r="N30" s="11"/>
      <c r="O30" s="11"/>
      <c r="P30" s="104">
        <f>'⑥製造（経費)'!B29</f>
        <v>0</v>
      </c>
      <c r="Q30" s="105">
        <f>'⑥製造（経費)'!C29</f>
        <v>0</v>
      </c>
      <c r="R30" s="137"/>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81">
        <f>'⑥製造（経費)'!I12</f>
        <v>0</v>
      </c>
      <c r="M31" s="147"/>
      <c r="N31" s="11"/>
      <c r="O31" s="11"/>
      <c r="P31" s="104">
        <f>'⑥製造（経費)'!B30</f>
        <v>0</v>
      </c>
      <c r="Q31" s="105">
        <f>'⑥製造（経費)'!C30</f>
        <v>0</v>
      </c>
      <c r="R31" s="137"/>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81">
        <f>'⑥製造（経費)'!I13</f>
        <v>0</v>
      </c>
      <c r="M32" s="147"/>
      <c r="N32" s="11"/>
      <c r="O32" s="11"/>
      <c r="P32" s="104">
        <f>'⑥製造（経費)'!B31</f>
        <v>0</v>
      </c>
      <c r="Q32" s="105">
        <f>'⑥製造（経費)'!C31</f>
        <v>0</v>
      </c>
      <c r="R32" s="137"/>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81">
        <f>'⑥製造（経費)'!I14</f>
        <v>0</v>
      </c>
      <c r="M33" s="147"/>
      <c r="N33" s="11"/>
      <c r="O33" s="11"/>
      <c r="P33" s="104">
        <f>'⑥製造（経費)'!B32</f>
        <v>0</v>
      </c>
      <c r="Q33" s="105">
        <f>'⑥製造（経費)'!C32</f>
        <v>0</v>
      </c>
      <c r="R33" s="137"/>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81">
        <f>'⑥製造（経費)'!I15</f>
        <v>0</v>
      </c>
      <c r="M34" s="147"/>
      <c r="N34" s="11"/>
      <c r="O34" s="11"/>
      <c r="P34" s="104">
        <f>'⑥製造（経費)'!B33</f>
        <v>0</v>
      </c>
      <c r="Q34" s="105">
        <f>'⑥製造（経費)'!C33</f>
        <v>0</v>
      </c>
      <c r="R34" s="137"/>
      <c r="S34" s="11"/>
    </row>
    <row r="35" ht="24" customHeight="1" spans="1:19">
      <c r="A35" s="11"/>
      <c r="B35" s="104">
        <f>④経費!B17</f>
        <v>0</v>
      </c>
      <c r="C35" s="105">
        <f>④経費!C17</f>
        <v>0</v>
      </c>
      <c r="D35" s="107"/>
      <c r="E35" s="11"/>
      <c r="F35" s="80">
        <f>④経費!H20</f>
        <v>0</v>
      </c>
      <c r="G35" s="97">
        <f>④経費!I20</f>
        <v>0</v>
      </c>
      <c r="H35" s="85"/>
      <c r="I35" s="11"/>
      <c r="J35" s="11"/>
      <c r="K35" s="148" t="s">
        <v>237</v>
      </c>
      <c r="L35" s="92">
        <f>SUM(L24:L34)</f>
        <v>0</v>
      </c>
      <c r="M35" s="149">
        <f>SUM(M24:M34)</f>
        <v>0</v>
      </c>
      <c r="N35" s="11"/>
      <c r="O35" s="11"/>
      <c r="P35" s="104">
        <f>'⑥製造（経費)'!B34</f>
        <v>0</v>
      </c>
      <c r="Q35" s="105">
        <f>'⑥製造（経費)'!C34</f>
        <v>0</v>
      </c>
      <c r="R35" s="137"/>
      <c r="S35" s="11"/>
    </row>
    <row r="36" ht="24" customHeight="1" spans="1:19">
      <c r="A36" s="11"/>
      <c r="B36" s="104">
        <f>④経費!B18</f>
        <v>0</v>
      </c>
      <c r="C36" s="105">
        <f>④経費!C18</f>
        <v>0</v>
      </c>
      <c r="D36" s="107"/>
      <c r="E36" s="11"/>
      <c r="F36" s="80">
        <f>④経費!H21</f>
        <v>0</v>
      </c>
      <c r="G36" s="97">
        <f>④経費!I21</f>
        <v>0</v>
      </c>
      <c r="H36" s="82"/>
      <c r="I36" s="11"/>
      <c r="J36" s="11"/>
      <c r="K36" s="150" t="s">
        <v>75</v>
      </c>
      <c r="L36" s="151" t="s">
        <v>303</v>
      </c>
      <c r="M36" s="152" t="s">
        <v>231</v>
      </c>
      <c r="N36" s="11"/>
      <c r="O36" s="11"/>
      <c r="P36" s="104">
        <f>'⑥製造（経費)'!B35</f>
        <v>0</v>
      </c>
      <c r="Q36" s="105">
        <f>'⑥製造（経費)'!C35</f>
        <v>0</v>
      </c>
      <c r="R36" s="137"/>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05">
        <f>'⑥製造（経費)'!F4</f>
        <v>0</v>
      </c>
      <c r="M37" s="147"/>
      <c r="N37" s="11"/>
      <c r="O37" s="11"/>
      <c r="P37" s="104">
        <f>'⑥製造（経費)'!B36</f>
        <v>0</v>
      </c>
      <c r="Q37" s="105">
        <f>'⑥製造（経費)'!C36</f>
        <v>0</v>
      </c>
      <c r="R37" s="137"/>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05">
        <f>'⑥製造（経費)'!F5</f>
        <v>0</v>
      </c>
      <c r="M38" s="147"/>
      <c r="N38" s="11"/>
      <c r="O38" s="11"/>
      <c r="P38" s="104">
        <f>'⑥製造（経費)'!B37</f>
        <v>0</v>
      </c>
      <c r="Q38" s="105">
        <f>'⑥製造（経費)'!C37</f>
        <v>0</v>
      </c>
      <c r="R38" s="137"/>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05">
        <f>'⑥製造（経費)'!F6</f>
        <v>0</v>
      </c>
      <c r="M39" s="147"/>
      <c r="N39" s="11"/>
      <c r="O39" s="11"/>
      <c r="P39" s="104">
        <f>'⑥製造（経費)'!B38</f>
        <v>0</v>
      </c>
      <c r="Q39" s="105">
        <f>'⑥製造（経費)'!C38</f>
        <v>0</v>
      </c>
      <c r="R39" s="138"/>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05">
        <f>'⑥製造（経費)'!F7</f>
        <v>0</v>
      </c>
      <c r="M40" s="147"/>
      <c r="N40" s="11"/>
      <c r="O40" s="11"/>
      <c r="P40" s="104">
        <f>'⑥製造（経費)'!B39</f>
        <v>0</v>
      </c>
      <c r="Q40" s="105">
        <f>'⑥製造（経費)'!C39</f>
        <v>0</v>
      </c>
      <c r="R40" s="147"/>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05">
        <f>'⑥製造（経費)'!F8</f>
        <v>0</v>
      </c>
      <c r="M41" s="147"/>
      <c r="N41" s="11"/>
      <c r="O41" s="11"/>
      <c r="P41" s="104">
        <f>'⑥製造（経費)'!B40</f>
        <v>0</v>
      </c>
      <c r="Q41" s="105">
        <f>'⑥製造（経費)'!C40</f>
        <v>0</v>
      </c>
      <c r="R41" s="147"/>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05">
        <f>'⑥製造（経費)'!F9</f>
        <v>0</v>
      </c>
      <c r="M42" s="147"/>
      <c r="N42" s="11"/>
      <c r="O42" s="11"/>
      <c r="P42" s="104">
        <f>'⑥製造（経費)'!B41</f>
        <v>0</v>
      </c>
      <c r="Q42" s="105">
        <f>'⑥製造（経費)'!C41</f>
        <v>0</v>
      </c>
      <c r="R42" s="147"/>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05">
        <f>'⑥製造（経費)'!F10</f>
        <v>0</v>
      </c>
      <c r="M43" s="147"/>
      <c r="N43" s="11"/>
      <c r="O43" s="11"/>
      <c r="P43" s="104">
        <f>'⑥製造（経費)'!B42</f>
        <v>0</v>
      </c>
      <c r="Q43" s="105">
        <f>'⑥製造（経費)'!C42</f>
        <v>0</v>
      </c>
      <c r="R43" s="147"/>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05">
        <f>'⑥製造（経費)'!F11</f>
        <v>0</v>
      </c>
      <c r="M44" s="147"/>
      <c r="N44" s="11"/>
      <c r="O44" s="11"/>
      <c r="P44" s="123" t="s">
        <v>237</v>
      </c>
      <c r="Q44" s="124">
        <f>SUM(Q6:Q43)</f>
        <v>0</v>
      </c>
      <c r="R44" s="165">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05">
        <f>'⑥製造（経費)'!F12</f>
        <v>0</v>
      </c>
      <c r="M45" s="147"/>
      <c r="N45" s="11"/>
      <c r="O45" s="11"/>
      <c r="P45" s="153"/>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4" t="s">
        <v>237</v>
      </c>
      <c r="L46" s="155">
        <f>SUM(L37:L45)</f>
        <v>0</v>
      </c>
      <c r="M46" s="156">
        <f>SUM(M37:M45)</f>
        <v>0</v>
      </c>
      <c r="N46" s="11"/>
      <c r="O46" s="11"/>
      <c r="P46" s="153"/>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3"/>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3"/>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3"/>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3"/>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3"/>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3"/>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3"/>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3"/>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3"/>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3"/>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3"/>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3"/>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3"/>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3"/>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3"/>
      <c r="Q61" s="131"/>
      <c r="R61" s="11"/>
      <c r="S61" s="11"/>
    </row>
    <row r="62" spans="1:19">
      <c r="A62" s="11"/>
      <c r="B62" s="11"/>
      <c r="C62" s="11"/>
      <c r="D62" s="11"/>
      <c r="E62" s="11"/>
      <c r="F62" s="11"/>
      <c r="G62" s="11"/>
      <c r="H62" s="11"/>
      <c r="I62" s="11"/>
      <c r="J62" s="11"/>
      <c r="K62" s="11"/>
      <c r="L62" s="11"/>
      <c r="M62" s="11"/>
      <c r="N62" s="11"/>
      <c r="O62" s="11"/>
      <c r="P62" s="153"/>
      <c r="Q62" s="131"/>
      <c r="R62" s="11"/>
      <c r="S62" s="11"/>
    </row>
    <row r="63" spans="1:19">
      <c r="A63" s="11"/>
      <c r="B63" s="11"/>
      <c r="C63" s="11"/>
      <c r="D63" s="11"/>
      <c r="E63" s="11"/>
      <c r="F63" s="11"/>
      <c r="G63" s="11"/>
      <c r="H63" s="11"/>
      <c r="I63" s="11"/>
      <c r="J63" s="11"/>
      <c r="K63" s="11"/>
      <c r="L63" s="11"/>
      <c r="M63" s="11"/>
      <c r="N63" s="11"/>
      <c r="O63" s="11"/>
      <c r="P63" s="153"/>
      <c r="Q63" s="131"/>
      <c r="R63" s="11"/>
      <c r="S63" s="11"/>
    </row>
    <row r="64" spans="1:19">
      <c r="A64" s="11"/>
      <c r="B64" s="11"/>
      <c r="C64" s="11"/>
      <c r="D64" s="11"/>
      <c r="E64" s="11"/>
      <c r="F64" s="11"/>
      <c r="G64" s="11"/>
      <c r="H64" s="11"/>
      <c r="I64" s="11"/>
      <c r="J64" s="11"/>
      <c r="K64" s="11"/>
      <c r="L64" s="11"/>
      <c r="M64" s="11"/>
      <c r="N64" s="11"/>
      <c r="O64" s="11"/>
      <c r="P64" s="153"/>
      <c r="Q64" s="131"/>
      <c r="R64" s="11"/>
      <c r="S64" s="11"/>
    </row>
    <row r="65" spans="16:17">
      <c r="P65" s="166"/>
      <c r="Q65" s="167"/>
    </row>
  </sheetData>
  <sheetProtection algorithmName="SHA-512" hashValue="T3q8sahZ9tVh4W9BqRG/12fnaMFaTA4KLYuTpJwYvZw9bWiVQaEDZllwReCKdxQFUli4siyx9Tu74vQXEqAz1A==" saltValue="Y1RxPM1Sh/NN09XbsMmBEQ=="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25" workbookViewId="0">
      <selection activeCell="Z2" sqref="Z2"/>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t="e">
        <f>MOD(--MID(スタート!B2,FIND("/",スタート!B2)+1,FIND("/",スタート!B2,FIND("/",スタート!B2)+1)-FIND("/",スタート!B2)-1)-1,12)+1</f>
        <v>#VALUE!</v>
      </c>
      <c r="E1" s="20"/>
      <c r="F1" s="19" t="e">
        <f>MOD(--MID(スタート!B2,FIND("/",スタート!B2)+1,FIND("/",スタート!B2,FIND("/",スタート!B2)+1)-FIND("/",スタート!B2)-1)+1-1,12)+1</f>
        <v>#VALUE!</v>
      </c>
      <c r="G1" s="20" t="s">
        <v>231</v>
      </c>
      <c r="H1" s="19" t="e">
        <f>MOD(--MID(スタート!B2,FIND("/",スタート!B2)+1,FIND("/",スタート!B2,FIND("/",スタート!B2)+1)-FIND("/",スタート!B2)-1)+2-1,12)+1</f>
        <v>#VALUE!</v>
      </c>
      <c r="I1" s="20" t="s">
        <v>231</v>
      </c>
      <c r="J1" s="19" t="e">
        <f>MOD(--MID(スタート!B2,FIND("/",スタート!B2)+1,FIND("/",スタート!B2,FIND("/",スタート!B2)+1)-FIND("/",スタート!B2)-1)+3-1,12)+1</f>
        <v>#VALUE!</v>
      </c>
      <c r="K1" s="20" t="s">
        <v>231</v>
      </c>
      <c r="L1" s="19" t="e">
        <f>MOD(--MID(スタート!B2,FIND("/",スタート!B2)+1,FIND("/",スタート!B2,FIND("/",スタート!B2)+1)-FIND("/",スタート!B2)-1)+4-1,12)+1</f>
        <v>#VALUE!</v>
      </c>
      <c r="M1" s="20" t="s">
        <v>231</v>
      </c>
      <c r="N1" s="19" t="e">
        <f>MOD(--MID(スタート!B2,FIND("/",スタート!B2)+1,FIND("/",スタート!B2,FIND("/",スタート!B2)+1)-FIND("/",スタート!B2)-1)+5-1,12)+1</f>
        <v>#VALUE!</v>
      </c>
      <c r="O1" s="20" t="s">
        <v>231</v>
      </c>
      <c r="P1" s="19" t="e">
        <f>MOD(--MID(スタート!B2,FIND("/",スタート!B2)+1,FIND("/",スタート!B2,FIND("/",スタート!B2)+1)-FIND("/",スタート!B2)-1)+6-1,12)+1</f>
        <v>#VALUE!</v>
      </c>
      <c r="Q1" s="20" t="s">
        <v>231</v>
      </c>
      <c r="R1" s="19" t="e">
        <f>MOD(--MID(スタート!B2,FIND("/",スタート!B2)+1,FIND("/",スタート!B2,FIND("/",スタート!B2)+1)-FIND("/",スタート!B2)-1)+7-1,12)+1</f>
        <v>#VALUE!</v>
      </c>
      <c r="S1" s="20" t="s">
        <v>231</v>
      </c>
      <c r="T1" s="19" t="e">
        <f>MOD(--MID(スタート!B2,FIND("/",スタート!B2)+1,FIND("/",スタート!B2,FIND("/",スタート!B2)+1)-FIND("/",スタート!B2)-1)+8-1,12)+1</f>
        <v>#VALUE!</v>
      </c>
      <c r="U1" s="20" t="s">
        <v>231</v>
      </c>
      <c r="V1" s="19" t="e">
        <f>MOD(--MID(スタート!B2,FIND("/",スタート!B2)+1,FIND("/",スタート!B2,FIND("/",スタート!B2)+1)-FIND("/",スタート!B2)-1)+9-1,12)+1</f>
        <v>#VALUE!</v>
      </c>
      <c r="W1" s="20" t="s">
        <v>231</v>
      </c>
      <c r="X1" s="19" t="e">
        <f>MOD(--MID(スタート!B2,FIND("/",スタート!B2)+1,FIND("/",スタート!B2,FIND("/",スタート!B2)+1)-FIND("/",スタート!B2)-1)+10-1,12)+1</f>
        <v>#VALUE!</v>
      </c>
      <c r="Y1" s="20" t="s">
        <v>231</v>
      </c>
      <c r="Z1" s="19" t="e">
        <f>MOD(--MID(スタート!B2,FIND("/",スタート!B2)+1,FIND("/",スタート!B2,FIND("/",スタート!B2)+1)-FIND("/",スタート!B2)-1)+11-1,12)+1</f>
        <v>#VALUE!</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YgI74YnWpA56fx05UEUnz3/rfIer2XZdCi3JvvZxEGOp+nCw36CLfH4UG63IQZApbFsMUQDZL2vPZTOwVoiwoQ==" saltValue="9aAtc4FeOYvtmuy/s8siDw=="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2025-11-03T15:11:50Z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