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11"/>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<sst xmlns="http://schemas.openxmlformats.org/spreadsheetml/2006/main" count="748" uniqueCount="340">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</sst>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General&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4">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sz val="11"/>
      <color rgb="FF000000"/>
      <name val="ＭＳ Ｐゴシック"/>
      <charset val="128"/>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rgb="FF000000"/>
      </left>
      <right style="medium">
        <color rgb="FF000000"/>
      </right>
      <top/>
      <bottom style="thin">
        <color rgb="FF000000"/>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medium">
        <color auto="1"/>
      </right>
      <top/>
      <bottom style="thin">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24" fillId="25" borderId="137"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8" applyNumberFormat="0" applyFill="0" applyAlignment="0" applyProtection="0">
      <alignment vertical="center"/>
    </xf>
    <xf numFmtId="0" fontId="61" fillId="0" borderId="138" applyNumberFormat="0" applyFill="0" applyAlignment="0" applyProtection="0">
      <alignment vertical="center"/>
    </xf>
    <xf numFmtId="0" fontId="62" fillId="0" borderId="139" applyNumberFormat="0" applyFill="0" applyAlignment="0" applyProtection="0">
      <alignment vertical="center"/>
    </xf>
    <xf numFmtId="0" fontId="62" fillId="0" borderId="0" applyNumberFormat="0" applyFill="0" applyBorder="0" applyAlignment="0" applyProtection="0">
      <alignment vertical="center"/>
    </xf>
    <xf numFmtId="0" fontId="63" fillId="7" borderId="140" applyNumberFormat="0" applyAlignment="0" applyProtection="0">
      <alignment vertical="center"/>
    </xf>
    <xf numFmtId="0" fontId="64" fillId="26" borderId="141" applyNumberFormat="0" applyAlignment="0" applyProtection="0">
      <alignment vertical="center"/>
    </xf>
    <xf numFmtId="0" fontId="65" fillId="26" borderId="140" applyNumberFormat="0" applyAlignment="0" applyProtection="0">
      <alignment vertical="center"/>
    </xf>
    <xf numFmtId="0" fontId="66" fillId="27" borderId="142" applyNumberFormat="0" applyAlignment="0" applyProtection="0">
      <alignment vertical="center"/>
    </xf>
    <xf numFmtId="0" fontId="67" fillId="0" borderId="143" applyNumberFormat="0" applyFill="0" applyAlignment="0" applyProtection="0">
      <alignment vertical="center"/>
    </xf>
    <xf numFmtId="0" fontId="68" fillId="0" borderId="144" applyNumberFormat="0" applyFill="0" applyAlignment="0" applyProtection="0">
      <alignment vertical="center"/>
    </xf>
    <xf numFmtId="0" fontId="69" fillId="28" borderId="0" applyNumberFormat="0" applyBorder="0" applyAlignment="0" applyProtection="0">
      <alignment vertical="center"/>
    </xf>
    <xf numFmtId="0" fontId="70" fillId="29" borderId="0" applyNumberFormat="0" applyBorder="0" applyAlignment="0" applyProtection="0">
      <alignment vertical="center"/>
    </xf>
    <xf numFmtId="0" fontId="71" fillId="30" borderId="0" applyNumberFormat="0" applyBorder="0" applyAlignment="0" applyProtection="0">
      <alignment vertical="center"/>
    </xf>
    <xf numFmtId="0" fontId="72" fillId="31" borderId="0" applyNumberFormat="0" applyBorder="0" applyAlignment="0" applyProtection="0">
      <alignment vertical="center"/>
    </xf>
    <xf numFmtId="0" fontId="73" fillId="32" borderId="0" applyNumberFormat="0" applyBorder="0" applyAlignment="0" applyProtection="0">
      <alignment vertical="center"/>
    </xf>
    <xf numFmtId="0" fontId="73" fillId="33" borderId="0" applyNumberFormat="0" applyBorder="0" applyAlignment="0" applyProtection="0">
      <alignment vertical="center"/>
    </xf>
    <xf numFmtId="0" fontId="72" fillId="34" borderId="0" applyNumberFormat="0" applyBorder="0" applyAlignment="0" applyProtection="0">
      <alignment vertical="center"/>
    </xf>
    <xf numFmtId="0" fontId="72" fillId="12" borderId="0" applyNumberFormat="0" applyBorder="0" applyAlignment="0" applyProtection="0">
      <alignment vertical="center"/>
    </xf>
    <xf numFmtId="0" fontId="73" fillId="35" borderId="0" applyNumberFormat="0" applyBorder="0" applyAlignment="0" applyProtection="0">
      <alignment vertical="center"/>
    </xf>
    <xf numFmtId="0" fontId="73" fillId="36" borderId="0" applyNumberFormat="0" applyBorder="0" applyAlignment="0" applyProtection="0">
      <alignment vertical="center"/>
    </xf>
    <xf numFmtId="0" fontId="72" fillId="37" borderId="0" applyNumberFormat="0" applyBorder="0" applyAlignment="0" applyProtection="0">
      <alignment vertical="center"/>
    </xf>
    <xf numFmtId="0" fontId="72" fillId="38"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2" fillId="41" borderId="0" applyNumberFormat="0" applyBorder="0" applyAlignment="0" applyProtection="0">
      <alignment vertical="center"/>
    </xf>
    <xf numFmtId="0" fontId="72" fillId="42" borderId="0" applyNumberFormat="0" applyBorder="0" applyAlignment="0" applyProtection="0">
      <alignment vertical="center"/>
    </xf>
    <xf numFmtId="0" fontId="73" fillId="43" borderId="0" applyNumberFormat="0" applyBorder="0" applyAlignment="0" applyProtection="0">
      <alignment vertical="center"/>
    </xf>
    <xf numFmtId="0" fontId="73" fillId="44" borderId="0" applyNumberFormat="0" applyBorder="0" applyAlignment="0" applyProtection="0">
      <alignment vertical="center"/>
    </xf>
    <xf numFmtId="0" fontId="72" fillId="45" borderId="0" applyNumberFormat="0" applyBorder="0" applyAlignment="0" applyProtection="0">
      <alignment vertical="center"/>
    </xf>
    <xf numFmtId="0" fontId="72" fillId="46" borderId="0" applyNumberFormat="0" applyBorder="0" applyAlignment="0" applyProtection="0">
      <alignment vertical="center"/>
    </xf>
    <xf numFmtId="0" fontId="73" fillId="3" borderId="0" applyNumberFormat="0" applyBorder="0" applyAlignment="0" applyProtection="0">
      <alignment vertical="center"/>
    </xf>
    <xf numFmtId="0" fontId="73"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3" fillId="50" borderId="0" applyNumberFormat="0" applyBorder="0" applyAlignment="0" applyProtection="0">
      <alignment vertical="center"/>
    </xf>
    <xf numFmtId="0" fontId="73" fillId="51" borderId="0" applyNumberFormat="0" applyBorder="0" applyAlignment="0" applyProtection="0">
      <alignment vertical="center"/>
    </xf>
    <xf numFmtId="0" fontId="72"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3">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179" fontId="0" fillId="0" borderId="8" xfId="0" applyNumberFormat="1"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47"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8"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9"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9"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9"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9"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9"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9"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9" fillId="18" borderId="125" xfId="0" applyNumberFormat="1" applyFont="1" applyFill="1" applyBorder="1" applyAlignment="1" applyProtection="1">
      <alignment horizontal="center"/>
      <protection hidden="1"/>
    </xf>
    <xf numFmtId="199" fontId="49" fillId="18" borderId="121" xfId="0" applyNumberFormat="1" applyFont="1" applyFill="1" applyBorder="1" applyAlignment="1" applyProtection="1">
      <alignment horizontal="center"/>
      <protection hidden="1"/>
    </xf>
    <xf numFmtId="199" fontId="49"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9"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9"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9"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9"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9" fillId="18"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9"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9"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9"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9"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9"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9"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50"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9"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1"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34"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5" xfId="0" applyFont="1" applyFill="1" applyBorder="1" applyAlignment="1" applyProtection="1">
      <alignment shrinkToFit="1"/>
      <protection hidden="1"/>
    </xf>
    <xf numFmtId="180" fontId="17" fillId="0" borderId="135"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9"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2"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2"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6" xfId="0" applyFill="1" applyBorder="1" applyAlignment="1" applyProtection="1">
      <protection hidden="1"/>
    </xf>
    <xf numFmtId="0" fontId="5" fillId="2" borderId="126" xfId="0" applyFont="1" applyFill="1" applyBorder="1" applyAlignment="1" applyProtection="1">
      <protection hidden="1"/>
    </xf>
    <xf numFmtId="180" fontId="52" fillId="2" borderId="127" xfId="0" applyNumberFormat="1" applyFont="1" applyFill="1" applyBorder="1" applyAlignment="1" applyProtection="1">
      <protection hidden="1"/>
    </xf>
    <xf numFmtId="0" fontId="53" fillId="0" borderId="0" xfId="0" applyFont="1" applyAlignment="1" applyProtection="1">
      <protection hidden="1"/>
    </xf>
    <xf numFmtId="180" fontId="54" fillId="0" borderId="0" xfId="0" applyNumberFormat="1" applyFont="1" applyAlignment="1" applyProtection="1">
      <protection hidden="1"/>
    </xf>
    <xf numFmtId="0" fontId="54"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80c4c411-9b8f-44bb-a093-c5959731b008}"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1819dfde-566a-420a-a37a-11c5c0f975ed}"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50868"/>
    <xdr:sp>
      <xdr:nvSpPr>
        <xdr:cNvPr id="5" name="テキスト ボックス 4"/>
        <xdr:cNvSpPr txBox="1"/>
      </xdr:nvSpPr>
      <xdr:spPr>
        <a:xfrm>
          <a:off x="2663190" y="276542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50868"/>
    <xdr:sp>
      <xdr:nvSpPr>
        <xdr:cNvPr id="6" name="テキスト ボックス 5"/>
        <xdr:cNvSpPr txBox="1"/>
      </xdr:nvSpPr>
      <xdr:spPr>
        <a:xfrm>
          <a:off x="4423410" y="277431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workbookViewId="0">
      <selection activeCell="E5" sqref="E5"/>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30"/>
    </row>
    <row r="38" customHeight="1" spans="1:4">
      <c r="A38" s="553" t="s">
        <v>68</v>
      </c>
      <c r="B38" s="554" t="s">
        <v>69</v>
      </c>
      <c r="C38" s="520"/>
      <c r="D38" s="531"/>
    </row>
    <row r="39" customHeight="1" spans="1:4">
      <c r="A39" s="553" t="s">
        <v>70</v>
      </c>
      <c r="B39" s="554" t="s">
        <v>71</v>
      </c>
      <c r="C39" s="520"/>
      <c r="D39" s="531"/>
    </row>
    <row r="40" customHeight="1" spans="1:4">
      <c r="A40" s="553" t="s">
        <v>72</v>
      </c>
      <c r="B40" s="554" t="s">
        <v>73</v>
      </c>
      <c r="C40" s="520"/>
      <c r="D40" s="531"/>
    </row>
    <row r="41" customHeight="1" spans="1:4">
      <c r="A41" s="553" t="s">
        <v>74</v>
      </c>
      <c r="B41" s="554" t="s">
        <v>75</v>
      </c>
      <c r="C41" s="520"/>
      <c r="D41" s="531"/>
    </row>
    <row r="42" customHeight="1" spans="1:4">
      <c r="A42" s="553" t="s">
        <v>76</v>
      </c>
      <c r="B42" s="555" t="s">
        <v>77</v>
      </c>
      <c r="C42" s="556"/>
      <c r="D42" s="557"/>
    </row>
    <row r="43" customHeight="1" spans="1:4">
      <c r="A43" s="558" t="s">
        <v>78</v>
      </c>
      <c r="B43" s="559" t="s">
        <v>79</v>
      </c>
      <c r="C43" s="560"/>
      <c r="D43" s="561"/>
    </row>
    <row r="44" customHeight="1" spans="1:4">
      <c r="A44" s="562" t="s">
        <v>80</v>
      </c>
      <c r="B44" s="563" t="s">
        <v>81</v>
      </c>
      <c r="C44" s="564"/>
      <c r="D44" s="565"/>
    </row>
    <row r="45" customHeight="1" spans="1:4">
      <c r="A45" s="562" t="s">
        <v>82</v>
      </c>
      <c r="B45" s="566" t="s">
        <v>83</v>
      </c>
      <c r="C45" s="567"/>
      <c r="D45" s="535"/>
    </row>
    <row r="46" customHeight="1" spans="1:4">
      <c r="A46" s="562" t="s">
        <v>84</v>
      </c>
      <c r="B46" s="563" t="s">
        <v>85</v>
      </c>
      <c r="C46" s="564"/>
      <c r="D46" s="565"/>
    </row>
    <row r="47" customHeight="1" spans="1:4">
      <c r="A47" s="562" t="s">
        <v>86</v>
      </c>
      <c r="B47" s="566" t="s">
        <v>87</v>
      </c>
      <c r="C47" s="567"/>
      <c r="D47" s="535"/>
    </row>
    <row r="48" customHeight="1" spans="1:4">
      <c r="A48" s="562" t="s">
        <v>88</v>
      </c>
      <c r="B48" s="568" t="s">
        <v>89</v>
      </c>
      <c r="C48" s="569"/>
      <c r="D48" s="538"/>
    </row>
    <row r="49" customHeight="1" spans="1:4">
      <c r="A49" s="562" t="s">
        <v>90</v>
      </c>
      <c r="B49" s="570" t="s">
        <v>91</v>
      </c>
      <c r="C49" s="571"/>
      <c r="D49" s="572"/>
    </row>
    <row r="50" customHeight="1" spans="1:4">
      <c r="A50" s="562" t="s">
        <v>92</v>
      </c>
      <c r="B50" s="573" t="s">
        <v>93</v>
      </c>
      <c r="C50" s="567"/>
      <c r="D50" s="535"/>
    </row>
    <row r="51" customHeight="1" spans="1:4">
      <c r="A51" s="562" t="s">
        <v>94</v>
      </c>
      <c r="B51" s="574" t="s">
        <v>95</v>
      </c>
      <c r="C51" s="575"/>
      <c r="D51" s="521"/>
    </row>
    <row r="52" customHeight="1" spans="1:4">
      <c r="A52" s="562" t="s">
        <v>96</v>
      </c>
      <c r="B52" s="576" t="s">
        <v>97</v>
      </c>
      <c r="C52" s="564"/>
      <c r="D52" s="565"/>
    </row>
    <row r="53" customHeight="1" spans="1:4">
      <c r="A53" s="562" t="s">
        <v>98</v>
      </c>
      <c r="B53" s="573" t="s">
        <v>99</v>
      </c>
      <c r="C53" s="567"/>
      <c r="D53" s="535"/>
    </row>
    <row r="54" customHeight="1" spans="1:4">
      <c r="A54" s="562" t="s">
        <v>100</v>
      </c>
      <c r="B54" s="574" t="s">
        <v>101</v>
      </c>
      <c r="C54" s="575"/>
      <c r="D54" s="577"/>
    </row>
    <row r="55" customHeight="1" spans="1:4">
      <c r="A55" s="562" t="s">
        <v>102</v>
      </c>
      <c r="B55" s="576" t="s">
        <v>103</v>
      </c>
      <c r="C55" s="564"/>
      <c r="D55" s="565"/>
    </row>
    <row r="56" customHeight="1" spans="1:5">
      <c r="A56" s="562" t="s">
        <v>104</v>
      </c>
      <c r="B56" s="573" t="s">
        <v>105</v>
      </c>
      <c r="C56" s="567"/>
      <c r="D56" s="535"/>
      <c r="E56" s="40" t="s">
        <v>105</v>
      </c>
    </row>
    <row r="57" customHeight="1" spans="1:5">
      <c r="A57" s="562" t="s">
        <v>106</v>
      </c>
      <c r="B57" s="576" t="s">
        <v>107</v>
      </c>
      <c r="C57" s="564"/>
      <c r="D57" s="578">
        <f>SUM(D60:D62)</f>
        <v>0</v>
      </c>
      <c r="E57" s="40" t="s">
        <v>108</v>
      </c>
    </row>
    <row r="58" customHeight="1" spans="1:5">
      <c r="A58" s="579" t="s">
        <v>109</v>
      </c>
      <c r="B58" s="580" t="s">
        <v>63</v>
      </c>
      <c r="C58" s="581"/>
      <c r="D58" s="582"/>
      <c r="E58" s="40" t="s">
        <v>63</v>
      </c>
    </row>
    <row r="59" customHeight="1" spans="1:5">
      <c r="A59" s="583" t="s">
        <v>110</v>
      </c>
      <c r="B59" s="584" t="s">
        <v>111</v>
      </c>
      <c r="C59" s="585"/>
      <c r="D59" s="518"/>
      <c r="E59" s="40" t="s">
        <v>28</v>
      </c>
    </row>
    <row r="60" customHeight="1" spans="1:5">
      <c r="A60" s="583" t="s">
        <v>110</v>
      </c>
      <c r="B60" s="586" t="s">
        <v>18</v>
      </c>
      <c r="C60" s="587"/>
      <c r="D60" s="565"/>
      <c r="E60" s="40"/>
    </row>
    <row r="61" customHeight="1" spans="1:5">
      <c r="A61" s="583" t="s">
        <v>110</v>
      </c>
      <c r="B61" s="588" t="s">
        <v>26</v>
      </c>
      <c r="C61" s="589"/>
      <c r="D61" s="535"/>
      <c r="E61" s="40" t="s">
        <v>112</v>
      </c>
    </row>
    <row r="62" customHeight="1" spans="1:5">
      <c r="A62" s="583" t="s">
        <v>110</v>
      </c>
      <c r="B62" s="590" t="s">
        <v>30</v>
      </c>
      <c r="C62" s="591"/>
      <c r="D62" s="538"/>
      <c r="E62" s="40" t="s">
        <v>32</v>
      </c>
    </row>
    <row r="63" customHeight="1" spans="1:7">
      <c r="A63" s="592" t="s">
        <v>113</v>
      </c>
      <c r="B63" s="593" t="s">
        <v>114</v>
      </c>
      <c r="C63" s="594"/>
      <c r="D63" s="572"/>
      <c r="E63" s="595"/>
      <c r="F63" s="596" t="s">
        <v>115</v>
      </c>
      <c r="G63" s="597" t="s">
        <v>116</v>
      </c>
    </row>
    <row r="64" customHeight="1" spans="1:7">
      <c r="A64" s="598" t="s">
        <v>117</v>
      </c>
      <c r="B64" s="599" t="s">
        <v>118</v>
      </c>
      <c r="C64" s="600"/>
      <c r="D64" s="535"/>
      <c r="E64" s="601" t="s">
        <v>119</v>
      </c>
      <c r="F64" s="602" t="s">
        <v>120</v>
      </c>
      <c r="G64" s="603"/>
    </row>
    <row r="65" customHeight="1" spans="1:7">
      <c r="A65" s="598" t="s">
        <v>121</v>
      </c>
      <c r="B65" s="604" t="s">
        <v>122</v>
      </c>
      <c r="C65" s="605"/>
      <c r="D65" s="521"/>
      <c r="E65" s="601" t="s">
        <v>119</v>
      </c>
      <c r="F65" s="602" t="s">
        <v>123</v>
      </c>
      <c r="G65" s="603"/>
    </row>
    <row r="66" customHeight="1" spans="1:7">
      <c r="A66" s="598" t="s">
        <v>124</v>
      </c>
      <c r="B66" s="606" t="s">
        <v>125</v>
      </c>
      <c r="C66" s="607"/>
      <c r="D66" s="565"/>
      <c r="E66" s="601" t="s">
        <v>119</v>
      </c>
      <c r="F66" s="602"/>
      <c r="G66" s="603"/>
    </row>
    <row r="67" customHeight="1" spans="1:7">
      <c r="A67" s="598" t="s">
        <v>126</v>
      </c>
      <c r="B67" s="599" t="s">
        <v>127</v>
      </c>
      <c r="C67" s="600"/>
      <c r="D67" s="535"/>
      <c r="E67" s="601" t="s">
        <v>119</v>
      </c>
      <c r="F67" s="608"/>
      <c r="G67" s="582"/>
    </row>
    <row r="68" customHeight="1" spans="1:7">
      <c r="A68" s="598" t="s">
        <v>128</v>
      </c>
      <c r="B68" s="609" t="s">
        <v>129</v>
      </c>
      <c r="C68" s="610"/>
      <c r="D68" s="538"/>
      <c r="E68" s="595"/>
      <c r="F68" s="611" t="s">
        <v>130</v>
      </c>
      <c r="G68" s="612"/>
    </row>
    <row r="69" customHeight="1" spans="1:7">
      <c r="A69" s="598" t="s">
        <v>131</v>
      </c>
      <c r="B69" s="613" t="s">
        <v>132</v>
      </c>
      <c r="C69" s="614"/>
      <c r="D69" s="615"/>
      <c r="E69" s="601" t="s">
        <v>133</v>
      </c>
      <c r="F69" s="602" t="s">
        <v>134</v>
      </c>
      <c r="G69" s="603"/>
    </row>
    <row r="70" customHeight="1" spans="1:7">
      <c r="A70" s="598" t="s">
        <v>135</v>
      </c>
      <c r="B70" s="599" t="s">
        <v>136</v>
      </c>
      <c r="C70" s="529"/>
      <c r="D70" s="535"/>
      <c r="E70" s="601" t="s">
        <v>133</v>
      </c>
      <c r="F70" s="602"/>
      <c r="G70" s="603"/>
    </row>
    <row r="71" customHeight="1" spans="1:7">
      <c r="A71" s="598" t="s">
        <v>137</v>
      </c>
      <c r="B71" s="606" t="s">
        <v>138</v>
      </c>
      <c r="C71" s="523"/>
      <c r="D71" s="565"/>
      <c r="E71" s="601" t="s">
        <v>133</v>
      </c>
      <c r="F71" s="602"/>
      <c r="G71" s="603"/>
    </row>
    <row r="72" customHeight="1" spans="1:7">
      <c r="A72" s="598" t="s">
        <v>139</v>
      </c>
      <c r="B72" s="599" t="s">
        <v>140</v>
      </c>
      <c r="C72" s="529"/>
      <c r="D72" s="535"/>
      <c r="E72" s="601" t="s">
        <v>133</v>
      </c>
      <c r="F72" s="608"/>
      <c r="G72" s="582"/>
    </row>
    <row r="73" customHeight="1" spans="1:7">
      <c r="A73" s="598" t="s">
        <v>141</v>
      </c>
      <c r="B73" s="606" t="s">
        <v>142</v>
      </c>
      <c r="C73" s="523"/>
      <c r="D73" s="565"/>
      <c r="E73" s="595"/>
      <c r="F73" s="611" t="s">
        <v>143</v>
      </c>
      <c r="G73" s="612"/>
    </row>
    <row r="74" customHeight="1" spans="1:7">
      <c r="A74" s="598" t="s">
        <v>144</v>
      </c>
      <c r="B74" s="616" t="s">
        <v>145</v>
      </c>
      <c r="C74" s="526"/>
      <c r="D74" s="603"/>
      <c r="E74" s="601" t="s">
        <v>146</v>
      </c>
      <c r="F74" s="602" t="s">
        <v>120</v>
      </c>
      <c r="G74" s="603"/>
    </row>
    <row r="75" customHeight="1" spans="1:7">
      <c r="A75" s="598" t="s">
        <v>147</v>
      </c>
      <c r="B75" s="616" t="s">
        <v>148</v>
      </c>
      <c r="C75" s="526"/>
      <c r="D75" s="603"/>
      <c r="E75" s="601" t="s">
        <v>146</v>
      </c>
      <c r="F75" s="602" t="s">
        <v>149</v>
      </c>
      <c r="G75" s="603"/>
    </row>
    <row r="76" customHeight="1" spans="1:7">
      <c r="A76" s="598" t="s">
        <v>150</v>
      </c>
      <c r="B76" s="599" t="s">
        <v>151</v>
      </c>
      <c r="C76" s="529"/>
      <c r="D76" s="535"/>
      <c r="E76" s="601" t="s">
        <v>146</v>
      </c>
      <c r="F76" s="602"/>
      <c r="G76" s="603"/>
    </row>
    <row r="77" customHeight="1" spans="1:7">
      <c r="A77" s="598" t="s">
        <v>152</v>
      </c>
      <c r="B77" s="606" t="s">
        <v>153</v>
      </c>
      <c r="C77" s="523"/>
      <c r="D77" s="565"/>
      <c r="E77" s="601" t="s">
        <v>146</v>
      </c>
      <c r="F77" s="608"/>
      <c r="G77" s="582"/>
    </row>
    <row r="78" customHeight="1" spans="1:7">
      <c r="A78" s="598" t="s">
        <v>154</v>
      </c>
      <c r="B78" s="616" t="s">
        <v>155</v>
      </c>
      <c r="C78" s="526"/>
      <c r="D78" s="603"/>
      <c r="E78" s="595"/>
      <c r="F78" s="611" t="s">
        <v>156</v>
      </c>
      <c r="G78" s="612"/>
    </row>
    <row r="79" customHeight="1" spans="1:7">
      <c r="A79" s="598" t="s">
        <v>157</v>
      </c>
      <c r="B79" s="599" t="s">
        <v>158</v>
      </c>
      <c r="C79" s="529"/>
      <c r="D79" s="535"/>
      <c r="E79" s="617" t="s">
        <v>159</v>
      </c>
      <c r="F79" s="602" t="s">
        <v>160</v>
      </c>
      <c r="G79" s="603"/>
    </row>
    <row r="80" customHeight="1" spans="1:7">
      <c r="A80" s="598" t="s">
        <v>161</v>
      </c>
      <c r="B80" s="606" t="s">
        <v>162</v>
      </c>
      <c r="C80" s="523"/>
      <c r="D80" s="565"/>
      <c r="E80" s="617" t="s">
        <v>159</v>
      </c>
      <c r="F80" s="602"/>
      <c r="G80" s="603"/>
    </row>
    <row r="81" customHeight="1" spans="1:7">
      <c r="A81" s="598" t="s">
        <v>163</v>
      </c>
      <c r="B81" s="599" t="s">
        <v>164</v>
      </c>
      <c r="C81" s="529"/>
      <c r="D81" s="535"/>
      <c r="E81" s="617" t="s">
        <v>159</v>
      </c>
      <c r="F81" s="602"/>
      <c r="G81" s="603"/>
    </row>
    <row r="82" customHeight="1" spans="1:7">
      <c r="A82" s="598" t="s">
        <v>165</v>
      </c>
      <c r="B82" s="606" t="s">
        <v>166</v>
      </c>
      <c r="C82" s="523"/>
      <c r="D82" s="565"/>
      <c r="E82" s="618" t="s">
        <v>159</v>
      </c>
      <c r="F82" s="608"/>
      <c r="G82" s="582"/>
    </row>
    <row r="83" customHeight="1" spans="1:5">
      <c r="A83" s="598" t="s">
        <v>167</v>
      </c>
      <c r="B83" s="599" t="s">
        <v>168</v>
      </c>
      <c r="C83" s="529"/>
      <c r="D83" s="535"/>
      <c r="E83" s="40" t="s">
        <v>168</v>
      </c>
    </row>
    <row r="84" customHeight="1" spans="1:5">
      <c r="A84" s="598" t="s">
        <v>169</v>
      </c>
      <c r="B84" s="604" t="s">
        <v>170</v>
      </c>
      <c r="C84" s="520"/>
      <c r="D84" s="521"/>
      <c r="E84" s="40" t="s">
        <v>170</v>
      </c>
    </row>
    <row r="85" customHeight="1" spans="1:5">
      <c r="A85" s="598" t="s">
        <v>171</v>
      </c>
      <c r="B85" s="604" t="s">
        <v>172</v>
      </c>
      <c r="C85" s="520"/>
      <c r="D85" s="521"/>
      <c r="E85" s="40" t="s">
        <v>172</v>
      </c>
    </row>
    <row r="86" customHeight="1" spans="1:5">
      <c r="A86" s="598" t="s">
        <v>173</v>
      </c>
      <c r="B86" s="604" t="s">
        <v>174</v>
      </c>
      <c r="C86" s="520"/>
      <c r="D86" s="521"/>
      <c r="E86" s="40" t="s">
        <v>174</v>
      </c>
    </row>
    <row r="87" customHeight="1" spans="1:5">
      <c r="A87" s="598" t="s">
        <v>175</v>
      </c>
      <c r="B87" s="604" t="s">
        <v>176</v>
      </c>
      <c r="C87" s="520"/>
      <c r="D87" s="521"/>
      <c r="E87" s="40" t="s">
        <v>176</v>
      </c>
    </row>
    <row r="88" customHeight="1" spans="1:5">
      <c r="A88" s="598" t="s">
        <v>177</v>
      </c>
      <c r="B88" s="604" t="s">
        <v>178</v>
      </c>
      <c r="C88" s="520"/>
      <c r="D88" s="521"/>
      <c r="E88" s="40" t="s">
        <v>178</v>
      </c>
    </row>
    <row r="89" customHeight="1" spans="1:5">
      <c r="A89" s="598" t="s">
        <v>179</v>
      </c>
      <c r="B89" s="604" t="s">
        <v>180</v>
      </c>
      <c r="C89" s="520"/>
      <c r="D89" s="521"/>
      <c r="E89" s="40" t="s">
        <v>180</v>
      </c>
    </row>
    <row r="90" customHeight="1" spans="1:5">
      <c r="A90" s="598" t="s">
        <v>181</v>
      </c>
      <c r="B90" s="604" t="s">
        <v>182</v>
      </c>
      <c r="C90" s="520"/>
      <c r="D90" s="521"/>
      <c r="E90" s="40" t="s">
        <v>182</v>
      </c>
    </row>
    <row r="91" customHeight="1" spans="1:5">
      <c r="A91" s="598" t="s">
        <v>183</v>
      </c>
      <c r="B91" s="604" t="s">
        <v>184</v>
      </c>
      <c r="C91" s="520"/>
      <c r="D91" s="521"/>
      <c r="E91" s="40" t="s">
        <v>184</v>
      </c>
    </row>
    <row r="92" customHeight="1" spans="1:5">
      <c r="A92" s="598" t="s">
        <v>185</v>
      </c>
      <c r="B92" s="604" t="s">
        <v>186</v>
      </c>
      <c r="C92" s="520"/>
      <c r="D92" s="521"/>
      <c r="E92" s="40" t="s">
        <v>186</v>
      </c>
    </row>
    <row r="93" customHeight="1" spans="1:5">
      <c r="A93" s="598" t="s">
        <v>187</v>
      </c>
      <c r="B93" s="604" t="s">
        <v>188</v>
      </c>
      <c r="C93" s="520"/>
      <c r="D93" s="521"/>
      <c r="E93" s="40" t="s">
        <v>188</v>
      </c>
    </row>
    <row r="94" customHeight="1" spans="1:5">
      <c r="A94" s="598" t="s">
        <v>189</v>
      </c>
      <c r="B94" s="604" t="s">
        <v>190</v>
      </c>
      <c r="C94" s="520"/>
      <c r="D94" s="521"/>
      <c r="E94" s="40" t="s">
        <v>190</v>
      </c>
    </row>
    <row r="95" customHeight="1" spans="1:5">
      <c r="A95" s="598" t="s">
        <v>191</v>
      </c>
      <c r="B95" s="604" t="s">
        <v>192</v>
      </c>
      <c r="C95" s="520"/>
      <c r="D95" s="521"/>
      <c r="E95" s="40" t="s">
        <v>192</v>
      </c>
    </row>
    <row r="96" customHeight="1" spans="1:5">
      <c r="A96" s="598" t="s">
        <v>193</v>
      </c>
      <c r="B96" s="604" t="s">
        <v>194</v>
      </c>
      <c r="C96" s="520"/>
      <c r="D96" s="521"/>
      <c r="E96" s="40" t="s">
        <v>194</v>
      </c>
    </row>
    <row r="97" customHeight="1" spans="1:5">
      <c r="A97" s="598" t="s">
        <v>195</v>
      </c>
      <c r="B97" s="604" t="s">
        <v>196</v>
      </c>
      <c r="C97" s="520"/>
      <c r="D97" s="521"/>
      <c r="E97" s="40" t="s">
        <v>196</v>
      </c>
    </row>
    <row r="98" customHeight="1" spans="1:5">
      <c r="A98" s="598" t="s">
        <v>197</v>
      </c>
      <c r="B98" s="604" t="s">
        <v>112</v>
      </c>
      <c r="C98" s="520"/>
      <c r="D98" s="521"/>
      <c r="E98" s="40" t="s">
        <v>112</v>
      </c>
    </row>
    <row r="99" customHeight="1" spans="1:5">
      <c r="A99" s="619" t="s">
        <v>198</v>
      </c>
      <c r="B99" s="609" t="s">
        <v>199</v>
      </c>
      <c r="C99" s="537"/>
      <c r="D99" s="538"/>
      <c r="E99" s="40" t="s">
        <v>199</v>
      </c>
    </row>
    <row r="100" customHeight="1" spans="1:5">
      <c r="A100" s="620" t="s">
        <v>200</v>
      </c>
      <c r="B100" s="621" t="s">
        <v>201</v>
      </c>
      <c r="C100" s="622"/>
      <c r="D100" s="623"/>
      <c r="E100" s="40" t="s">
        <v>201</v>
      </c>
    </row>
    <row r="101" customHeight="1" spans="1:5">
      <c r="A101" s="624" t="s">
        <v>202</v>
      </c>
      <c r="B101" s="625" t="s">
        <v>203</v>
      </c>
      <c r="C101" s="626"/>
      <c r="D101" s="541"/>
      <c r="E101" s="40" t="s">
        <v>204</v>
      </c>
    </row>
    <row r="102" customHeight="1" spans="1:7">
      <c r="A102" s="601" t="s">
        <v>119</v>
      </c>
      <c r="B102" s="611" t="s">
        <v>204</v>
      </c>
      <c r="C102" s="526">
        <f>SUM(G64:G67)</f>
        <v>0</v>
      </c>
      <c r="D102" s="627"/>
      <c r="E102" s="628" t="s">
        <v>205</v>
      </c>
      <c r="F102" s="629" t="s">
        <v>206</v>
      </c>
      <c r="G102" s="630">
        <f>SUM(D12:D58)+SUM(D63:D100)</f>
        <v>0</v>
      </c>
    </row>
    <row r="103" ht="19.95" customHeight="1" spans="1:7">
      <c r="A103" s="601" t="s">
        <v>133</v>
      </c>
      <c r="B103" s="611" t="s">
        <v>207</v>
      </c>
      <c r="C103" s="526">
        <f>SUM(G69:G72)</f>
        <v>0</v>
      </c>
      <c r="D103" s="627"/>
      <c r="E103" s="631"/>
      <c r="F103" s="632" t="s">
        <v>208</v>
      </c>
      <c r="G103" s="633">
        <f>SUM(C12:C100)</f>
        <v>0</v>
      </c>
    </row>
    <row r="104" ht="18" customHeight="1" spans="1:7">
      <c r="A104" s="634"/>
      <c r="B104" s="611" t="s">
        <v>209</v>
      </c>
      <c r="C104" s="526">
        <f>G105+C102-C103</f>
        <v>0</v>
      </c>
      <c r="D104" s="627"/>
      <c r="E104" s="635"/>
      <c r="F104" s="632"/>
      <c r="G104" s="633"/>
    </row>
    <row r="105" customHeight="1" spans="1:7">
      <c r="A105" s="601" t="s">
        <v>146</v>
      </c>
      <c r="B105" s="611" t="s">
        <v>210</v>
      </c>
      <c r="C105" s="526">
        <f>SUM(G74:G77)</f>
        <v>0</v>
      </c>
      <c r="D105" s="627"/>
      <c r="E105" s="635"/>
      <c r="F105" s="632" t="s">
        <v>211</v>
      </c>
      <c r="G105" s="633">
        <f>C7-G103</f>
        <v>0</v>
      </c>
    </row>
    <row r="106" ht="15.75" customHeight="1" spans="1:7">
      <c r="A106" s="601" t="s">
        <v>159</v>
      </c>
      <c r="B106" s="636" t="s">
        <v>212</v>
      </c>
      <c r="C106" s="544">
        <f>SUM(G79:G82)</f>
        <v>0</v>
      </c>
      <c r="D106" s="545"/>
      <c r="E106" s="637"/>
      <c r="F106" s="638" t="s">
        <v>213</v>
      </c>
      <c r="G106" s="639">
        <f>C104+C105-C106</f>
        <v>0</v>
      </c>
    </row>
    <row r="108" customHeight="1" spans="1:3">
      <c r="A108" s="640"/>
      <c r="B108" s="640"/>
      <c r="C108" s="641"/>
    </row>
    <row r="109" customHeight="1" spans="1:3">
      <c r="A109" s="640"/>
      <c r="B109" s="640"/>
      <c r="C109" s="641"/>
    </row>
    <row r="110" customHeight="1" spans="1:3">
      <c r="A110" s="642"/>
      <c r="B110" s="640"/>
      <c r="C110" s="641"/>
    </row>
    <row r="111" customHeight="1" spans="1:3">
      <c r="A111" s="642"/>
      <c r="B111" s="640"/>
      <c r="C111" s="641"/>
    </row>
    <row r="112" customHeight="1" spans="1:3">
      <c r="A112" s="642"/>
      <c r="B112" s="640"/>
      <c r="C112" s="641"/>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mYCvsJziJAgqgQKarRQ7xm9W4wWhCPyxH+qMxwQlD3PhBfzzadDegzqlmu8DHpGjNCYdB5jaIuHIgQgdL9b+Gw==" saltValue="DVolfaYcp7NpIK3Fe4qE1A=="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H13" sqref="H13:I15"/>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'⑥製造（経費)'!I2+'⑤製造原価 (人）'!N2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ht="15.75"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(④経費!I2*1000000+③給料!N2*1000000)/1000000</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rvu4HmdLxet1kBUyQ76Gs4kNMWGGJwMSCVq6G+IAgCB3U9DNlVz38RlJbDx6zrk4IRUeixVheSxQh2RV+ZFa0g==" saltValue="51NsnPRx1WMy2N8YFcKQ5A=="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L17" sqref="L17"/>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SUM(スタート!C29:C36)</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LAKz0zxaVEE/SKFbRyVXyz9Fr5d56Jglzak3Sv6XrsrpjpcH0Z1r1doHjJ4nh+GG5Egz1nNVccsyJRwQwDp9vw==" saltValue="aQ+E/jhjLFE/QiSBTIJPWA=="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workbookViewId="0">
      <selection activeCell="I7" sqref="I7"/>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'⑤製造原価 (人）'!E14</f>
        <v>0</v>
      </c>
      <c r="J5" s="272"/>
      <c r="K5" s="280"/>
      <c r="L5" s="137"/>
      <c r="M5" s="274"/>
      <c r="N5" s="140"/>
    </row>
    <row r="6" ht="25.2" customHeight="1" spans="1:14">
      <c r="A6" s="11"/>
      <c r="B6" s="257"/>
      <c r="C6" s="258"/>
      <c r="D6" s="250"/>
      <c r="E6" s="261"/>
      <c r="F6" s="259"/>
      <c r="G6" s="11"/>
      <c r="H6" s="262" t="s">
        <v>26</v>
      </c>
      <c r="I6" s="281">
        <f>'⑤製造原価 (人）'!J14</f>
        <v>0</v>
      </c>
      <c r="J6" s="272"/>
      <c r="K6" s="282"/>
      <c r="L6" s="119"/>
      <c r="M6" s="274"/>
      <c r="N6" s="140"/>
    </row>
    <row r="7" ht="25.2" customHeight="1" spans="1:14">
      <c r="A7" s="11"/>
      <c r="B7" s="257"/>
      <c r="C7" s="258"/>
      <c r="D7" s="250"/>
      <c r="E7" s="261"/>
      <c r="F7" s="263"/>
      <c r="G7" s="11"/>
      <c r="H7" s="262" t="s">
        <v>28</v>
      </c>
      <c r="I7" s="281">
        <f>'⑤製造原価 (人）'!O14</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SUM(スタート!D43:D56)</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tMjea2mKKCp7EHj/llV6dKoiR2OaangRaZxnxXbVd/kNkJXJEnBYL9sgPgzE6wwbBk98rn0jV/Y9eaVwfzg2aw==" saltValue="uzFtr6m4TRqdjOIY/pKdnA=="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view="pageBreakPreview" zoomScale="80" zoomScaleNormal="100" workbookViewId="0">
      <selection activeCell="B3" sqref="B3"/>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ht="15.75"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ht="15.75" spans="1:19">
      <c r="A3" s="174" t="s">
        <v>293</v>
      </c>
      <c r="B3" s="175">
        <f>'②⑧MQ（未来）'!F3*1000000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ht="15.75"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RjmvHDVxK96b0y+5Wh/jqg9U4JTwnCcy89aVPul7Uqzt0kKTgckDQbSgl+XuKipdILn9kk1Z8MX1VX/Odjev5g==" saltValue="okApC6Mu9Zf6nEGyiOG6Hw=="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view="pageBreakPreview" zoomScale="60" zoomScaleNormal="90" workbookViewId="0">
      <selection activeCell="F5" sqref="F5"/>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Ztc2eqELipNYPQ0ddilg/omBIGj/hURFJG3keC8T7prBTAIaxvgqg1GgyqPA8HE+ssAJ95iH7gjNkMCECQtR6g==" saltValue="W70vFCpOw3SB3J9Lv4eomw=="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tabSelected="1" view="pageBreakPreview" zoomScale="85" zoomScaleNormal="70" workbookViewId="0">
      <selection activeCell="Z2" sqref="Z2"/>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t="e">
        <f>MOD(--MID(スタート!B2,FIND("/",スタート!B2)+1,FIND("/",スタート!B2,FIND("/",スタート!B2)+1)-FIND("/",スタート!B2)-1)-1,12)+1</f>
        <v>#VALUE!</v>
      </c>
      <c r="E1" s="20"/>
      <c r="F1" s="19" t="e">
        <f>MOD(--MID(スタート!B2,FIND("/",スタート!B2)+1,FIND("/",スタート!B2,FIND("/",スタート!B2)+1)-FIND("/",スタート!B2)-1)+1-1,12)+1</f>
        <v>#VALUE!</v>
      </c>
      <c r="G1" s="20" t="s">
        <v>231</v>
      </c>
      <c r="H1" s="19" t="e">
        <f>MOD(--MID(スタート!B2,FIND("/",スタート!B2)+1,FIND("/",スタート!B2,FIND("/",スタート!B2)+1)-FIND("/",スタート!B2)-1)+2-1,12)+1</f>
        <v>#VALUE!</v>
      </c>
      <c r="I1" s="20" t="s">
        <v>231</v>
      </c>
      <c r="J1" s="19" t="e">
        <f>MOD(--MID(スタート!B2,FIND("/",スタート!B2)+1,FIND("/",スタート!B2,FIND("/",スタート!B2)+1)-FIND("/",スタート!B2)-1)+3-1,12)+1</f>
        <v>#VALUE!</v>
      </c>
      <c r="K1" s="20" t="s">
        <v>231</v>
      </c>
      <c r="L1" s="19" t="e">
        <f>MOD(--MID(スタート!B2,FIND("/",スタート!B2)+1,FIND("/",スタート!B2,FIND("/",スタート!B2)+1)-FIND("/",スタート!B2)-1)+4-1,12)+1</f>
        <v>#VALUE!</v>
      </c>
      <c r="M1" s="20" t="s">
        <v>231</v>
      </c>
      <c r="N1" s="19" t="e">
        <f>MOD(--MID(スタート!B2,FIND("/",スタート!B2)+1,FIND("/",スタート!B2,FIND("/",スタート!B2)+1)-FIND("/",スタート!B2)-1)+5-1,12)+1</f>
        <v>#VALUE!</v>
      </c>
      <c r="O1" s="20" t="s">
        <v>231</v>
      </c>
      <c r="P1" s="19" t="e">
        <f>MOD(--MID(スタート!B2,FIND("/",スタート!B2)+1,FIND("/",スタート!B2,FIND("/",スタート!B2)+1)-FIND("/",スタート!B2)-1)+6-1,12)+1</f>
        <v>#VALUE!</v>
      </c>
      <c r="Q1" s="20" t="s">
        <v>231</v>
      </c>
      <c r="R1" s="19" t="e">
        <f>MOD(--MID(スタート!B2,FIND("/",スタート!B2)+1,FIND("/",スタート!B2,FIND("/",スタート!B2)+1)-FIND("/",スタート!B2)-1)+7-1,12)+1</f>
        <v>#VALUE!</v>
      </c>
      <c r="S1" s="20" t="s">
        <v>231</v>
      </c>
      <c r="T1" s="19" t="e">
        <f>MOD(--MID(スタート!B2,FIND("/",スタート!B2)+1,FIND("/",スタート!B2,FIND("/",スタート!B2)+1)-FIND("/",スタート!B2)-1)+8-1,12)+1</f>
        <v>#VALUE!</v>
      </c>
      <c r="U1" s="20" t="s">
        <v>231</v>
      </c>
      <c r="V1" s="19" t="e">
        <f>MOD(--MID(スタート!B2,FIND("/",スタート!B2)+1,FIND("/",スタート!B2,FIND("/",スタート!B2)+1)-FIND("/",スタート!B2)-1)+9-1,12)+1</f>
        <v>#VALUE!</v>
      </c>
      <c r="W1" s="20" t="s">
        <v>231</v>
      </c>
      <c r="X1" s="19" t="e">
        <f>MOD(--MID(スタート!B2,FIND("/",スタート!B2)+1,FIND("/",スタート!B2,FIND("/",スタート!B2)+1)-FIND("/",スタート!B2)-1)+10-1,12)+1</f>
        <v>#VALUE!</v>
      </c>
      <c r="Y1" s="20" t="s">
        <v>231</v>
      </c>
      <c r="Z1" s="19" t="e">
        <f>MOD(--MID(スタート!B2,FIND("/",スタート!B2)+1,FIND("/",スタート!B2,FIND("/",スタート!B2)+1)-FIND("/",スタート!B2)-1)+11-1,12)+1</f>
        <v>#VALUE!</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YgI74YnWpA56fx05UEUnz3/rfIer2XZdCi3JvvZxEGOp+nCw36CLfH4UG63IQZApbFsMUQDZL2vPZTOwVoiwoQ==" saltValue="9aAtc4FeOYvtmuy/s8siDw=="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2025-11-01T07:55:38Z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