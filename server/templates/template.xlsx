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00" tabRatio="789" activeTab="4"/>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'⑥製造（経費)'!$A$1:$N$45</definedName>
    <definedName name="_xlnm.Print_Area" localSheetId="8">⑦原価詳細!$A$1:$J$40</definedName>
    <definedName name="_xlnm.Print_Area" localSheetId="1">'MQ（現状）'!$A$1:$T$36</definedName>
    <definedName name="_xlnm.Print_Area" localSheetId="0">スタート!$A$1:$H$107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<sst xmlns="http://schemas.openxmlformats.org/spreadsheetml/2006/main" count="748" uniqueCount="340">
  <si>
    <t>会社名</t>
  </si>
  <si>
    <t>第</t>
  </si>
  <si>
    <t>期</t>
  </si>
  <si>
    <t>自</t>
  </si>
  <si>
    <t>至</t>
  </si>
  <si>
    <t>（百万円）</t>
  </si>
  <si>
    <t>例：122　→　1億2200万円</t>
  </si>
  <si>
    <t>コードNo</t>
  </si>
  <si>
    <t>勘定科目</t>
  </si>
  <si>
    <t>損益計算書</t>
  </si>
  <si>
    <t>製造原価報告書</t>
  </si>
  <si>
    <t>売上</t>
  </si>
  <si>
    <t>直近売上</t>
  </si>
  <si>
    <t>総益</t>
  </si>
  <si>
    <t>売上総利益</t>
  </si>
  <si>
    <t>益率</t>
  </si>
  <si>
    <t>利益率(%)</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</si>
  <si>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</si>
  <si>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</si>
  <si>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</si>
  <si>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</si>
  <si>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</si>
  <si>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</si>
  <si>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</si>
  <si>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</si>
  <si>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</si>
  <si>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</si>
  <si>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</si>
  <si>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</si>
  <si>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</si>
  <si>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</si>
  <si>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</si>
  <si>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</si>
  <si>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</si>
  <si>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</si>
  <si>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</si>
  <si>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</si>
  <si>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</si>
  <si>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</si>
  <si>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</si>
  <si>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</si>
  <si>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</si>
  <si>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</si>
  <si>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</si>
  <si>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</si>
  <si>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人件15</t>
  </si>
  <si>
    <t>人件16</t>
  </si>
  <si>
    <t>福利厚生費</t>
  </si>
  <si>
    <t>人件17</t>
  </si>
  <si>
    <t>法定福利費</t>
  </si>
  <si>
    <t>事業費1</t>
  </si>
  <si>
    <t>事業戦略費</t>
  </si>
  <si>
    <t>事業費2</t>
  </si>
  <si>
    <t>社長戦略費Ａ</t>
  </si>
  <si>
    <t>事業費3</t>
  </si>
  <si>
    <t>社長戦略費Ｂ</t>
  </si>
  <si>
    <t>事業費4</t>
  </si>
  <si>
    <t>開拓手数料(外交員)</t>
  </si>
  <si>
    <t>事業費5</t>
  </si>
  <si>
    <t>消耗資材費</t>
  </si>
  <si>
    <t>事業費6</t>
  </si>
  <si>
    <t>ロイヤリティー</t>
  </si>
  <si>
    <t>事業費7</t>
  </si>
  <si>
    <t>外注加工費</t>
  </si>
  <si>
    <t>事業費8</t>
  </si>
  <si>
    <t>運賃荷造費</t>
  </si>
  <si>
    <t>販促費1</t>
  </si>
  <si>
    <t>テナント料</t>
  </si>
  <si>
    <t>販促費2</t>
  </si>
  <si>
    <t>包装費</t>
  </si>
  <si>
    <t>販促費3</t>
  </si>
  <si>
    <t>販売企画費</t>
  </si>
  <si>
    <t>販促費4</t>
  </si>
  <si>
    <t>試供品ＤＭ費</t>
  </si>
  <si>
    <t>販促費5</t>
  </si>
  <si>
    <t>販売促進費</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</si>
  <si>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</si>
  <si>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</si>
  <si>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</si>
  <si>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</si>
  <si>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</si>
  <si>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</si>
  <si>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</si>
  <si>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</si>
  <si>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</si>
  <si>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</si>
  <si>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</si>
  <si>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</si>
  <si>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原価６</t>
  </si>
  <si>
    <t>期末製品棚卸高</t>
  </si>
  <si>
    <t>原価７</t>
  </si>
  <si>
    <t>期首原材料棚卸高</t>
  </si>
  <si>
    <t>原価８</t>
  </si>
  <si>
    <t>原材料仕入高１</t>
  </si>
  <si>
    <t>原価９</t>
  </si>
  <si>
    <t>原材料仕入高２</t>
  </si>
  <si>
    <t>原価１０</t>
  </si>
  <si>
    <t>原材料仕入高３</t>
  </si>
  <si>
    <t>原価１１</t>
  </si>
  <si>
    <t>仕掛品</t>
  </si>
  <si>
    <t>原価１２</t>
  </si>
  <si>
    <t>期末原材料棚卸高</t>
  </si>
  <si>
    <t>原価１３</t>
  </si>
  <si>
    <t>在庫</t>
  </si>
  <si>
    <t>原価人１４</t>
  </si>
  <si>
    <t>外注費</t>
  </si>
  <si>
    <t>原価人１５</t>
  </si>
  <si>
    <t>労務費</t>
  </si>
  <si>
    <t>超過手当</t>
  </si>
  <si>
    <t>原価人１６</t>
  </si>
  <si>
    <t>労務費内訳</t>
  </si>
  <si>
    <t>(労務費内訳）</t>
  </si>
  <si>
    <t>備品費</t>
  </si>
  <si>
    <t>経費１</t>
  </si>
  <si>
    <t>電力費</t>
  </si>
  <si>
    <t>営業外収益名称</t>
  </si>
  <si>
    <t>金額</t>
  </si>
  <si>
    <t>経費２</t>
  </si>
  <si>
    <t>動力費</t>
  </si>
  <si>
    <t>営01</t>
  </si>
  <si>
    <t>土地売却益</t>
  </si>
  <si>
    <t>経費３</t>
  </si>
  <si>
    <t>ガス光熱費</t>
  </si>
  <si>
    <t>不動産賃貸</t>
  </si>
  <si>
    <t>経費４</t>
  </si>
  <si>
    <t>燃料費</t>
  </si>
  <si>
    <t>経費５</t>
  </si>
  <si>
    <t>上水道費</t>
  </si>
  <si>
    <t>経費６</t>
  </si>
  <si>
    <t>下水道費</t>
  </si>
  <si>
    <t>営業外費用名称</t>
  </si>
  <si>
    <t>経費７</t>
  </si>
  <si>
    <t>車輌費</t>
  </si>
  <si>
    <t>営02</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</si>
  <si>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</si>
  <si>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</si>
  <si>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</si>
  <si>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</si>
  <si>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</si>
  <si>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</si>
  <si>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</si>
  <si>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</si>
  <si>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</si>
  <si>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</si>
  <si>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</si>
  <si>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</si>
  <si>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営03</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</si>
  <si>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</si>
  <si>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</si>
  <si>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</si>
  <si>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</si>
  <si>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</si>
  <si>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</si>
  <si>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</si>
  <si>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</si>
  <si>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</si>
  <si>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</si>
  <si>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</si>
  <si>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</si>
  <si>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営04</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</si>
  <si>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</si>
  <si>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</si>
  <si>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</si>
  <si>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</si>
  <si>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</si>
  <si>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</si>
  <si>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</si>
  <si>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</si>
  <si>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</si>
  <si>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</si>
  <si>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</si>
  <si>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</si>
  <si>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</si>
  <si>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</si>
  <si>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</si>
  <si>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</si>
  <si>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運賃</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</si>
  <si>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</si>
  <si>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</si>
  <si>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</si>
  <si>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</si>
  <si>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</si>
  <si>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</si>
  <si>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</si>
  <si>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</si>
  <si>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</si>
  <si>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</si>
  <si>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</si>
  <si>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</si>
  <si>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</si>
  <si>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</si>
  <si>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</si>
  <si>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</si>
  <si>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</si>
  <si>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</si>
  <si>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</si>
  <si>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</si>
  <si>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</si>
  <si>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</si>
  <si>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</si>
  <si>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</si>
  <si>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</si>
  <si>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</si>
  <si>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</si>
  <si>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</si>
  <si>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</si>
  <si>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</si>
  <si>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</si>
  <si>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</si>
  <si>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</si>
  <si>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</si>
  <si>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</si>
  <si>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</si>
  <si>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</si>
  <si>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</si>
  <si>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</si>
  <si>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</si>
  <si>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</si>
  <si>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</si>
  <si>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</si>
  <si>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</si>
  <si>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</si>
  <si>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</si>
  <si>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</si>
  <si>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</si>
  <si>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</si>
  <si>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</si>
  <si>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rPr>
        <sz val="36"/>
        <color theme="1"/>
        <rFont val="Calibri"/>
        <charset val="128"/>
        <scheme val="minor"/>
      </rPr>
      <t>③（Ｆ）人件費を入力する</t>
    </r>
    <r>
      <rPr>
        <sz val="14"/>
        <color theme="1"/>
        <rFont val="Calibri"/>
        <charset val="128"/>
        <scheme val="minor"/>
      </rPr>
      <t>（内勤・営業）</t>
    </r>
  </si>
  <si>
    <t>売上計</t>
  </si>
  <si>
    <t>人件費明細</t>
  </si>
  <si>
    <t>年収を記入</t>
  </si>
  <si>
    <t/>
  </si>
  <si>
    <t>派遣社員</t>
  </si>
  <si>
    <t>区分・テーブル</t>
  </si>
  <si>
    <t>単価</t>
  </si>
  <si>
    <t>人数</t>
  </si>
  <si>
    <t>合計</t>
  </si>
  <si>
    <t>計</t>
  </si>
  <si>
    <t>給料（現状）</t>
  </si>
  <si>
    <t>雑給料（現状）</t>
  </si>
  <si>
    <t>派遣社員費
（現状）</t>
  </si>
  <si>
    <t>平均年収</t>
  </si>
  <si>
    <t>上昇率</t>
  </si>
  <si>
    <t>未来</t>
  </si>
  <si>
    <t>現状</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</si>
  <si>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</si>
  <si>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</si>
  <si>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</si>
  <si>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</si>
  <si>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</si>
  <si>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</si>
  <si>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</si>
  <si>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</si>
  <si>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　現状　計</t>
  </si>
  <si>
    <t>⑦（PQ）原価の詳細　</t>
  </si>
  <si>
    <t>　</t>
  </si>
  <si>
    <t>↓②～④に順番に記入</t>
  </si>
  <si>
    <t>①</t>
  </si>
  <si>
    <t>④</t>
  </si>
  <si>
    <t>③</t>
  </si>
  <si>
    <t>②</t>
  </si>
  <si>
    <t>粗利益額</t>
  </si>
  <si>
    <t>1個あたり粗利益</t>
  </si>
  <si>
    <t>数量</t>
  </si>
  <si>
    <t>粗利益率</t>
  </si>
  <si>
    <t>商品名</t>
  </si>
  <si>
    <t>円</t>
  </si>
  <si>
    <t>１円</t>
  </si>
  <si>
    <t>個</t>
  </si>
  <si>
    <t>○○</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</si>
  <si>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</si>
  <si>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</si>
  <si>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</si>
  <si>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</si>
  <si>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</si>
  <si>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</si>
  <si>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</si>
  <si>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</si>
  <si>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</si>
  <si>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</si>
  <si>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</si>
  <si>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</si>
  <si>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</si>
  <si>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</si>
  <si>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</si>
  <si>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</si>
  <si>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</si>
  <si>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</si>
  <si>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</si>
  <si>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</si>
  <si>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</si>
  <si>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</si>
  <si>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</si>
  <si>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変動費</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</si>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</sst>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m&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0.0_ ;[Red]\-#,##0.0\ "/>
  </numFmts>
  <fonts count="73">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b/>
      <sz val="20"/>
      <color rgb="FFC00000"/>
      <name val="ＭＳ Ｐゴシック"/>
      <charset val="128"/>
    </font>
    <font>
      <sz val="12"/>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sz val="11"/>
      <color rgb="FFC00000"/>
      <name val="Calibri"/>
      <charset val="128"/>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3">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43"/>
        <bgColor indexed="64"/>
      </patternFill>
    </fill>
    <fill>
      <patternFill patternType="solid">
        <fgColor rgb="FFFF0000"/>
        <bgColor indexed="64"/>
      </patternFill>
    </fill>
    <fill>
      <patternFill patternType="solid">
        <fgColor theme="0" tint="-0.349986266670736"/>
        <bgColor indexed="64"/>
      </patternFill>
    </fill>
    <fill>
      <patternFill patternType="solid">
        <fgColor indexed="53"/>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medium">
        <color auto="1"/>
      </top>
      <bottom style="dashed">
        <color auto="1"/>
      </bottom>
      <diagonal/>
    </border>
    <border>
      <left style="thin">
        <color auto="1"/>
      </left>
      <right style="medium">
        <color auto="1"/>
      </right>
      <top style="medium">
        <color auto="1"/>
      </top>
      <bottom style="dashed">
        <color auto="1"/>
      </bottom>
      <diagonal/>
    </border>
    <border>
      <left style="thin">
        <color auto="1"/>
      </left>
      <right style="thin">
        <color auto="1"/>
      </right>
      <top style="dashed">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thin">
        <color auto="1"/>
      </right>
      <top style="dashed">
        <color auto="1"/>
      </top>
      <bottom style="thin">
        <color auto="1"/>
      </bottom>
      <diagonal/>
    </border>
    <border>
      <left style="thin">
        <color auto="1"/>
      </left>
      <right style="medium">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medium">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24" fillId="25" borderId="136" applyNumberFormat="0" applyFont="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37" applyNumberFormat="0" applyFill="0" applyAlignment="0" applyProtection="0">
      <alignment vertical="center"/>
    </xf>
    <xf numFmtId="0" fontId="60" fillId="0" borderId="137" applyNumberFormat="0" applyFill="0" applyAlignment="0" applyProtection="0">
      <alignment vertical="center"/>
    </xf>
    <xf numFmtId="0" fontId="61" fillId="0" borderId="138" applyNumberFormat="0" applyFill="0" applyAlignment="0" applyProtection="0">
      <alignment vertical="center"/>
    </xf>
    <xf numFmtId="0" fontId="61" fillId="0" borderId="0" applyNumberFormat="0" applyFill="0" applyBorder="0" applyAlignment="0" applyProtection="0">
      <alignment vertical="center"/>
    </xf>
    <xf numFmtId="0" fontId="62" fillId="7" borderId="139" applyNumberFormat="0" applyAlignment="0" applyProtection="0">
      <alignment vertical="center"/>
    </xf>
    <xf numFmtId="0" fontId="63" fillId="26" borderId="140" applyNumberFormat="0" applyAlignment="0" applyProtection="0">
      <alignment vertical="center"/>
    </xf>
    <xf numFmtId="0" fontId="64" fillId="26" borderId="139" applyNumberFormat="0" applyAlignment="0" applyProtection="0">
      <alignment vertical="center"/>
    </xf>
    <xf numFmtId="0" fontId="65" fillId="27" borderId="141" applyNumberFormat="0" applyAlignment="0" applyProtection="0">
      <alignment vertical="center"/>
    </xf>
    <xf numFmtId="0" fontId="66" fillId="0" borderId="142" applyNumberFormat="0" applyFill="0" applyAlignment="0" applyProtection="0">
      <alignment vertical="center"/>
    </xf>
    <xf numFmtId="0" fontId="67" fillId="0" borderId="143" applyNumberFormat="0" applyFill="0" applyAlignment="0" applyProtection="0">
      <alignment vertical="center"/>
    </xf>
    <xf numFmtId="0" fontId="68" fillId="28" borderId="0" applyNumberFormat="0" applyBorder="0" applyAlignment="0" applyProtection="0">
      <alignment vertical="center"/>
    </xf>
    <xf numFmtId="0" fontId="69" fillId="29" borderId="0" applyNumberFormat="0" applyBorder="0" applyAlignment="0" applyProtection="0">
      <alignment vertical="center"/>
    </xf>
    <xf numFmtId="0" fontId="70" fillId="30" borderId="0" applyNumberFormat="0" applyBorder="0" applyAlignment="0" applyProtection="0">
      <alignment vertical="center"/>
    </xf>
    <xf numFmtId="0" fontId="71" fillId="31" borderId="0" applyNumberFormat="0" applyBorder="0" applyAlignment="0" applyProtection="0">
      <alignment vertical="center"/>
    </xf>
    <xf numFmtId="0" fontId="72" fillId="32" borderId="0" applyNumberFormat="0" applyBorder="0" applyAlignment="0" applyProtection="0">
      <alignment vertical="center"/>
    </xf>
    <xf numFmtId="0" fontId="72" fillId="33" borderId="0" applyNumberFormat="0" applyBorder="0" applyAlignment="0" applyProtection="0">
      <alignment vertical="center"/>
    </xf>
    <xf numFmtId="0" fontId="71" fillId="34" borderId="0" applyNumberFormat="0" applyBorder="0" applyAlignment="0" applyProtection="0">
      <alignment vertical="center"/>
    </xf>
    <xf numFmtId="0" fontId="71" fillId="12" borderId="0" applyNumberFormat="0" applyBorder="0" applyAlignment="0" applyProtection="0">
      <alignment vertical="center"/>
    </xf>
    <xf numFmtId="0" fontId="72" fillId="35" borderId="0" applyNumberFormat="0" applyBorder="0" applyAlignment="0" applyProtection="0">
      <alignment vertical="center"/>
    </xf>
    <xf numFmtId="0" fontId="72" fillId="36" borderId="0" applyNumberFormat="0" applyBorder="0" applyAlignment="0" applyProtection="0">
      <alignment vertical="center"/>
    </xf>
    <xf numFmtId="0" fontId="71" fillId="37" borderId="0" applyNumberFormat="0" applyBorder="0" applyAlignment="0" applyProtection="0">
      <alignment vertical="center"/>
    </xf>
    <xf numFmtId="0" fontId="71" fillId="38" borderId="0" applyNumberFormat="0" applyBorder="0" applyAlignment="0" applyProtection="0">
      <alignment vertical="center"/>
    </xf>
    <xf numFmtId="0" fontId="72" fillId="39" borderId="0" applyNumberFormat="0" applyBorder="0" applyAlignment="0" applyProtection="0">
      <alignment vertical="center"/>
    </xf>
    <xf numFmtId="0" fontId="72" fillId="40" borderId="0" applyNumberFormat="0" applyBorder="0" applyAlignment="0" applyProtection="0">
      <alignment vertical="center"/>
    </xf>
    <xf numFmtId="0" fontId="71" fillId="41" borderId="0" applyNumberFormat="0" applyBorder="0" applyAlignment="0" applyProtection="0">
      <alignment vertical="center"/>
    </xf>
    <xf numFmtId="0" fontId="71" fillId="42" borderId="0" applyNumberFormat="0" applyBorder="0" applyAlignment="0" applyProtection="0">
      <alignment vertical="center"/>
    </xf>
    <xf numFmtId="0" fontId="72" fillId="43" borderId="0" applyNumberFormat="0" applyBorder="0" applyAlignment="0" applyProtection="0">
      <alignment vertical="center"/>
    </xf>
    <xf numFmtId="0" fontId="72" fillId="44" borderId="0" applyNumberFormat="0" applyBorder="0" applyAlignment="0" applyProtection="0">
      <alignment vertical="center"/>
    </xf>
    <xf numFmtId="0" fontId="71" fillId="45" borderId="0" applyNumberFormat="0" applyBorder="0" applyAlignment="0" applyProtection="0">
      <alignment vertical="center"/>
    </xf>
    <xf numFmtId="0" fontId="71" fillId="46" borderId="0" applyNumberFormat="0" applyBorder="0" applyAlignment="0" applyProtection="0">
      <alignment vertical="center"/>
    </xf>
    <xf numFmtId="0" fontId="72" fillId="3" borderId="0" applyNumberFormat="0" applyBorder="0" applyAlignment="0" applyProtection="0">
      <alignment vertical="center"/>
    </xf>
    <xf numFmtId="0" fontId="72" fillId="47" borderId="0" applyNumberFormat="0" applyBorder="0" applyAlignment="0" applyProtection="0">
      <alignment vertical="center"/>
    </xf>
    <xf numFmtId="0" fontId="71" fillId="48" borderId="0" applyNumberFormat="0" applyBorder="0" applyAlignment="0" applyProtection="0">
      <alignment vertical="center"/>
    </xf>
    <xf numFmtId="0" fontId="71" fillId="49" borderId="0" applyNumberFormat="0" applyBorder="0" applyAlignment="0" applyProtection="0">
      <alignment vertical="center"/>
    </xf>
    <xf numFmtId="0" fontId="72" fillId="50" borderId="0" applyNumberFormat="0" applyBorder="0" applyAlignment="0" applyProtection="0">
      <alignment vertical="center"/>
    </xf>
    <xf numFmtId="0" fontId="72" fillId="51" borderId="0" applyNumberFormat="0" applyBorder="0" applyAlignment="0" applyProtection="0">
      <alignment vertical="center"/>
    </xf>
    <xf numFmtId="0" fontId="71" fillId="52"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43">
    <xf numFmtId="0" fontId="0" fillId="0" borderId="0" xfId="0">
      <alignment vertical="center"/>
    </xf>
    <xf numFmtId="0" fontId="1" fillId="2" borderId="1" xfId="0" applyFont="1" applyFill="1" applyBorder="1" applyAlignment="1" applyProtection="1">
      <alignment horizontal="center" vertical="center"/>
      <protection hidden="1"/>
    </xf>
    <xf numFmtId="0" fontId="1" fillId="0" borderId="2" xfId="0" applyFont="1" applyBorder="1" applyAlignment="1" applyProtection="1">
      <alignment horizontal="center" vertical="center"/>
      <protection hidden="1"/>
    </xf>
    <xf numFmtId="0" fontId="0" fillId="3" borderId="3" xfId="0" applyFill="1" applyBorder="1" applyProtection="1">
      <alignment vertical="center"/>
      <protection hidden="1"/>
    </xf>
    <xf numFmtId="0" fontId="0" fillId="3" borderId="3" xfId="0" applyFill="1" applyBorder="1" applyAlignment="1" applyProtection="1">
      <alignment horizontal="center" vertical="center"/>
      <protection hidden="1"/>
    </xf>
    <xf numFmtId="0" fontId="0" fillId="0" borderId="3" xfId="0" applyBorder="1" applyProtection="1">
      <alignment vertical="center"/>
      <protection hidden="1"/>
    </xf>
    <xf numFmtId="178" fontId="0" fillId="0" borderId="3" xfId="0" applyNumberFormat="1" applyBorder="1" applyAlignment="1" applyProtection="1">
      <alignment horizontal="right" vertical="center"/>
      <protection hidden="1"/>
    </xf>
    <xf numFmtId="38" fontId="0" fillId="0" borderId="3" xfId="0" applyNumberFormat="1" applyBorder="1" applyAlignment="1" applyProtection="1">
      <alignment horizontal="right" vertical="center"/>
      <protection hidden="1"/>
    </xf>
    <xf numFmtId="0" fontId="2" fillId="3" borderId="3" xfId="0" applyFont="1" applyFill="1" applyBorder="1" applyAlignment="1" applyProtection="1">
      <alignment horizontal="right" vertical="center"/>
      <protection hidden="1"/>
    </xf>
    <xf numFmtId="178" fontId="3" fillId="0" borderId="3" xfId="0" applyNumberFormat="1" applyFont="1" applyBorder="1" applyProtection="1">
      <alignment vertical="center"/>
      <protection hidden="1"/>
    </xf>
    <xf numFmtId="178" fontId="0" fillId="0" borderId="3" xfId="0" applyNumberFormat="1" applyBorder="1" applyProtection="1">
      <alignment vertical="center"/>
      <protection hidden="1"/>
    </xf>
    <xf numFmtId="0" fontId="0" fillId="0" borderId="0" xfId="0" applyProtection="1">
      <alignment vertical="center"/>
      <protection hidden="1"/>
    </xf>
    <xf numFmtId="0" fontId="0" fillId="0" borderId="4" xfId="0" applyBorder="1" applyAlignment="1" applyProtection="1">
      <alignment vertical="top"/>
      <protection hidden="1"/>
    </xf>
    <xf numFmtId="0" fontId="0" fillId="0" borderId="0" xfId="0" applyAlignment="1" applyProtection="1">
      <alignment vertical="top"/>
      <protection hidden="1"/>
    </xf>
    <xf numFmtId="0" fontId="1" fillId="0" borderId="5" xfId="0" applyFont="1" applyBorder="1" applyAlignment="1" applyProtection="1">
      <alignment horizontal="center" vertical="center"/>
      <protection hidden="1"/>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pplyProtection="1">
      <alignment horizontal="center" vertical="center"/>
      <protection hidden="1"/>
    </xf>
    <xf numFmtId="179" fontId="5" fillId="4" borderId="7" xfId="0" applyNumberFormat="1" applyFont="1" applyFill="1" applyBorder="1" applyAlignment="1" applyProtection="1">
      <alignment horizontal="center" vertical="center"/>
      <protection hidden="1"/>
    </xf>
    <xf numFmtId="0" fontId="0" fillId="0" borderId="8" xfId="0" applyBorder="1" applyAlignment="1" applyProtection="1">
      <alignment horizontal="center" vertical="center"/>
      <protection hidden="1"/>
    </xf>
    <xf numFmtId="0" fontId="0" fillId="0" borderId="9" xfId="0" applyBorder="1" applyAlignment="1" applyProtection="1">
      <alignment horizontal="center" vertical="center"/>
      <protection hidden="1"/>
    </xf>
    <xf numFmtId="0" fontId="5" fillId="4" borderId="9" xfId="0" applyFont="1" applyFill="1" applyBorder="1" applyAlignment="1" applyProtection="1">
      <alignment horizontal="center" vertical="center" shrinkToFit="1"/>
      <protection hidden="1"/>
    </xf>
    <xf numFmtId="0" fontId="5" fillId="4" borderId="10" xfId="0" applyFont="1" applyFill="1" applyBorder="1" applyAlignment="1" applyProtection="1">
      <alignment horizontal="center" vertical="center"/>
      <protection hidden="1"/>
    </xf>
    <xf numFmtId="0" fontId="5" fillId="4" borderId="11" xfId="0" applyFont="1" applyFill="1" applyBorder="1" applyAlignment="1" applyProtection="1">
      <alignment horizontal="center" vertical="center"/>
      <protection hidden="1"/>
    </xf>
    <xf numFmtId="0" fontId="5" fillId="4" borderId="12" xfId="0" applyFont="1" applyFill="1" applyBorder="1" applyAlignment="1" applyProtection="1">
      <alignment horizontal="center" vertical="center"/>
      <protection hidden="1"/>
    </xf>
    <xf numFmtId="0" fontId="6" fillId="5" borderId="6" xfId="0" applyFont="1" applyFill="1" applyBorder="1" applyAlignment="1" applyProtection="1">
      <alignment horizontal="center" vertical="center" shrinkToFit="1"/>
      <protection hidden="1"/>
    </xf>
    <xf numFmtId="180" fontId="5" fillId="6" borderId="13" xfId="0" applyNumberFormat="1" applyFont="1" applyFill="1" applyBorder="1" applyAlignment="1" applyProtection="1">
      <alignment shrinkToFit="1"/>
      <protection hidden="1"/>
    </xf>
    <xf numFmtId="0" fontId="0" fillId="0" borderId="13" xfId="0" applyBorder="1" applyAlignment="1" applyProtection="1">
      <alignment horizontal="center" vertical="center" shrinkToFit="1"/>
      <protection hidden="1"/>
    </xf>
    <xf numFmtId="180" fontId="6" fillId="0" borderId="14" xfId="0" applyNumberFormat="1" applyFont="1" applyBorder="1" applyAlignment="1" applyProtection="1">
      <alignment shrinkToFit="1"/>
      <protection hidden="1"/>
    </xf>
    <xf numFmtId="180" fontId="7" fillId="0" borderId="15" xfId="0" applyNumberFormat="1" applyFont="1" applyBorder="1" applyAlignment="1" applyProtection="1">
      <alignment shrinkToFit="1"/>
      <protection hidden="1"/>
    </xf>
    <xf numFmtId="180" fontId="6" fillId="0" borderId="15" xfId="0" applyNumberFormat="1" applyFont="1" applyBorder="1" applyAlignment="1" applyProtection="1">
      <alignment shrinkToFit="1"/>
      <protection hidden="1"/>
    </xf>
    <xf numFmtId="0" fontId="7" fillId="5" borderId="9" xfId="0" applyFont="1" applyFill="1" applyBorder="1" applyAlignment="1" applyProtection="1">
      <alignment horizontal="center" shrinkToFit="1"/>
      <protection hidden="1"/>
    </xf>
    <xf numFmtId="180" fontId="5" fillId="0" borderId="16" xfId="0" applyNumberFormat="1" applyFont="1" applyBorder="1" applyAlignment="1" applyProtection="1">
      <alignment shrinkToFit="1"/>
      <protection hidden="1"/>
    </xf>
    <xf numFmtId="0" fontId="0" fillId="0" borderId="16" xfId="0" applyBorder="1" applyAlignment="1" applyProtection="1">
      <alignment horizontal="center" vertical="center" shrinkToFit="1"/>
      <protection hidden="1"/>
    </xf>
    <xf numFmtId="180" fontId="6" fillId="0" borderId="17" xfId="0" applyNumberFormat="1" applyFont="1" applyBorder="1" applyAlignment="1" applyProtection="1">
      <alignment shrinkToFit="1"/>
      <protection hidden="1"/>
    </xf>
    <xf numFmtId="180" fontId="7" fillId="0" borderId="18" xfId="0" applyNumberFormat="1" applyFont="1" applyBorder="1" applyAlignment="1" applyProtection="1">
      <alignment shrinkToFit="1"/>
      <protection hidden="1"/>
    </xf>
    <xf numFmtId="180" fontId="6" fillId="0" borderId="18" xfId="0" applyNumberFormat="1" applyFont="1" applyBorder="1" applyAlignment="1" applyProtection="1">
      <alignment shrinkToFit="1"/>
      <protection hidden="1"/>
    </xf>
    <xf numFmtId="180" fontId="5" fillId="0" borderId="19" xfId="0" applyNumberFormat="1" applyFont="1" applyBorder="1" applyAlignment="1" applyProtection="1">
      <alignment shrinkToFit="1"/>
      <protection hidden="1"/>
    </xf>
    <xf numFmtId="0" fontId="0" fillId="0" borderId="19" xfId="0" applyBorder="1" applyAlignment="1" applyProtection="1">
      <alignment horizontal="center" vertical="center" shrinkToFit="1"/>
      <protection hidden="1"/>
    </xf>
    <xf numFmtId="0" fontId="4" fillId="0" borderId="0" xfId="0" applyFont="1" applyAlignment="1" applyProtection="1">
      <protection hidden="1"/>
    </xf>
    <xf numFmtId="181" fontId="4" fillId="0" borderId="0" xfId="0" applyNumberFormat="1" applyFont="1" applyProtection="1">
      <alignment vertical="center"/>
      <protection hidden="1"/>
    </xf>
    <xf numFmtId="182" fontId="4" fillId="0" borderId="0" xfId="0" applyNumberFormat="1" applyFont="1" applyAlignment="1" applyProtection="1">
      <protection hidden="1"/>
    </xf>
    <xf numFmtId="0" fontId="4" fillId="0" borderId="0" xfId="0" applyFont="1" applyAlignment="1" applyProtection="1">
      <alignment horizontal="center"/>
      <protection hidden="1"/>
    </xf>
    <xf numFmtId="182" fontId="4" fillId="0" borderId="0" xfId="0" applyNumberFormat="1" applyFont="1" applyAlignment="1"/>
    <xf numFmtId="0" fontId="7" fillId="0" borderId="18" xfId="0" applyFont="1" applyBorder="1" applyAlignment="1" applyProtection="1">
      <alignment shrinkToFit="1"/>
      <protection hidden="1"/>
    </xf>
    <xf numFmtId="0" fontId="5" fillId="4" borderId="20" xfId="0" applyFont="1" applyFill="1" applyBorder="1" applyAlignment="1" applyProtection="1">
      <alignment horizontal="center" vertical="center"/>
      <protection hidden="1"/>
    </xf>
    <xf numFmtId="180" fontId="6" fillId="0" borderId="21" xfId="0" applyNumberFormat="1" applyFont="1" applyBorder="1" applyAlignment="1" applyProtection="1">
      <alignment shrinkToFit="1"/>
      <protection hidden="1"/>
    </xf>
    <xf numFmtId="0" fontId="5" fillId="4" borderId="22" xfId="0" applyFont="1" applyFill="1" applyBorder="1" applyAlignment="1" applyProtection="1">
      <alignment horizontal="center" vertical="center"/>
      <protection hidden="1"/>
    </xf>
    <xf numFmtId="180" fontId="7" fillId="0" borderId="23" xfId="0" applyNumberFormat="1" applyFont="1" applyBorder="1" applyAlignment="1" applyProtection="1">
      <alignment shrinkToFit="1"/>
      <protection hidden="1"/>
    </xf>
    <xf numFmtId="0" fontId="0" fillId="0" borderId="0" xfId="0" applyAlignment="1" applyProtection="1">
      <protection hidden="1"/>
    </xf>
    <xf numFmtId="180" fontId="7" fillId="0" borderId="24" xfId="0" applyNumberFormat="1" applyFont="1" applyBorder="1" applyAlignment="1" applyProtection="1">
      <alignment shrinkToFit="1"/>
      <protection hidden="1"/>
    </xf>
    <xf numFmtId="181" fontId="4" fillId="0" borderId="0" xfId="0" applyNumberFormat="1" applyFont="1">
      <alignment vertical="center"/>
    </xf>
    <xf numFmtId="0" fontId="0" fillId="0" borderId="1" xfId="0" applyBorder="1" applyProtection="1">
      <alignment vertical="center"/>
      <protection hidden="1"/>
    </xf>
    <xf numFmtId="0" fontId="0" fillId="0" borderId="2" xfId="0" applyBorder="1" applyProtection="1">
      <alignment vertical="center"/>
      <protection hidden="1"/>
    </xf>
    <xf numFmtId="0" fontId="0" fillId="0" borderId="5" xfId="0" applyBorder="1" applyProtection="1">
      <alignment vertical="center"/>
      <protection hidden="1"/>
    </xf>
    <xf numFmtId="0" fontId="8" fillId="2" borderId="25" xfId="0" applyFont="1" applyFill="1" applyBorder="1" applyProtection="1">
      <alignment vertical="center"/>
      <protection hidden="1"/>
    </xf>
    <xf numFmtId="0" fontId="8" fillId="2" borderId="0" xfId="0" applyFont="1" applyFill="1" applyProtection="1">
      <alignment vertical="center"/>
      <protection hidden="1"/>
    </xf>
    <xf numFmtId="183" fontId="0" fillId="0" borderId="0" xfId="0" applyNumberFormat="1" applyFont="1" applyProtection="1">
      <alignment vertical="center"/>
      <protection hidden="1"/>
    </xf>
    <xf numFmtId="0" fontId="0" fillId="0" borderId="0" xfId="0" applyAlignment="1" applyProtection="1">
      <alignment vertical="center" textRotation="255"/>
      <protection hidden="1"/>
    </xf>
    <xf numFmtId="0" fontId="9" fillId="0" borderId="26" xfId="0" applyFont="1" applyBorder="1" applyProtection="1">
      <alignment vertical="center"/>
      <protection hidden="1"/>
    </xf>
    <xf numFmtId="38" fontId="10" fillId="0" borderId="27" xfId="0" applyNumberFormat="1" applyFont="1" applyBorder="1" applyProtection="1">
      <alignment vertical="center"/>
      <protection hidden="1"/>
    </xf>
    <xf numFmtId="38" fontId="0" fillId="0" borderId="28" xfId="0" applyNumberFormat="1" applyBorder="1" applyProtection="1">
      <alignment vertical="center"/>
      <protection hidden="1"/>
    </xf>
    <xf numFmtId="0" fontId="11" fillId="7" borderId="29" xfId="0" applyFont="1" applyFill="1" applyBorder="1" applyAlignment="1" applyProtection="1">
      <alignment horizontal="center" vertical="center"/>
      <protection hidden="1"/>
    </xf>
    <xf numFmtId="0" fontId="11" fillId="7" borderId="27" xfId="0" applyFont="1" applyFill="1" applyBorder="1" applyAlignment="1" applyProtection="1">
      <alignment horizontal="center" vertical="center"/>
      <protection hidden="1"/>
    </xf>
    <xf numFmtId="0" fontId="11" fillId="7" borderId="28" xfId="0" applyFont="1" applyFill="1" applyBorder="1" applyAlignment="1" applyProtection="1">
      <alignment horizontal="center" vertical="center"/>
      <protection hidden="1"/>
    </xf>
    <xf numFmtId="0" fontId="12" fillId="7" borderId="30" xfId="0" applyFont="1" applyFill="1" applyBorder="1" applyAlignment="1" applyProtection="1">
      <alignment shrinkToFit="1"/>
      <protection hidden="1"/>
    </xf>
    <xf numFmtId="0" fontId="13" fillId="7" borderId="31" xfId="0" applyFont="1" applyFill="1" applyBorder="1" applyAlignment="1" applyProtection="1">
      <alignment horizontal="center" shrinkToFit="1"/>
      <protection hidden="1"/>
    </xf>
    <xf numFmtId="0" fontId="11" fillId="7" borderId="32" xfId="0" applyFont="1" applyFill="1" applyBorder="1" applyProtection="1">
      <alignment vertical="center"/>
      <protection hidden="1"/>
    </xf>
    <xf numFmtId="0" fontId="14" fillId="8" borderId="33" xfId="0" applyFont="1" applyFill="1" applyBorder="1" applyAlignment="1" applyProtection="1">
      <alignment shrinkToFit="1"/>
      <protection hidden="1"/>
    </xf>
    <xf numFmtId="0" fontId="6" fillId="8" borderId="4" xfId="0" applyFont="1" applyFill="1" applyBorder="1" applyAlignment="1" applyProtection="1">
      <alignment shrinkToFit="1"/>
      <protection hidden="1"/>
    </xf>
    <xf numFmtId="0" fontId="6" fillId="7" borderId="34" xfId="0" applyFont="1" applyFill="1" applyBorder="1" applyAlignment="1" applyProtection="1">
      <alignment shrinkToFit="1"/>
      <protection hidden="1"/>
    </xf>
    <xf numFmtId="0" fontId="15" fillId="9" borderId="35" xfId="0" applyFont="1" applyFill="1" applyBorder="1" applyAlignment="1" applyProtection="1">
      <alignment shrinkToFit="1"/>
      <protection hidden="1"/>
    </xf>
    <xf numFmtId="184" fontId="14" fillId="2" borderId="36" xfId="0" applyNumberFormat="1" applyFont="1" applyFill="1" applyBorder="1" applyAlignment="1" applyProtection="1">
      <alignment shrinkToFit="1"/>
      <protection hidden="1"/>
    </xf>
    <xf numFmtId="180" fontId="16" fillId="10" borderId="16" xfId="0" applyNumberFormat="1" applyFont="1" applyFill="1" applyBorder="1" applyAlignment="1" applyProtection="1">
      <alignment shrinkToFit="1"/>
      <protection hidden="1"/>
    </xf>
    <xf numFmtId="0" fontId="13" fillId="8" borderId="37" xfId="0" applyFont="1" applyFill="1" applyBorder="1" applyAlignment="1" applyProtection="1">
      <alignment horizontal="center" shrinkToFit="1"/>
      <protection hidden="1"/>
    </xf>
    <xf numFmtId="0" fontId="13" fillId="8" borderId="38" xfId="0" applyFont="1" applyFill="1" applyBorder="1" applyAlignment="1" applyProtection="1">
      <alignment horizontal="center" shrinkToFit="1"/>
      <protection hidden="1"/>
    </xf>
    <xf numFmtId="0" fontId="13" fillId="8" borderId="39" xfId="0" applyFont="1" applyFill="1" applyBorder="1" applyAlignment="1" applyProtection="1">
      <alignment horizontal="center" shrinkToFit="1"/>
      <protection hidden="1"/>
    </xf>
    <xf numFmtId="0" fontId="6" fillId="9" borderId="35" xfId="0" applyFont="1" applyFill="1" applyBorder="1" applyAlignment="1" applyProtection="1">
      <alignment shrinkToFit="1"/>
      <protection hidden="1"/>
    </xf>
    <xf numFmtId="185" fontId="6" fillId="0" borderId="16" xfId="0" applyNumberFormat="1" applyFont="1" applyBorder="1" applyAlignment="1" applyProtection="1">
      <alignment shrinkToFit="1"/>
      <protection hidden="1"/>
    </xf>
    <xf numFmtId="0" fontId="17" fillId="9" borderId="40" xfId="0" applyFont="1" applyFill="1" applyBorder="1" applyAlignment="1" applyProtection="1">
      <alignment shrinkToFit="1"/>
      <protection hidden="1"/>
    </xf>
    <xf numFmtId="180" fontId="14" fillId="2" borderId="41" xfId="0" applyNumberFormat="1" applyFont="1" applyFill="1" applyBorder="1" applyAlignment="1" applyProtection="1">
      <alignment shrinkToFit="1"/>
      <protection hidden="1"/>
    </xf>
    <xf numFmtId="180" fontId="18" fillId="0" borderId="39" xfId="0" applyNumberFormat="1" applyFont="1" applyBorder="1" applyAlignment="1" applyProtection="1">
      <alignment shrinkToFit="1"/>
      <protection hidden="1"/>
    </xf>
    <xf numFmtId="180" fontId="7" fillId="0" borderId="16" xfId="0" applyNumberFormat="1" applyFont="1" applyBorder="1" applyAlignment="1" applyProtection="1">
      <alignment shrinkToFit="1"/>
      <protection hidden="1"/>
    </xf>
    <xf numFmtId="178" fontId="14" fillId="2" borderId="36" xfId="0" applyNumberFormat="1" applyFont="1" applyFill="1" applyBorder="1" applyAlignment="1" applyProtection="1">
      <alignment shrinkToFit="1"/>
      <protection hidden="1"/>
    </xf>
    <xf numFmtId="180" fontId="19" fillId="0" borderId="39" xfId="0" applyNumberFormat="1" applyFont="1" applyBorder="1" applyAlignment="1" applyProtection="1">
      <alignment shrinkToFit="1"/>
      <protection hidden="1"/>
    </xf>
    <xf numFmtId="184" fontId="14" fillId="2" borderId="36" xfId="0" applyNumberFormat="1" applyFont="1" applyFill="1" applyBorder="1" applyAlignment="1" applyProtection="1">
      <alignment horizontal="right" shrinkToFit="1"/>
      <protection hidden="1"/>
    </xf>
    <xf numFmtId="186" fontId="4" fillId="0" borderId="16" xfId="0" applyNumberFormat="1" applyFont="1" applyBorder="1" applyAlignment="1" applyProtection="1">
      <alignment shrinkToFit="1"/>
      <protection hidden="1"/>
    </xf>
    <xf numFmtId="186" fontId="16" fillId="0" borderId="16" xfId="0" applyNumberFormat="1" applyFont="1" applyBorder="1" applyAlignment="1" applyProtection="1">
      <alignment shrinkToFit="1"/>
      <protection hidden="1"/>
    </xf>
    <xf numFmtId="187" fontId="7" fillId="0" borderId="16" xfId="0" applyNumberFormat="1" applyFont="1" applyBorder="1" applyAlignment="1" applyProtection="1">
      <alignment shrinkToFit="1"/>
      <protection hidden="1"/>
    </xf>
    <xf numFmtId="0" fontId="14" fillId="0" borderId="39" xfId="0" applyFont="1" applyBorder="1" applyAlignment="1" applyProtection="1">
      <alignment shrinkToFit="1"/>
      <protection hidden="1"/>
    </xf>
    <xf numFmtId="0" fontId="14" fillId="10" borderId="37" xfId="0" applyFont="1" applyFill="1" applyBorder="1" applyAlignment="1" applyProtection="1">
      <alignment horizontal="center" shrinkToFit="1"/>
      <protection hidden="1"/>
    </xf>
    <xf numFmtId="180" fontId="14" fillId="11" borderId="38" xfId="0" applyNumberFormat="1" applyFont="1" applyFill="1" applyBorder="1" applyAlignment="1" applyProtection="1">
      <alignment shrinkToFit="1"/>
      <protection hidden="1"/>
    </xf>
    <xf numFmtId="180" fontId="14" fillId="11" borderId="17" xfId="0" applyNumberFormat="1" applyFont="1" applyFill="1" applyBorder="1" applyAlignment="1" applyProtection="1">
      <alignment shrinkToFit="1"/>
      <protection hidden="1"/>
    </xf>
    <xf numFmtId="180" fontId="16" fillId="0" borderId="16" xfId="0" applyNumberFormat="1" applyFont="1" applyBorder="1" applyAlignment="1" applyProtection="1">
      <alignment shrinkToFit="1"/>
      <protection hidden="1"/>
    </xf>
    <xf numFmtId="0" fontId="15" fillId="10" borderId="42" xfId="0" applyFont="1" applyFill="1" applyBorder="1" applyAlignment="1" applyProtection="1">
      <alignment horizontal="left" shrinkToFit="1"/>
      <protection hidden="1"/>
    </xf>
    <xf numFmtId="184" fontId="14" fillId="10" borderId="43" xfId="0" applyNumberFormat="1" applyFont="1" applyFill="1" applyBorder="1" applyAlignment="1" applyProtection="1">
      <alignment shrinkToFit="1"/>
      <protection hidden="1"/>
    </xf>
    <xf numFmtId="180" fontId="7" fillId="2" borderId="41" xfId="0" applyNumberFormat="1" applyFont="1" applyFill="1" applyBorder="1" applyAlignment="1" applyProtection="1">
      <alignment shrinkToFit="1"/>
      <protection hidden="1"/>
    </xf>
    <xf numFmtId="180" fontId="19" fillId="0" borderId="14" xfId="0" applyNumberFormat="1" applyFont="1" applyBorder="1" applyAlignment="1" applyProtection="1">
      <alignment shrinkToFit="1"/>
      <protection hidden="1"/>
    </xf>
    <xf numFmtId="0" fontId="13" fillId="8" borderId="7" xfId="0" applyFont="1" applyFill="1" applyBorder="1" applyAlignment="1" applyProtection="1">
      <alignment shrinkToFit="1"/>
      <protection hidden="1"/>
    </xf>
    <xf numFmtId="0" fontId="14" fillId="8" borderId="44" xfId="0" applyFont="1" applyFill="1" applyBorder="1" applyAlignment="1" applyProtection="1">
      <alignment shrinkToFit="1"/>
      <protection hidden="1"/>
    </xf>
    <xf numFmtId="0" fontId="20" fillId="8" borderId="45" xfId="0" applyFont="1" applyFill="1" applyBorder="1" applyAlignment="1" applyProtection="1">
      <alignment horizontal="center" shrinkToFit="1"/>
      <protection hidden="1"/>
    </xf>
    <xf numFmtId="0" fontId="20" fillId="8" borderId="1" xfId="0" applyFont="1" applyFill="1" applyBorder="1" applyAlignment="1" applyProtection="1">
      <alignment horizontal="center" shrinkToFit="1"/>
      <protection hidden="1"/>
    </xf>
    <xf numFmtId="178" fontId="16" fillId="0" borderId="16" xfId="0" applyNumberFormat="1" applyFont="1" applyBorder="1" applyAlignment="1" applyProtection="1">
      <alignment shrinkToFit="1"/>
      <protection hidden="1"/>
    </xf>
    <xf numFmtId="0" fontId="17" fillId="9" borderId="45" xfId="0" applyFont="1" applyFill="1" applyBorder="1" applyAlignment="1" applyProtection="1">
      <alignment shrinkToFit="1"/>
      <protection hidden="1"/>
    </xf>
    <xf numFmtId="180" fontId="14" fillId="2" borderId="1" xfId="0" applyNumberFormat="1" applyFont="1" applyFill="1" applyBorder="1" applyAlignment="1" applyProtection="1">
      <alignment shrinkToFit="1"/>
      <protection hidden="1"/>
    </xf>
    <xf numFmtId="180" fontId="21" fillId="0" borderId="16" xfId="0" applyNumberFormat="1" applyFont="1" applyBorder="1" applyAlignment="1" applyProtection="1">
      <alignment shrinkToFit="1"/>
      <protection hidden="1"/>
    </xf>
    <xf numFmtId="0" fontId="0" fillId="0" borderId="16" xfId="0" applyBorder="1" applyProtection="1">
      <alignment vertical="center"/>
      <protection hidden="1"/>
    </xf>
    <xf numFmtId="180" fontId="14" fillId="0" borderId="39" xfId="0" applyNumberFormat="1" applyFont="1" applyBorder="1" applyAlignment="1" applyProtection="1">
      <alignment shrinkToFit="1"/>
      <protection hidden="1"/>
    </xf>
    <xf numFmtId="0" fontId="14" fillId="11" borderId="46" xfId="0" applyFont="1" applyFill="1" applyBorder="1" applyAlignment="1" applyProtection="1">
      <alignment horizontal="center" shrinkToFit="1"/>
      <protection hidden="1"/>
    </xf>
    <xf numFmtId="180" fontId="14" fillId="11" borderId="47" xfId="0" applyNumberFormat="1" applyFont="1" applyFill="1" applyBorder="1" applyAlignment="1" applyProtection="1">
      <alignment shrinkToFit="1"/>
      <protection hidden="1"/>
    </xf>
    <xf numFmtId="180" fontId="14" fillId="11" borderId="48" xfId="0" applyNumberFormat="1" applyFont="1" applyFill="1" applyBorder="1" applyAlignment="1" applyProtection="1">
      <alignment shrinkToFit="1"/>
      <protection hidden="1"/>
    </xf>
    <xf numFmtId="0" fontId="13" fillId="8" borderId="1" xfId="0" applyFont="1" applyFill="1" applyBorder="1" applyAlignment="1" applyProtection="1">
      <alignment shrinkToFit="1"/>
      <protection hidden="1"/>
    </xf>
    <xf numFmtId="180" fontId="13" fillId="8" borderId="5" xfId="0" applyNumberFormat="1" applyFont="1" applyFill="1" applyBorder="1" applyAlignment="1" applyProtection="1">
      <alignment horizontal="center" shrinkToFit="1"/>
      <protection hidden="1"/>
    </xf>
    <xf numFmtId="180" fontId="13" fillId="8" borderId="3" xfId="0" applyNumberFormat="1" applyFont="1" applyFill="1" applyBorder="1" applyAlignment="1" applyProtection="1">
      <alignment horizontal="center" shrinkToFit="1"/>
      <protection hidden="1"/>
    </xf>
    <xf numFmtId="0" fontId="17" fillId="9" borderId="49" xfId="0" applyFont="1" applyFill="1" applyBorder="1" applyAlignment="1" applyProtection="1">
      <alignment shrinkToFit="1"/>
      <protection hidden="1"/>
    </xf>
    <xf numFmtId="180" fontId="14" fillId="0" borderId="50" xfId="0" applyNumberFormat="1" applyFont="1" applyBorder="1" applyAlignment="1" applyProtection="1">
      <alignment shrinkToFit="1"/>
      <protection hidden="1"/>
    </xf>
    <xf numFmtId="180" fontId="19" fillId="0" borderId="51" xfId="0" applyNumberFormat="1" applyFont="1" applyBorder="1" applyAlignment="1" applyProtection="1">
      <alignment shrinkToFit="1"/>
      <protection hidden="1"/>
    </xf>
    <xf numFmtId="0" fontId="17" fillId="9" borderId="35" xfId="0" applyFont="1" applyFill="1" applyBorder="1" applyAlignment="1" applyProtection="1">
      <alignment shrinkToFit="1"/>
      <protection hidden="1"/>
    </xf>
    <xf numFmtId="180" fontId="14" fillId="0" borderId="36" xfId="0" applyNumberFormat="1" applyFont="1" applyBorder="1" applyAlignment="1" applyProtection="1">
      <alignment shrinkToFit="1"/>
      <protection hidden="1"/>
    </xf>
    <xf numFmtId="0" fontId="14" fillId="11" borderId="37" xfId="0" applyFont="1" applyFill="1" applyBorder="1" applyAlignment="1" applyProtection="1">
      <alignment horizontal="center" shrinkToFit="1"/>
      <protection hidden="1"/>
    </xf>
    <xf numFmtId="0" fontId="14" fillId="0" borderId="4" xfId="0" applyFont="1" applyBorder="1" applyAlignment="1" applyProtection="1">
      <alignment horizontal="center" shrinkToFit="1"/>
      <protection hidden="1"/>
    </xf>
    <xf numFmtId="180" fontId="14" fillId="0" borderId="4" xfId="0" applyNumberFormat="1" applyFont="1" applyBorder="1" applyAlignment="1" applyProtection="1">
      <alignment shrinkToFit="1"/>
      <protection hidden="1"/>
    </xf>
    <xf numFmtId="0" fontId="22" fillId="10" borderId="52" xfId="0" applyFont="1" applyFill="1" applyBorder="1" applyAlignment="1" applyProtection="1">
      <alignment shrinkToFit="1"/>
      <protection hidden="1"/>
    </xf>
    <xf numFmtId="180" fontId="23" fillId="10" borderId="53" xfId="0" applyNumberFormat="1" applyFont="1" applyFill="1" applyBorder="1" applyProtection="1">
      <alignment vertical="center"/>
      <protection hidden="1"/>
    </xf>
    <xf numFmtId="180" fontId="23" fillId="10" borderId="19" xfId="0" applyNumberFormat="1" applyFont="1" applyFill="1" applyBorder="1" applyProtection="1">
      <alignment vertical="center"/>
      <protection hidden="1"/>
    </xf>
    <xf numFmtId="38" fontId="0" fillId="0" borderId="54" xfId="0" applyNumberFormat="1" applyBorder="1" applyProtection="1">
      <alignment vertical="center"/>
      <protection hidden="1"/>
    </xf>
    <xf numFmtId="178" fontId="8" fillId="0" borderId="54" xfId="0" applyNumberFormat="1" applyFont="1" applyBorder="1" applyProtection="1">
      <alignment vertical="center"/>
      <protection hidden="1"/>
    </xf>
    <xf numFmtId="0" fontId="14" fillId="8" borderId="55" xfId="0" applyFont="1" applyFill="1" applyBorder="1" applyAlignment="1" applyProtection="1">
      <alignment shrinkToFit="1"/>
      <protection hidden="1"/>
    </xf>
    <xf numFmtId="0" fontId="6" fillId="7" borderId="56" xfId="0" applyFont="1" applyFill="1" applyBorder="1" applyAlignment="1" applyProtection="1">
      <alignment shrinkToFit="1"/>
      <protection hidden="1"/>
    </xf>
    <xf numFmtId="0" fontId="6" fillId="8" borderId="32" xfId="0" applyFont="1" applyFill="1" applyBorder="1" applyAlignment="1" applyProtection="1">
      <alignment shrinkToFit="1"/>
      <protection hidden="1"/>
    </xf>
    <xf numFmtId="180" fontId="16" fillId="0" borderId="0" xfId="0" applyNumberFormat="1" applyFont="1" applyAlignment="1" applyProtection="1">
      <alignment shrinkToFit="1"/>
      <protection hidden="1"/>
    </xf>
    <xf numFmtId="0" fontId="14" fillId="8" borderId="57" xfId="0" applyFont="1" applyFill="1" applyBorder="1" applyAlignment="1" applyProtection="1">
      <alignment shrinkToFit="1"/>
      <protection hidden="1"/>
    </xf>
    <xf numFmtId="0" fontId="13" fillId="8" borderId="58" xfId="0" applyFont="1" applyFill="1" applyBorder="1" applyAlignment="1" applyProtection="1">
      <alignment horizontal="center" shrinkToFit="1"/>
      <protection hidden="1"/>
    </xf>
    <xf numFmtId="0" fontId="13" fillId="8" borderId="59" xfId="0" applyFont="1" applyFill="1" applyBorder="1" applyAlignment="1" applyProtection="1">
      <alignment horizontal="center" shrinkToFit="1"/>
      <protection hidden="1"/>
    </xf>
    <xf numFmtId="0" fontId="13" fillId="8" borderId="45" xfId="0" applyFont="1" applyFill="1" applyBorder="1" applyAlignment="1" applyProtection="1">
      <alignment horizontal="center" shrinkToFit="1"/>
      <protection hidden="1"/>
    </xf>
    <xf numFmtId="0" fontId="17" fillId="9" borderId="60" xfId="0" applyFont="1" applyFill="1" applyBorder="1" applyAlignment="1" applyProtection="1">
      <alignment shrinkToFit="1"/>
      <protection hidden="1"/>
    </xf>
    <xf numFmtId="180" fontId="14" fillId="0" borderId="41" xfId="0" applyNumberFormat="1" applyFont="1" applyBorder="1" applyAlignment="1" applyProtection="1">
      <alignment shrinkToFit="1"/>
      <protection hidden="1"/>
    </xf>
    <xf numFmtId="180" fontId="19" fillId="0" borderId="61" xfId="0" applyNumberFormat="1" applyFont="1" applyBorder="1" applyAlignment="1" applyProtection="1">
      <alignment shrinkToFit="1"/>
      <protection hidden="1"/>
    </xf>
    <xf numFmtId="180" fontId="18" fillId="0" borderId="61" xfId="0" applyNumberFormat="1" applyFont="1" applyBorder="1" applyAlignment="1" applyProtection="1">
      <alignment shrinkToFit="1"/>
      <protection hidden="1"/>
    </xf>
    <xf numFmtId="180" fontId="7" fillId="0" borderId="0" xfId="0" applyNumberFormat="1" applyFont="1" applyAlignment="1" applyProtection="1">
      <alignment shrinkToFit="1"/>
      <protection hidden="1"/>
    </xf>
    <xf numFmtId="187" fontId="7" fillId="0" borderId="0" xfId="0" applyNumberFormat="1" applyFont="1" applyAlignment="1" applyProtection="1">
      <alignment shrinkToFit="1"/>
      <protection hidden="1"/>
    </xf>
    <xf numFmtId="185" fontId="4" fillId="0" borderId="0" xfId="0" applyNumberFormat="1" applyFont="1" applyAlignment="1" applyProtection="1">
      <alignment shrinkToFit="1"/>
      <protection hidden="1"/>
    </xf>
    <xf numFmtId="178" fontId="7" fillId="0" borderId="0" xfId="0" applyNumberFormat="1" applyFont="1" applyAlignment="1" applyProtection="1">
      <alignment shrinkToFit="1"/>
      <protection hidden="1"/>
    </xf>
    <xf numFmtId="0" fontId="14" fillId="8" borderId="62" xfId="0" applyFont="1" applyFill="1" applyBorder="1" applyAlignment="1" applyProtection="1">
      <alignment shrinkToFit="1"/>
      <protection hidden="1"/>
    </xf>
    <xf numFmtId="0" fontId="14" fillId="8" borderId="0" xfId="0" applyFont="1" applyFill="1" applyAlignment="1" applyProtection="1">
      <alignment shrinkToFit="1"/>
      <protection hidden="1"/>
    </xf>
    <xf numFmtId="0" fontId="14" fillId="8" borderId="63" xfId="0" applyFont="1" applyFill="1" applyBorder="1" applyAlignment="1" applyProtection="1">
      <alignment shrinkToFit="1"/>
      <protection hidden="1"/>
    </xf>
    <xf numFmtId="178" fontId="18" fillId="0" borderId="61" xfId="0" applyNumberFormat="1" applyFont="1" applyBorder="1" applyAlignment="1" applyProtection="1">
      <alignment shrinkToFit="1"/>
      <protection hidden="1"/>
    </xf>
    <xf numFmtId="0" fontId="8" fillId="0" borderId="61" xfId="0" applyFont="1" applyBorder="1" applyProtection="1">
      <alignment vertical="center"/>
      <protection hidden="1"/>
    </xf>
    <xf numFmtId="0" fontId="14" fillId="11" borderId="58" xfId="0" applyFont="1" applyFill="1" applyBorder="1" applyAlignment="1" applyProtection="1">
      <alignment horizontal="center" shrinkToFit="1"/>
      <protection hidden="1"/>
    </xf>
    <xf numFmtId="180" fontId="14" fillId="11" borderId="59" xfId="0" applyNumberFormat="1" applyFont="1" applyFill="1" applyBorder="1" applyAlignment="1" applyProtection="1">
      <alignment shrinkToFit="1"/>
      <protection hidden="1"/>
    </xf>
    <xf numFmtId="0" fontId="13" fillId="8" borderId="64" xfId="0" applyFont="1" applyFill="1" applyBorder="1" applyAlignment="1" applyProtection="1">
      <alignment shrinkToFit="1"/>
      <protection hidden="1"/>
    </xf>
    <xf numFmtId="180" fontId="13" fillId="8" borderId="2" xfId="0" applyNumberFormat="1" applyFont="1" applyFill="1" applyBorder="1" applyAlignment="1" applyProtection="1">
      <alignment horizontal="center" shrinkToFit="1"/>
      <protection hidden="1"/>
    </xf>
    <xf numFmtId="180" fontId="13" fillId="8" borderId="65" xfId="0" applyNumberFormat="1" applyFont="1" applyFill="1" applyBorder="1" applyAlignment="1" applyProtection="1">
      <alignment shrinkToFit="1"/>
      <protection hidden="1"/>
    </xf>
    <xf numFmtId="180" fontId="14" fillId="0" borderId="1" xfId="0" applyNumberFormat="1" applyFont="1" applyBorder="1" applyAlignment="1" applyProtection="1">
      <alignment shrinkToFit="1"/>
      <protection hidden="1"/>
    </xf>
    <xf numFmtId="0" fontId="17" fillId="0" borderId="0" xfId="0" applyFont="1" applyAlignment="1" applyProtection="1">
      <alignment shrinkToFit="1"/>
      <protection hidden="1"/>
    </xf>
    <xf numFmtId="0" fontId="14" fillId="11" borderId="66" xfId="0" applyFont="1" applyFill="1" applyBorder="1" applyAlignment="1" applyProtection="1">
      <alignment horizontal="center" shrinkToFit="1"/>
      <protection hidden="1"/>
    </xf>
    <xf numFmtId="180" fontId="14" fillId="11" borderId="43" xfId="0" applyNumberFormat="1" applyFont="1" applyFill="1" applyBorder="1" applyAlignment="1" applyProtection="1">
      <alignment shrinkToFit="1"/>
      <protection hidden="1"/>
    </xf>
    <xf numFmtId="180" fontId="14" fillId="11" borderId="19" xfId="0" applyNumberFormat="1" applyFont="1" applyFill="1" applyBorder="1" applyAlignment="1" applyProtection="1">
      <alignment shrinkToFit="1"/>
      <protection hidden="1"/>
    </xf>
    <xf numFmtId="0" fontId="14" fillId="8" borderId="67" xfId="0" applyFont="1" applyFill="1" applyBorder="1" applyAlignment="1" applyProtection="1">
      <alignment shrinkToFit="1"/>
      <protection hidden="1"/>
    </xf>
    <xf numFmtId="0" fontId="14" fillId="8" borderId="68" xfId="0" applyFont="1" applyFill="1" applyBorder="1" applyAlignment="1" applyProtection="1">
      <alignment shrinkToFit="1"/>
      <protection hidden="1"/>
    </xf>
    <xf numFmtId="0" fontId="13" fillId="8" borderId="1" xfId="0" applyFont="1" applyFill="1" applyBorder="1" applyAlignment="1" applyProtection="1">
      <alignment horizontal="center" shrinkToFit="1"/>
      <protection hidden="1"/>
    </xf>
    <xf numFmtId="0" fontId="13" fillId="8" borderId="61" xfId="0" applyFont="1" applyFill="1" applyBorder="1" applyAlignment="1" applyProtection="1">
      <alignment horizontal="center" shrinkToFit="1"/>
      <protection hidden="1"/>
    </xf>
    <xf numFmtId="0" fontId="8" fillId="0" borderId="61" xfId="0" applyFont="1" applyBorder="1" applyAlignment="1" applyProtection="1">
      <protection hidden="1"/>
    </xf>
    <xf numFmtId="0" fontId="14" fillId="0" borderId="61" xfId="0" applyFont="1" applyBorder="1" applyAlignment="1" applyProtection="1">
      <alignment shrinkToFit="1"/>
      <protection hidden="1"/>
    </xf>
    <xf numFmtId="188" fontId="14" fillId="0" borderId="61" xfId="0" applyNumberFormat="1" applyFont="1" applyBorder="1" applyAlignment="1" applyProtection="1">
      <alignment horizontal="left" shrinkToFit="1"/>
      <protection hidden="1"/>
    </xf>
    <xf numFmtId="189" fontId="8" fillId="0" borderId="61" xfId="0" applyNumberFormat="1" applyFont="1" applyBorder="1" applyAlignment="1" applyProtection="1">
      <alignment horizontal="left" shrinkToFit="1"/>
      <protection hidden="1"/>
    </xf>
    <xf numFmtId="180" fontId="23" fillId="10" borderId="69" xfId="0" applyNumberFormat="1" applyFont="1" applyFill="1" applyBorder="1" applyProtection="1">
      <alignment vertical="center"/>
      <protection hidden="1"/>
    </xf>
    <xf numFmtId="0" fontId="17" fillId="0" borderId="0" xfId="0" applyFont="1" applyAlignment="1">
      <alignment shrinkToFit="1"/>
    </xf>
    <xf numFmtId="180" fontId="16" fillId="0" borderId="0" xfId="0" applyNumberFormat="1" applyFont="1" applyAlignment="1">
      <alignment shrinkToFit="1"/>
    </xf>
    <xf numFmtId="0" fontId="24" fillId="0" borderId="0" xfId="51"/>
    <xf numFmtId="0" fontId="25" fillId="12" borderId="0" xfId="51" applyFont="1" applyFill="1" applyProtection="1">
      <protection hidden="1"/>
    </xf>
    <xf numFmtId="0" fontId="24" fillId="12" borderId="0" xfId="51" applyFill="1" applyProtection="1">
      <protection hidden="1"/>
    </xf>
    <xf numFmtId="0" fontId="24" fillId="0" borderId="0" xfId="51" applyProtection="1">
      <protection hidden="1"/>
    </xf>
    <xf numFmtId="0" fontId="25" fillId="0" borderId="0" xfId="50" applyFont="1" applyProtection="1">
      <alignment vertical="center"/>
      <protection hidden="1"/>
    </xf>
    <xf numFmtId="190" fontId="0" fillId="0" borderId="54" xfId="50" applyNumberFormat="1" applyBorder="1" applyProtection="1">
      <alignment vertical="center"/>
      <protection hidden="1"/>
    </xf>
    <xf numFmtId="190" fontId="0" fillId="0" borderId="0" xfId="50" applyNumberFormat="1" applyProtection="1">
      <alignment vertical="center"/>
      <protection hidden="1"/>
    </xf>
    <xf numFmtId="0" fontId="0" fillId="0" borderId="0" xfId="50" applyProtection="1">
      <alignment vertical="center"/>
      <protection hidden="1"/>
    </xf>
    <xf numFmtId="0" fontId="24" fillId="0" borderId="0" xfId="51" applyAlignment="1" applyProtection="1">
      <alignment vertical="center"/>
      <protection hidden="1"/>
    </xf>
    <xf numFmtId="0" fontId="0" fillId="13" borderId="0" xfId="50" applyFill="1" applyProtection="1">
      <alignment vertical="center"/>
      <protection hidden="1"/>
    </xf>
    <xf numFmtId="190" fontId="9" fillId="13" borderId="0" xfId="51" applyNumberFormat="1" applyFont="1" applyFill="1" applyProtection="1">
      <protection hidden="1"/>
    </xf>
    <xf numFmtId="190" fontId="24" fillId="0" borderId="0" xfId="51" applyNumberFormat="1" applyProtection="1">
      <protection hidden="1"/>
    </xf>
    <xf numFmtId="190" fontId="26" fillId="13" borderId="0" xfId="51" applyNumberFormat="1" applyFont="1" applyFill="1" applyProtection="1">
      <protection hidden="1"/>
    </xf>
    <xf numFmtId="3" fontId="24" fillId="0" borderId="0" xfId="51" applyNumberFormat="1" applyProtection="1">
      <protection hidden="1"/>
    </xf>
    <xf numFmtId="38" fontId="0" fillId="0" borderId="0" xfId="49" applyFont="1" applyAlignment="1" applyProtection="1">
      <protection hidden="1"/>
    </xf>
    <xf numFmtId="38" fontId="24" fillId="0" borderId="0" xfId="51" applyNumberFormat="1" applyProtection="1">
      <protection hidden="1"/>
    </xf>
    <xf numFmtId="191" fontId="0" fillId="0" borderId="0" xfId="0" applyNumberFormat="1">
      <alignment vertical="center"/>
    </xf>
    <xf numFmtId="191" fontId="0" fillId="0" borderId="0" xfId="0" applyNumberFormat="1" applyProtection="1">
      <alignment vertical="center"/>
      <protection hidden="1"/>
    </xf>
    <xf numFmtId="0" fontId="27" fillId="0" borderId="0" xfId="0" applyFont="1" applyProtection="1">
      <alignment vertical="center"/>
      <protection hidden="1"/>
    </xf>
    <xf numFmtId="0" fontId="28" fillId="2" borderId="0" xfId="0" applyFont="1" applyFill="1" applyProtection="1">
      <alignment vertical="center"/>
      <protection hidden="1"/>
    </xf>
    <xf numFmtId="192" fontId="1" fillId="2" borderId="1" xfId="0" applyNumberFormat="1" applyFont="1" applyFill="1" applyBorder="1" applyProtection="1">
      <alignment vertical="center"/>
      <protection hidden="1"/>
    </xf>
    <xf numFmtId="192" fontId="1" fillId="2" borderId="2" xfId="0" applyNumberFormat="1" applyFont="1" applyFill="1" applyBorder="1" applyProtection="1">
      <alignment vertical="center"/>
      <protection hidden="1"/>
    </xf>
    <xf numFmtId="191" fontId="0" fillId="2" borderId="70" xfId="0" applyNumberFormat="1" applyFill="1" applyBorder="1" applyProtection="1">
      <alignment vertical="center"/>
      <protection hidden="1"/>
    </xf>
    <xf numFmtId="0" fontId="0" fillId="2" borderId="70" xfId="0" applyFill="1" applyBorder="1" applyProtection="1">
      <alignment vertical="center"/>
      <protection hidden="1"/>
    </xf>
    <xf numFmtId="191" fontId="6" fillId="2" borderId="3" xfId="0" applyNumberFormat="1" applyFont="1" applyFill="1" applyBorder="1" applyAlignment="1" applyProtection="1">
      <alignment shrinkToFit="1"/>
      <protection hidden="1"/>
    </xf>
    <xf numFmtId="191" fontId="6" fillId="9" borderId="3"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horizontal="center" shrinkToFit="1"/>
      <protection hidden="1"/>
    </xf>
    <xf numFmtId="191" fontId="15" fillId="0" borderId="72" xfId="0" applyNumberFormat="1" applyFont="1" applyFill="1" applyBorder="1" applyAlignment="1" applyProtection="1">
      <alignment vertical="center" shrinkToFit="1"/>
      <protection hidden="1"/>
    </xf>
    <xf numFmtId="38" fontId="29" fillId="9" borderId="73" xfId="0" applyNumberFormat="1" applyFont="1" applyFill="1" applyBorder="1" applyAlignment="1" applyProtection="1">
      <protection hidden="1"/>
    </xf>
    <xf numFmtId="38" fontId="29" fillId="0" borderId="74" xfId="0" applyNumberFormat="1" applyFont="1" applyBorder="1" applyAlignment="1" applyProtection="1">
      <protection hidden="1"/>
    </xf>
    <xf numFmtId="38" fontId="7" fillId="0" borderId="74" xfId="0" applyNumberFormat="1" applyFont="1" applyBorder="1" applyAlignment="1" applyProtection="1">
      <alignment shrinkToFit="1"/>
      <protection hidden="1"/>
    </xf>
    <xf numFmtId="38" fontId="29" fillId="0" borderId="41" xfId="0" applyNumberFormat="1" applyFont="1" applyBorder="1" applyAlignment="1" applyProtection="1">
      <alignment shrinkToFit="1"/>
      <protection hidden="1"/>
    </xf>
    <xf numFmtId="38" fontId="7" fillId="11" borderId="40" xfId="0" applyNumberFormat="1" applyFont="1" applyFill="1" applyBorder="1" applyAlignment="1" applyProtection="1">
      <alignment shrinkToFit="1"/>
      <protection hidden="1"/>
    </xf>
    <xf numFmtId="178" fontId="7" fillId="14" borderId="75" xfId="0" applyNumberFormat="1" applyFont="1" applyFill="1" applyBorder="1" applyAlignment="1" applyProtection="1">
      <alignment horizontal="right" shrinkToFit="1"/>
      <protection hidden="1"/>
    </xf>
    <xf numFmtId="38" fontId="29" fillId="9" borderId="76" xfId="0" applyNumberFormat="1" applyFont="1" applyFill="1" applyBorder="1" applyAlignment="1" applyProtection="1">
      <protection hidden="1"/>
    </xf>
    <xf numFmtId="38" fontId="29" fillId="0" borderId="77" xfId="0" applyNumberFormat="1" applyFont="1" applyBorder="1" applyAlignment="1" applyProtection="1">
      <protection hidden="1"/>
    </xf>
    <xf numFmtId="38" fontId="7" fillId="0" borderId="77" xfId="0" applyNumberFormat="1" applyFont="1" applyBorder="1" applyAlignment="1" applyProtection="1">
      <alignment shrinkToFit="1"/>
      <protection hidden="1"/>
    </xf>
    <xf numFmtId="38" fontId="29" fillId="0" borderId="36" xfId="0" applyNumberFormat="1" applyFont="1" applyBorder="1" applyAlignment="1" applyProtection="1">
      <alignment shrinkToFit="1"/>
      <protection hidden="1"/>
    </xf>
    <xf numFmtId="38" fontId="7" fillId="11" borderId="35" xfId="0" applyNumberFormat="1" applyFont="1" applyFill="1" applyBorder="1" applyAlignment="1" applyProtection="1">
      <alignment shrinkToFit="1"/>
      <protection hidden="1"/>
    </xf>
    <xf numFmtId="38" fontId="29" fillId="0" borderId="77" xfId="0" applyNumberFormat="1" applyFont="1" applyBorder="1" applyAlignment="1" applyProtection="1">
      <alignment shrinkToFit="1"/>
      <protection hidden="1"/>
    </xf>
    <xf numFmtId="38" fontId="29" fillId="9" borderId="78" xfId="0" applyNumberFormat="1" applyFont="1" applyFill="1" applyBorder="1" applyAlignment="1" applyProtection="1">
      <protection hidden="1"/>
    </xf>
    <xf numFmtId="38" fontId="29" fillId="0" borderId="79" xfId="0" applyNumberFormat="1" applyFont="1" applyBorder="1" applyAlignment="1" applyProtection="1">
      <alignment shrinkToFit="1"/>
      <protection hidden="1"/>
    </xf>
    <xf numFmtId="38" fontId="7" fillId="0" borderId="79" xfId="0" applyNumberFormat="1" applyFont="1" applyBorder="1" applyAlignment="1" applyProtection="1">
      <alignment shrinkToFit="1"/>
      <protection hidden="1"/>
    </xf>
    <xf numFmtId="38" fontId="29" fillId="0" borderId="47" xfId="0" applyNumberFormat="1" applyFont="1" applyBorder="1" applyAlignment="1" applyProtection="1">
      <alignment shrinkToFit="1"/>
      <protection hidden="1"/>
    </xf>
    <xf numFmtId="38" fontId="7" fillId="11" borderId="80" xfId="0" applyNumberFormat="1" applyFont="1" applyFill="1" applyBorder="1" applyAlignment="1" applyProtection="1">
      <alignment shrinkToFit="1"/>
      <protection hidden="1"/>
    </xf>
    <xf numFmtId="191" fontId="21" fillId="9" borderId="3" xfId="0" applyNumberFormat="1" applyFont="1" applyFill="1" applyBorder="1" applyAlignment="1" applyProtection="1">
      <alignment shrinkToFit="1"/>
      <protection hidden="1"/>
    </xf>
    <xf numFmtId="191" fontId="29" fillId="9" borderId="3" xfId="0" applyNumberFormat="1" applyFont="1" applyFill="1" applyBorder="1" applyAlignment="1" applyProtection="1">
      <alignment horizontal="left" vertical="center"/>
      <protection hidden="1"/>
    </xf>
    <xf numFmtId="191" fontId="29" fillId="9" borderId="3" xfId="0" applyNumberFormat="1" applyFont="1" applyFill="1" applyBorder="1" applyAlignment="1" applyProtection="1">
      <alignment horizontal="left" vertical="center" shrinkToFit="1"/>
      <protection hidden="1"/>
    </xf>
    <xf numFmtId="191" fontId="7" fillId="9" borderId="3" xfId="0" applyNumberFormat="1" applyFont="1" applyFill="1" applyBorder="1" applyAlignment="1" applyProtection="1">
      <alignment horizontal="left" vertical="center" shrinkToFit="1"/>
      <protection hidden="1"/>
    </xf>
    <xf numFmtId="178" fontId="7" fillId="9" borderId="3" xfId="0" applyNumberFormat="1" applyFont="1" applyFill="1" applyBorder="1" applyAlignment="1" applyProtection="1">
      <alignment shrinkToFit="1"/>
      <protection hidden="1"/>
    </xf>
    <xf numFmtId="38" fontId="6" fillId="9" borderId="12" xfId="0" applyNumberFormat="1" applyFont="1" applyFill="1" applyBorder="1" applyAlignment="1" applyProtection="1">
      <alignment horizontal="right" shrinkToFit="1"/>
      <protection hidden="1"/>
    </xf>
    <xf numFmtId="178" fontId="6" fillId="9" borderId="12" xfId="0" applyNumberFormat="1" applyFont="1" applyFill="1" applyBorder="1" applyAlignment="1" applyProtection="1">
      <alignment shrinkToFit="1"/>
      <protection hidden="1"/>
    </xf>
    <xf numFmtId="0" fontId="0" fillId="0" borderId="71" xfId="0" applyBorder="1" applyAlignment="1" applyProtection="1">
      <alignment shrinkToFit="1"/>
      <protection hidden="1"/>
    </xf>
    <xf numFmtId="38" fontId="0" fillId="0" borderId="71" xfId="0" applyNumberFormat="1" applyBorder="1" applyAlignment="1" applyProtection="1">
      <alignment horizontal="right" shrinkToFit="1"/>
      <protection hidden="1"/>
    </xf>
    <xf numFmtId="38" fontId="6" fillId="9" borderId="71" xfId="0" applyNumberFormat="1" applyFont="1" applyFill="1" applyBorder="1" applyAlignment="1" applyProtection="1">
      <alignment horizontal="right" shrinkToFit="1"/>
      <protection hidden="1"/>
    </xf>
    <xf numFmtId="191" fontId="6" fillId="9" borderId="81" xfId="0" applyNumberFormat="1" applyFont="1" applyFill="1" applyBorder="1" applyAlignment="1" applyProtection="1">
      <alignment horizontal="center" shrinkToFit="1"/>
      <protection hidden="1"/>
    </xf>
    <xf numFmtId="191" fontId="6" fillId="9" borderId="82"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shrinkToFit="1"/>
      <protection hidden="1"/>
    </xf>
    <xf numFmtId="191" fontId="6" fillId="9" borderId="1" xfId="0" applyNumberFormat="1" applyFont="1" applyFill="1" applyBorder="1" applyAlignment="1" applyProtection="1">
      <alignment shrinkToFit="1"/>
      <protection hidden="1"/>
    </xf>
    <xf numFmtId="193" fontId="0" fillId="2" borderId="2" xfId="0" applyNumberFormat="1" applyFill="1" applyBorder="1" applyAlignment="1" applyProtection="1">
      <alignment shrinkToFit="1"/>
      <protection hidden="1"/>
    </xf>
    <xf numFmtId="191" fontId="6" fillId="2" borderId="83" xfId="0" applyNumberFormat="1" applyFont="1" applyFill="1" applyBorder="1" applyAlignment="1" applyProtection="1">
      <alignment horizontal="right" shrinkToFit="1"/>
      <protection hidden="1"/>
    </xf>
    <xf numFmtId="194" fontId="6" fillId="2" borderId="84" xfId="0" applyNumberFormat="1" applyFont="1" applyFill="1" applyBorder="1" applyAlignment="1" applyProtection="1">
      <alignment shrinkToFit="1"/>
      <protection hidden="1"/>
    </xf>
    <xf numFmtId="10" fontId="30" fillId="9" borderId="85" xfId="0" applyNumberFormat="1" applyFont="1" applyFill="1" applyBorder="1" applyAlignment="1" applyProtection="1">
      <alignment shrinkToFit="1"/>
      <protection hidden="1"/>
    </xf>
    <xf numFmtId="191" fontId="6" fillId="9" borderId="18"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horizontal="center" shrinkToFit="1"/>
      <protection hidden="1"/>
    </xf>
    <xf numFmtId="191" fontId="6" fillId="9" borderId="40" xfId="0" applyNumberFormat="1" applyFont="1" applyFill="1" applyBorder="1" applyAlignment="1" applyProtection="1">
      <alignment horizontal="center" shrinkToFit="1"/>
      <protection hidden="1"/>
    </xf>
    <xf numFmtId="191" fontId="6" fillId="9" borderId="86" xfId="0" applyNumberFormat="1" applyFont="1" applyFill="1" applyBorder="1" applyAlignment="1" applyProtection="1">
      <alignment horizontal="center" shrinkToFit="1"/>
      <protection hidden="1"/>
    </xf>
    <xf numFmtId="191" fontId="31" fillId="9" borderId="11" xfId="0" applyNumberFormat="1" applyFont="1" applyFill="1" applyBorder="1" applyAlignment="1" applyProtection="1">
      <alignment shrinkToFit="1"/>
      <protection hidden="1"/>
    </xf>
    <xf numFmtId="191" fontId="6" fillId="9" borderId="35" xfId="0" applyNumberFormat="1" applyFont="1" applyFill="1" applyBorder="1" applyAlignment="1" applyProtection="1">
      <alignment horizontal="center" shrinkToFit="1"/>
      <protection hidden="1"/>
    </xf>
    <xf numFmtId="191" fontId="6" fillId="9" borderId="3" xfId="0" applyNumberFormat="1" applyFont="1" applyFill="1" applyBorder="1" applyAlignment="1" applyProtection="1">
      <alignment horizontal="center" shrinkToFit="1"/>
      <protection hidden="1"/>
    </xf>
    <xf numFmtId="195" fontId="6" fillId="9" borderId="37" xfId="0" applyNumberFormat="1" applyFont="1" applyFill="1" applyBorder="1" applyAlignment="1" applyProtection="1">
      <alignment horizontal="center" shrinkToFit="1"/>
      <protection hidden="1"/>
    </xf>
    <xf numFmtId="191" fontId="31" fillId="0" borderId="0" xfId="0" applyNumberFormat="1" applyFont="1" applyProtection="1">
      <alignment vertical="center"/>
      <protection hidden="1"/>
    </xf>
    <xf numFmtId="192" fontId="1" fillId="2" borderId="5" xfId="0" applyNumberFormat="1" applyFont="1" applyFill="1" applyBorder="1" applyProtection="1">
      <alignment vertical="center"/>
      <protection hidden="1"/>
    </xf>
    <xf numFmtId="192" fontId="0" fillId="0" borderId="87" xfId="0" applyNumberFormat="1" applyBorder="1" applyProtection="1">
      <alignment vertical="center"/>
      <protection hidden="1"/>
    </xf>
    <xf numFmtId="192" fontId="0" fillId="0" borderId="0" xfId="0" applyNumberFormat="1">
      <alignment vertical="center"/>
    </xf>
    <xf numFmtId="10" fontId="0" fillId="0" borderId="0" xfId="0" applyNumberFormat="1" applyProtection="1">
      <alignment vertical="center"/>
      <protection hidden="1"/>
    </xf>
    <xf numFmtId="0" fontId="14" fillId="8" borderId="88" xfId="0" applyFont="1" applyFill="1" applyBorder="1" applyAlignment="1" applyProtection="1">
      <alignment shrinkToFit="1"/>
      <protection hidden="1"/>
    </xf>
    <xf numFmtId="0" fontId="8" fillId="0" borderId="0" xfId="0" applyFont="1" applyProtection="1">
      <alignment vertical="center"/>
      <protection hidden="1"/>
    </xf>
    <xf numFmtId="0" fontId="14" fillId="8" borderId="1" xfId="0" applyFont="1" applyFill="1" applyBorder="1" applyAlignment="1" applyProtection="1">
      <alignment shrinkToFit="1"/>
      <protection hidden="1"/>
    </xf>
    <xf numFmtId="180" fontId="14" fillId="8" borderId="5" xfId="0" applyNumberFormat="1" applyFont="1" applyFill="1" applyBorder="1" applyAlignment="1" applyProtection="1">
      <alignment shrinkToFit="1"/>
      <protection hidden="1"/>
    </xf>
    <xf numFmtId="0" fontId="20" fillId="8" borderId="89" xfId="0" applyFont="1" applyFill="1" applyBorder="1" applyAlignment="1" applyProtection="1">
      <alignment horizontal="center" shrinkToFit="1"/>
      <protection hidden="1"/>
    </xf>
    <xf numFmtId="0" fontId="17" fillId="15" borderId="35" xfId="0" applyFont="1" applyFill="1" applyBorder="1" applyAlignment="1" applyProtection="1">
      <alignment shrinkToFit="1"/>
      <protection hidden="1"/>
    </xf>
    <xf numFmtId="180" fontId="14" fillId="0" borderId="82" xfId="0" applyNumberFormat="1" applyFont="1" applyBorder="1" applyAlignment="1" applyProtection="1">
      <alignment shrinkToFit="1"/>
      <protection hidden="1"/>
    </xf>
    <xf numFmtId="0" fontId="32" fillId="8" borderId="37" xfId="0" applyFont="1" applyFill="1" applyBorder="1" applyAlignment="1" applyProtection="1">
      <alignment horizontal="center" shrinkToFit="1"/>
      <protection hidden="1"/>
    </xf>
    <xf numFmtId="0" fontId="17" fillId="15" borderId="45" xfId="0" applyFont="1" applyFill="1" applyBorder="1" applyAlignment="1" applyProtection="1">
      <alignment shrinkToFit="1"/>
      <protection hidden="1"/>
    </xf>
    <xf numFmtId="180" fontId="14" fillId="0" borderId="89" xfId="0" applyNumberFormat="1" applyFont="1" applyBorder="1" applyAlignment="1" applyProtection="1">
      <alignment shrinkToFit="1"/>
      <protection hidden="1"/>
    </xf>
    <xf numFmtId="180" fontId="14" fillId="0" borderId="75" xfId="0" applyNumberFormat="1" applyFont="1" applyBorder="1" applyAlignment="1" applyProtection="1">
      <alignment shrinkToFit="1"/>
      <protection hidden="1"/>
    </xf>
    <xf numFmtId="0" fontId="17" fillId="2" borderId="40" xfId="0" applyFont="1" applyFill="1" applyBorder="1" applyAlignment="1" applyProtection="1">
      <alignment shrinkToFit="1"/>
      <protection hidden="1"/>
    </xf>
    <xf numFmtId="0" fontId="17" fillId="15" borderId="80" xfId="0" applyFont="1" applyFill="1" applyBorder="1" applyAlignment="1" applyProtection="1">
      <alignment shrinkToFit="1"/>
      <protection hidden="1"/>
    </xf>
    <xf numFmtId="0" fontId="17" fillId="2" borderId="35" xfId="0" applyFont="1" applyFill="1" applyBorder="1" applyAlignment="1" applyProtection="1">
      <alignment shrinkToFit="1"/>
      <protection hidden="1"/>
    </xf>
    <xf numFmtId="180" fontId="14" fillId="0" borderId="90" xfId="0" applyNumberFormat="1" applyFont="1" applyBorder="1" applyAlignment="1" applyProtection="1">
      <alignment shrinkToFit="1"/>
      <protection hidden="1"/>
    </xf>
    <xf numFmtId="180" fontId="14" fillId="11" borderId="84" xfId="0" applyNumberFormat="1" applyFont="1" applyFill="1" applyBorder="1" applyAlignment="1" applyProtection="1">
      <alignment shrinkToFit="1"/>
      <protection hidden="1"/>
    </xf>
    <xf numFmtId="0" fontId="17" fillId="15" borderId="37" xfId="0" applyFont="1" applyFill="1" applyBorder="1" applyAlignment="1" applyProtection="1">
      <alignment shrinkToFit="1"/>
      <protection hidden="1"/>
    </xf>
    <xf numFmtId="0" fontId="22" fillId="9" borderId="52" xfId="0" applyFont="1" applyFill="1" applyBorder="1" applyAlignment="1" applyProtection="1">
      <alignment shrinkToFit="1"/>
      <protection hidden="1"/>
    </xf>
    <xf numFmtId="180" fontId="23" fillId="9" borderId="91" xfId="0" applyNumberFormat="1" applyFont="1" applyFill="1" applyBorder="1" applyProtection="1">
      <alignment vertical="center"/>
      <protection hidden="1"/>
    </xf>
    <xf numFmtId="196" fontId="27" fillId="2" borderId="1" xfId="0" applyNumberFormat="1" applyFont="1" applyFill="1" applyBorder="1" applyProtection="1">
      <alignment vertical="center"/>
      <protection hidden="1"/>
    </xf>
    <xf numFmtId="196" fontId="0" fillId="2" borderId="2" xfId="0" applyNumberFormat="1" applyFill="1" applyBorder="1" applyProtection="1">
      <alignment vertical="center"/>
      <protection hidden="1"/>
    </xf>
    <xf numFmtId="196" fontId="0" fillId="2" borderId="5" xfId="0" applyNumberFormat="1" applyFill="1" applyBorder="1" applyProtection="1">
      <alignment vertical="center"/>
      <protection hidden="1"/>
    </xf>
    <xf numFmtId="0" fontId="6" fillId="8" borderId="0" xfId="0" applyFont="1" applyFill="1" applyAlignment="1" applyProtection="1">
      <alignment shrinkToFit="1"/>
      <protection hidden="1"/>
    </xf>
    <xf numFmtId="0" fontId="5" fillId="0" borderId="87" xfId="0" applyFont="1" applyBorder="1" applyAlignment="1" applyProtection="1">
      <protection hidden="1"/>
    </xf>
    <xf numFmtId="0" fontId="14" fillId="8" borderId="87" xfId="0" applyFont="1" applyFill="1" applyBorder="1" applyAlignment="1" applyProtection="1">
      <alignment shrinkToFit="1"/>
      <protection hidden="1"/>
    </xf>
    <xf numFmtId="0" fontId="6" fillId="0" borderId="87" xfId="0" applyFont="1" applyBorder="1" applyAlignment="1" applyProtection="1">
      <alignment shrinkToFit="1"/>
      <protection hidden="1"/>
    </xf>
    <xf numFmtId="0" fontId="6" fillId="0" borderId="0" xfId="0" applyFont="1" applyAlignment="1" applyProtection="1">
      <alignment shrinkToFit="1"/>
      <protection hidden="1"/>
    </xf>
    <xf numFmtId="0" fontId="32" fillId="8" borderId="38" xfId="0" applyFont="1" applyFill="1" applyBorder="1" applyAlignment="1" applyProtection="1">
      <alignment horizontal="center" shrinkToFit="1"/>
      <protection hidden="1"/>
    </xf>
    <xf numFmtId="0" fontId="32" fillId="8" borderId="80" xfId="0" applyFont="1" applyFill="1" applyBorder="1" applyAlignment="1" applyProtection="1">
      <alignment horizontal="center" shrinkToFit="1"/>
      <protection hidden="1"/>
    </xf>
    <xf numFmtId="0" fontId="32" fillId="0" borderId="87" xfId="0" applyFont="1" applyBorder="1" applyAlignment="1" applyProtection="1">
      <alignment horizontal="center" shrinkToFit="1"/>
      <protection hidden="1"/>
    </xf>
    <xf numFmtId="0" fontId="32" fillId="0" borderId="0" xfId="0" applyFont="1" applyAlignment="1" applyProtection="1">
      <alignment horizontal="center" shrinkToFit="1"/>
      <protection hidden="1"/>
    </xf>
    <xf numFmtId="0" fontId="17" fillId="0" borderId="12" xfId="0" applyFont="1" applyBorder="1" applyAlignment="1" applyProtection="1">
      <alignment shrinkToFit="1"/>
      <protection hidden="1"/>
    </xf>
    <xf numFmtId="180" fontId="14" fillId="2" borderId="36" xfId="0" applyNumberFormat="1" applyFont="1" applyFill="1" applyBorder="1" applyAlignment="1" applyProtection="1">
      <alignment shrinkToFit="1"/>
      <protection hidden="1"/>
    </xf>
    <xf numFmtId="0" fontId="17" fillId="0" borderId="72" xfId="0" applyFont="1" applyBorder="1" applyAlignment="1" applyProtection="1">
      <alignment shrinkToFit="1"/>
      <protection hidden="1"/>
    </xf>
    <xf numFmtId="180" fontId="14" fillId="0" borderId="47" xfId="0" applyNumberFormat="1" applyFont="1" applyBorder="1" applyAlignment="1" applyProtection="1">
      <alignment shrinkToFit="1"/>
      <protection hidden="1"/>
    </xf>
    <xf numFmtId="0" fontId="5" fillId="0" borderId="0" xfId="0" applyFont="1" applyAlignment="1" applyProtection="1">
      <protection hidden="1"/>
    </xf>
    <xf numFmtId="0" fontId="5" fillId="0" borderId="0" xfId="0" applyFont="1" applyAlignment="1" applyProtection="1">
      <alignment shrinkToFit="1"/>
      <protection hidden="1"/>
    </xf>
    <xf numFmtId="0" fontId="17" fillId="0" borderId="92" xfId="0" applyFont="1" applyBorder="1" applyAlignment="1" applyProtection="1">
      <alignment shrinkToFit="1"/>
      <protection hidden="1"/>
    </xf>
    <xf numFmtId="0" fontId="14" fillId="11" borderId="1" xfId="0" applyFont="1" applyFill="1" applyBorder="1" applyAlignment="1" applyProtection="1">
      <alignment horizontal="center" shrinkToFit="1"/>
      <protection hidden="1"/>
    </xf>
    <xf numFmtId="180" fontId="14" fillId="10" borderId="3" xfId="0" applyNumberFormat="1" applyFont="1" applyFill="1" applyBorder="1" applyAlignment="1" applyProtection="1">
      <alignment shrinkToFit="1"/>
      <protection hidden="1"/>
    </xf>
    <xf numFmtId="0" fontId="14" fillId="11" borderId="93" xfId="0" applyFont="1" applyFill="1" applyBorder="1" applyAlignment="1" applyProtection="1">
      <alignment horizontal="center" shrinkToFit="1"/>
      <protection hidden="1"/>
    </xf>
    <xf numFmtId="0" fontId="27" fillId="0" borderId="0" xfId="0" applyFont="1" applyAlignment="1" applyProtection="1">
      <alignment vertical="center"/>
      <protection hidden="1"/>
    </xf>
    <xf numFmtId="0" fontId="33" fillId="9" borderId="33" xfId="0" applyFont="1" applyFill="1" applyBorder="1" applyAlignment="1" applyProtection="1">
      <alignment shrinkToFit="1"/>
      <protection hidden="1"/>
    </xf>
    <xf numFmtId="0" fontId="34" fillId="9" borderId="4" xfId="0" applyFont="1" applyFill="1" applyBorder="1" applyAlignment="1" applyProtection="1">
      <alignment shrinkToFit="1"/>
      <protection hidden="1"/>
    </xf>
    <xf numFmtId="0" fontId="34" fillId="9" borderId="20" xfId="0" applyFont="1" applyFill="1" applyBorder="1" applyAlignment="1" applyProtection="1">
      <alignment shrinkToFit="1"/>
      <protection hidden="1"/>
    </xf>
    <xf numFmtId="0" fontId="32" fillId="9" borderId="37" xfId="0" applyFont="1" applyFill="1" applyBorder="1" applyAlignment="1" applyProtection="1">
      <alignment horizontal="center" shrinkToFit="1"/>
      <protection hidden="1"/>
    </xf>
    <xf numFmtId="0" fontId="32" fillId="9" borderId="94" xfId="0" applyFont="1" applyFill="1" applyBorder="1" applyAlignment="1" applyProtection="1">
      <alignment horizontal="center" shrinkToFit="1"/>
      <protection hidden="1"/>
    </xf>
    <xf numFmtId="0" fontId="32" fillId="9" borderId="84" xfId="0" applyFont="1" applyFill="1" applyBorder="1" applyAlignment="1" applyProtection="1">
      <alignment horizontal="center" shrinkToFit="1"/>
      <protection hidden="1"/>
    </xf>
    <xf numFmtId="0" fontId="6" fillId="9" borderId="40" xfId="0" applyFont="1" applyFill="1" applyBorder="1" applyAlignment="1" applyProtection="1">
      <alignment shrinkToFit="1"/>
      <protection hidden="1"/>
    </xf>
    <xf numFmtId="180" fontId="29" fillId="0" borderId="74" xfId="0" applyNumberFormat="1" applyFont="1" applyBorder="1" applyAlignment="1" applyProtection="1">
      <alignment shrinkToFit="1"/>
      <protection hidden="1"/>
    </xf>
    <xf numFmtId="0" fontId="29" fillId="0" borderId="74" xfId="0" applyFont="1" applyBorder="1" applyAlignment="1" applyProtection="1">
      <alignment shrinkToFit="1"/>
      <protection hidden="1"/>
    </xf>
    <xf numFmtId="180" fontId="7" fillId="2" borderId="82" xfId="0" applyNumberFormat="1" applyFont="1" applyFill="1" applyBorder="1" applyAlignment="1" applyProtection="1">
      <alignment shrinkToFit="1"/>
      <protection hidden="1"/>
    </xf>
    <xf numFmtId="180" fontId="29" fillId="0" borderId="77" xfId="0" applyNumberFormat="1" applyFont="1" applyBorder="1" applyAlignment="1" applyProtection="1">
      <alignment shrinkToFit="1"/>
      <protection hidden="1"/>
    </xf>
    <xf numFmtId="0" fontId="29" fillId="0" borderId="77" xfId="0" applyFont="1" applyBorder="1" applyAlignment="1" applyProtection="1">
      <alignment shrinkToFit="1"/>
      <protection hidden="1"/>
    </xf>
    <xf numFmtId="180" fontId="7" fillId="2" borderId="75" xfId="0" applyNumberFormat="1" applyFont="1" applyFill="1" applyBorder="1" applyAlignment="1" applyProtection="1">
      <alignment shrinkToFit="1"/>
      <protection hidden="1"/>
    </xf>
    <xf numFmtId="0" fontId="0" fillId="9" borderId="35" xfId="0" applyFill="1" applyBorder="1" applyAlignment="1" applyProtection="1">
      <alignment shrinkToFit="1"/>
      <protection hidden="1"/>
    </xf>
    <xf numFmtId="0" fontId="7" fillId="9" borderId="93" xfId="0" applyFont="1" applyFill="1" applyBorder="1" applyAlignment="1" applyProtection="1">
      <alignment horizontal="center" shrinkToFit="1"/>
      <protection hidden="1"/>
    </xf>
    <xf numFmtId="180" fontId="7" fillId="9" borderId="95" xfId="0" applyNumberFormat="1" applyFont="1" applyFill="1" applyBorder="1" applyAlignment="1" applyProtection="1">
      <alignment horizontal="right" shrinkToFit="1"/>
      <protection hidden="1"/>
    </xf>
    <xf numFmtId="0" fontId="35" fillId="9" borderId="79" xfId="0" applyFont="1" applyFill="1" applyBorder="1" applyAlignment="1" applyProtection="1">
      <alignment shrinkToFit="1"/>
      <protection hidden="1"/>
    </xf>
    <xf numFmtId="180" fontId="7" fillId="9" borderId="84" xfId="0" applyNumberFormat="1" applyFont="1" applyFill="1" applyBorder="1" applyAlignment="1" applyProtection="1">
      <alignment shrinkToFit="1"/>
      <protection hidden="1"/>
    </xf>
    <xf numFmtId="180" fontId="7" fillId="9" borderId="96" xfId="0" applyNumberFormat="1" applyFont="1" applyFill="1" applyBorder="1" applyAlignment="1" applyProtection="1">
      <alignment horizontal="right" shrinkToFit="1"/>
      <protection hidden="1"/>
    </xf>
    <xf numFmtId="0" fontId="35" fillId="15" borderId="54" xfId="0" applyFont="1" applyFill="1" applyBorder="1" applyAlignment="1" applyProtection="1">
      <alignment shrinkToFit="1"/>
      <protection hidden="1"/>
    </xf>
    <xf numFmtId="180" fontId="7" fillId="9" borderId="97" xfId="0" applyNumberFormat="1" applyFont="1" applyFill="1" applyBorder="1" applyAlignment="1" applyProtection="1">
      <alignment shrinkToFit="1"/>
      <protection hidden="1"/>
    </xf>
    <xf numFmtId="0" fontId="0" fillId="2" borderId="3" xfId="0" applyFill="1" applyBorder="1" applyProtection="1">
      <alignment vertical="center"/>
      <protection hidden="1"/>
    </xf>
    <xf numFmtId="0" fontId="0" fillId="2" borderId="3" xfId="0" applyFill="1" applyBorder="1" applyAlignment="1" applyProtection="1">
      <alignment horizontal="center" vertical="center"/>
      <protection hidden="1"/>
    </xf>
    <xf numFmtId="182" fontId="0" fillId="2" borderId="3" xfId="0" applyNumberFormat="1" applyFill="1" applyBorder="1" applyProtection="1">
      <alignment vertical="center"/>
      <protection hidden="1"/>
    </xf>
    <xf numFmtId="178" fontId="0" fillId="2" borderId="3" xfId="0" applyNumberFormat="1" applyFill="1" applyBorder="1" applyProtection="1">
      <alignment vertical="center"/>
      <protection hidden="1"/>
    </xf>
    <xf numFmtId="182" fontId="0" fillId="2" borderId="3" xfId="0" applyNumberFormat="1" applyFill="1" applyBorder="1" applyAlignment="1" applyProtection="1">
      <alignment horizontal="right" vertical="center"/>
      <protection hidden="1"/>
    </xf>
    <xf numFmtId="0" fontId="0" fillId="9" borderId="49" xfId="0" applyFill="1" applyBorder="1" applyAlignment="1" applyProtection="1">
      <alignment shrinkToFit="1"/>
      <protection hidden="1"/>
    </xf>
    <xf numFmtId="180" fontId="29" fillId="0" borderId="98" xfId="0" applyNumberFormat="1" applyFont="1" applyBorder="1" applyAlignment="1" applyProtection="1">
      <alignment shrinkToFit="1"/>
      <protection hidden="1"/>
    </xf>
    <xf numFmtId="0" fontId="29" fillId="0" borderId="98" xfId="0" applyFont="1" applyBorder="1" applyAlignment="1" applyProtection="1">
      <alignment shrinkToFit="1"/>
      <protection hidden="1"/>
    </xf>
    <xf numFmtId="180" fontId="7" fillId="2" borderId="99" xfId="0" applyNumberFormat="1" applyFont="1" applyFill="1" applyBorder="1" applyAlignment="1" applyProtection="1">
      <alignment shrinkToFit="1"/>
      <protection hidden="1"/>
    </xf>
    <xf numFmtId="180" fontId="7" fillId="2" borderId="90" xfId="0" applyNumberFormat="1" applyFont="1" applyFill="1" applyBorder="1" applyAlignment="1" applyProtection="1">
      <alignment shrinkToFit="1"/>
      <protection hidden="1"/>
    </xf>
    <xf numFmtId="0" fontId="14" fillId="8" borderId="7" xfId="0" applyFont="1" applyFill="1" applyBorder="1" applyAlignment="1" applyProtection="1">
      <alignment shrinkToFit="1"/>
      <protection hidden="1"/>
    </xf>
    <xf numFmtId="0" fontId="14" fillId="8" borderId="8" xfId="0" applyFont="1" applyFill="1" applyBorder="1" applyAlignment="1" applyProtection="1">
      <alignment shrinkToFit="1"/>
      <protection hidden="1"/>
    </xf>
    <xf numFmtId="0" fontId="17" fillId="2" borderId="15" xfId="0" applyFont="1" applyFill="1" applyBorder="1" applyAlignment="1" applyProtection="1">
      <alignment shrinkToFit="1"/>
      <protection hidden="1"/>
    </xf>
    <xf numFmtId="0" fontId="17" fillId="2" borderId="72" xfId="0" applyFont="1" applyFill="1" applyBorder="1" applyAlignment="1" applyProtection="1">
      <alignment shrinkToFit="1"/>
      <protection hidden="1"/>
    </xf>
    <xf numFmtId="0" fontId="14" fillId="10" borderId="1" xfId="0" applyFont="1" applyFill="1" applyBorder="1" applyAlignment="1" applyProtection="1">
      <alignment horizontal="center" shrinkToFit="1"/>
      <protection hidden="1"/>
    </xf>
    <xf numFmtId="0" fontId="14" fillId="10" borderId="93" xfId="0" applyFont="1" applyFill="1" applyBorder="1" applyAlignment="1" applyProtection="1">
      <alignment horizontal="center" shrinkToFit="1"/>
      <protection hidden="1"/>
    </xf>
    <xf numFmtId="0" fontId="27" fillId="0" borderId="0" xfId="0" applyFont="1">
      <alignment vertical="center"/>
    </xf>
    <xf numFmtId="0" fontId="6" fillId="8" borderId="20" xfId="0" applyFont="1" applyFill="1" applyBorder="1" applyAlignment="1" applyProtection="1">
      <alignment shrinkToFit="1"/>
      <protection hidden="1"/>
    </xf>
    <xf numFmtId="0" fontId="5" fillId="6" borderId="0" xfId="0" applyFont="1" applyFill="1" applyAlignment="1" applyProtection="1">
      <alignment shrinkToFit="1"/>
      <protection hidden="1"/>
    </xf>
    <xf numFmtId="0" fontId="6" fillId="0" borderId="0" xfId="0" applyFont="1" applyAlignment="1">
      <alignment shrinkToFit="1"/>
    </xf>
    <xf numFmtId="0" fontId="32" fillId="8" borderId="84" xfId="0" applyFont="1" applyFill="1" applyBorder="1" applyAlignment="1" applyProtection="1">
      <alignment horizontal="center" shrinkToFit="1"/>
      <protection hidden="1"/>
    </xf>
    <xf numFmtId="0" fontId="32" fillId="0" borderId="0" xfId="0" applyFont="1" applyAlignment="1">
      <alignment horizontal="center" shrinkToFit="1"/>
    </xf>
    <xf numFmtId="180" fontId="18" fillId="2" borderId="41" xfId="0" applyNumberFormat="1" applyFont="1" applyFill="1" applyBorder="1" applyAlignment="1" applyProtection="1">
      <alignment shrinkToFit="1"/>
      <protection hidden="1"/>
    </xf>
    <xf numFmtId="0" fontId="5" fillId="16" borderId="0" xfId="0" applyFont="1" applyFill="1" applyAlignment="1" applyProtection="1">
      <alignment shrinkToFit="1"/>
      <protection hidden="1"/>
    </xf>
    <xf numFmtId="180" fontId="7" fillId="0" borderId="0" xfId="0" applyNumberFormat="1" applyFont="1" applyAlignment="1">
      <alignment shrinkToFit="1"/>
    </xf>
    <xf numFmtId="180" fontId="18" fillId="2" borderId="36" xfId="0" applyNumberFormat="1" applyFont="1" applyFill="1" applyBorder="1" applyAlignment="1" applyProtection="1">
      <alignment shrinkToFit="1"/>
      <protection hidden="1"/>
    </xf>
    <xf numFmtId="0" fontId="17" fillId="15" borderId="72" xfId="0" applyFont="1" applyFill="1" applyBorder="1" applyAlignment="1" applyProtection="1">
      <alignment shrinkToFit="1"/>
      <protection hidden="1"/>
    </xf>
    <xf numFmtId="180" fontId="14" fillId="0" borderId="100" xfId="0" applyNumberFormat="1" applyFont="1" applyBorder="1" applyAlignment="1" applyProtection="1">
      <alignment shrinkToFit="1"/>
      <protection hidden="1"/>
    </xf>
    <xf numFmtId="0" fontId="17" fillId="15" borderId="18" xfId="0" applyFont="1" applyFill="1" applyBorder="1" applyAlignment="1" applyProtection="1">
      <alignment shrinkToFit="1"/>
      <protection hidden="1"/>
    </xf>
    <xf numFmtId="180" fontId="14" fillId="0" borderId="97" xfId="0" applyNumberFormat="1" applyFont="1" applyBorder="1" applyAlignment="1" applyProtection="1">
      <alignment shrinkToFit="1"/>
      <protection hidden="1"/>
    </xf>
    <xf numFmtId="180" fontId="14" fillId="0" borderId="92" xfId="0" applyNumberFormat="1" applyFont="1" applyBorder="1" applyAlignment="1" applyProtection="1">
      <alignment shrinkToFit="1"/>
      <protection hidden="1"/>
    </xf>
    <xf numFmtId="180" fontId="14" fillId="0" borderId="18" xfId="0" applyNumberFormat="1" applyFont="1" applyBorder="1" applyAlignment="1" applyProtection="1">
      <alignment shrinkToFit="1"/>
      <protection hidden="1"/>
    </xf>
    <xf numFmtId="180" fontId="36" fillId="10" borderId="3" xfId="0" applyNumberFormat="1" applyFont="1" applyFill="1" applyBorder="1" applyAlignment="1" applyProtection="1">
      <alignment shrinkToFit="1"/>
      <protection hidden="1"/>
    </xf>
    <xf numFmtId="0" fontId="36" fillId="10" borderId="3" xfId="0" applyFont="1" applyFill="1" applyBorder="1" applyAlignment="1" applyProtection="1">
      <alignment shrinkToFit="1"/>
      <protection hidden="1"/>
    </xf>
    <xf numFmtId="0" fontId="25" fillId="2" borderId="3" xfId="0" applyFont="1" applyFill="1" applyBorder="1" applyProtection="1">
      <alignment vertical="center"/>
      <protection hidden="1"/>
    </xf>
    <xf numFmtId="0" fontId="7" fillId="9" borderId="93" xfId="0" applyFont="1" applyFill="1" applyBorder="1" applyAlignment="1" applyProtection="1">
      <alignment horizontal="center" wrapText="1" shrinkToFit="1"/>
      <protection hidden="1"/>
    </xf>
    <xf numFmtId="0" fontId="37" fillId="9" borderId="101" xfId="0" applyFont="1" applyFill="1" applyBorder="1" applyProtection="1">
      <alignment vertical="center"/>
      <protection hidden="1"/>
    </xf>
    <xf numFmtId="196" fontId="38" fillId="2" borderId="55" xfId="0" applyNumberFormat="1" applyFont="1" applyFill="1" applyBorder="1" applyProtection="1">
      <alignment vertical="center"/>
      <protection hidden="1"/>
    </xf>
    <xf numFmtId="196" fontId="38" fillId="2" borderId="56" xfId="0" applyNumberFormat="1" applyFont="1" applyFill="1" applyBorder="1" applyProtection="1">
      <alignment vertical="center"/>
      <protection hidden="1"/>
    </xf>
    <xf numFmtId="196" fontId="38" fillId="2" borderId="32" xfId="0" applyNumberFormat="1" applyFont="1" applyFill="1" applyBorder="1" applyProtection="1">
      <alignment vertical="center"/>
      <protection hidden="1"/>
    </xf>
    <xf numFmtId="196" fontId="0" fillId="0" borderId="56" xfId="0" applyNumberFormat="1" applyBorder="1" applyProtection="1">
      <alignment vertical="center"/>
      <protection hidden="1"/>
    </xf>
    <xf numFmtId="196" fontId="38" fillId="2" borderId="102" xfId="0" applyNumberFormat="1" applyFont="1" applyFill="1" applyBorder="1" applyProtection="1">
      <alignment vertical="center"/>
      <protection hidden="1"/>
    </xf>
    <xf numFmtId="196" fontId="38" fillId="2" borderId="0" xfId="0" applyNumberFormat="1" applyFont="1" applyFill="1" applyProtection="1">
      <alignment vertical="center"/>
      <protection hidden="1"/>
    </xf>
    <xf numFmtId="196" fontId="38" fillId="2" borderId="63" xfId="0" applyNumberFormat="1" applyFont="1" applyFill="1" applyBorder="1" applyProtection="1">
      <alignment vertical="center"/>
      <protection hidden="1"/>
    </xf>
    <xf numFmtId="196" fontId="0" fillId="0" borderId="102" xfId="0" applyNumberFormat="1" applyBorder="1" applyProtection="1">
      <alignment vertical="center"/>
      <protection hidden="1"/>
    </xf>
    <xf numFmtId="196" fontId="0" fillId="0" borderId="0" xfId="0" applyNumberFormat="1" applyProtection="1">
      <alignment vertical="center"/>
      <protection hidden="1"/>
    </xf>
    <xf numFmtId="192" fontId="38" fillId="2" borderId="102" xfId="0" applyNumberFormat="1" applyFont="1" applyFill="1" applyBorder="1" applyProtection="1">
      <alignment vertical="center"/>
      <protection hidden="1"/>
    </xf>
    <xf numFmtId="192" fontId="38" fillId="2" borderId="0" xfId="0" applyNumberFormat="1" applyFont="1" applyFill="1" applyProtection="1">
      <alignment vertical="center"/>
      <protection hidden="1"/>
    </xf>
    <xf numFmtId="192" fontId="38" fillId="15" borderId="6" xfId="0" applyNumberFormat="1" applyFont="1" applyFill="1" applyBorder="1" applyAlignment="1" applyProtection="1">
      <alignment horizontal="right" vertical="center"/>
      <protection hidden="1"/>
    </xf>
    <xf numFmtId="192" fontId="38" fillId="0" borderId="6" xfId="0" applyNumberFormat="1" applyFont="1" applyBorder="1" applyProtection="1">
      <alignment vertical="center"/>
      <protection hidden="1"/>
    </xf>
    <xf numFmtId="192" fontId="38" fillId="15" borderId="9" xfId="0" applyNumberFormat="1" applyFont="1" applyFill="1" applyBorder="1" applyAlignment="1" applyProtection="1">
      <alignment horizontal="right" vertical="center"/>
      <protection hidden="1"/>
    </xf>
    <xf numFmtId="192" fontId="38" fillId="0" borderId="9" xfId="0" applyNumberFormat="1" applyFont="1" applyBorder="1" applyProtection="1">
      <alignment vertical="center"/>
      <protection hidden="1"/>
    </xf>
    <xf numFmtId="196" fontId="0" fillId="0" borderId="32" xfId="0" applyNumberFormat="1" applyBorder="1" applyProtection="1">
      <alignment vertical="center"/>
      <protection hidden="1"/>
    </xf>
    <xf numFmtId="196" fontId="0" fillId="0" borderId="63" xfId="0" applyNumberFormat="1" applyBorder="1" applyProtection="1">
      <alignment vertical="center"/>
      <protection hidden="1"/>
    </xf>
    <xf numFmtId="0" fontId="0" fillId="2" borderId="102" xfId="0" applyFill="1" applyBorder="1" applyProtection="1">
      <alignment vertical="center"/>
      <protection hidden="1"/>
    </xf>
    <xf numFmtId="178" fontId="0" fillId="2" borderId="63" xfId="0" applyNumberFormat="1" applyFill="1" applyBorder="1" applyProtection="1">
      <alignment vertical="center"/>
      <protection hidden="1"/>
    </xf>
    <xf numFmtId="192" fontId="38" fillId="2" borderId="62" xfId="0" applyNumberFormat="1" applyFont="1" applyFill="1" applyBorder="1" applyProtection="1">
      <alignment vertical="center"/>
      <protection hidden="1"/>
    </xf>
    <xf numFmtId="0" fontId="0" fillId="0" borderId="103" xfId="0" applyBorder="1" applyProtection="1">
      <alignment vertical="center"/>
      <protection hidden="1"/>
    </xf>
    <xf numFmtId="192" fontId="38" fillId="15" borderId="54" xfId="0" applyNumberFormat="1" applyFont="1" applyFill="1" applyBorder="1" applyProtection="1">
      <alignment vertical="center"/>
      <protection hidden="1"/>
    </xf>
    <xf numFmtId="0" fontId="0" fillId="0" borderId="102" xfId="0" applyBorder="1" applyProtection="1">
      <alignment vertical="center"/>
      <protection hidden="1"/>
    </xf>
    <xf numFmtId="0" fontId="0" fillId="0" borderId="63" xfId="0" applyBorder="1" applyProtection="1">
      <alignment vertical="center"/>
      <protection hidden="1"/>
    </xf>
    <xf numFmtId="197" fontId="38" fillId="2" borderId="55" xfId="0" applyNumberFormat="1" applyFont="1" applyFill="1" applyBorder="1" applyProtection="1">
      <alignment vertical="center"/>
      <protection hidden="1"/>
    </xf>
    <xf numFmtId="192" fontId="38" fillId="15" borderId="6" xfId="0" applyNumberFormat="1" applyFont="1" applyFill="1" applyBorder="1" applyProtection="1">
      <alignment vertical="center"/>
      <protection hidden="1"/>
    </xf>
    <xf numFmtId="0" fontId="0" fillId="0" borderId="26" xfId="0" applyBorder="1" applyProtection="1">
      <alignment vertical="center"/>
      <protection hidden="1"/>
    </xf>
    <xf numFmtId="0" fontId="0" fillId="0" borderId="104" xfId="0" applyBorder="1" applyProtection="1">
      <alignment vertical="center"/>
      <protection hidden="1"/>
    </xf>
    <xf numFmtId="192" fontId="38" fillId="15" borderId="105" xfId="0" applyNumberFormat="1" applyFont="1" applyFill="1" applyBorder="1" applyProtection="1">
      <alignment vertical="center"/>
      <protection hidden="1"/>
    </xf>
    <xf numFmtId="192" fontId="38" fillId="0" borderId="105" xfId="0" applyNumberFormat="1" applyFont="1" applyBorder="1" applyProtection="1">
      <alignment vertical="center"/>
      <protection hidden="1"/>
    </xf>
    <xf numFmtId="197" fontId="38" fillId="2" borderId="26" xfId="0" applyNumberFormat="1" applyFont="1" applyFill="1" applyBorder="1" applyProtection="1">
      <alignment vertical="center"/>
      <protection hidden="1"/>
    </xf>
    <xf numFmtId="192" fontId="38" fillId="15" borderId="9" xfId="0" applyNumberFormat="1" applyFont="1" applyFill="1" applyBorder="1" applyProtection="1">
      <alignment vertical="center"/>
      <protection hidden="1"/>
    </xf>
    <xf numFmtId="0" fontId="0" fillId="2" borderId="0" xfId="0" applyFill="1" applyAlignment="1" applyProtection="1">
      <alignment vertical="top" wrapText="1"/>
      <protection hidden="1"/>
    </xf>
    <xf numFmtId="0" fontId="0" fillId="2" borderId="0" xfId="0" applyFill="1" applyAlignment="1" applyProtection="1">
      <alignment vertical="top"/>
      <protection hidden="1"/>
    </xf>
    <xf numFmtId="0" fontId="39" fillId="0" borderId="54" xfId="0" applyFont="1" applyBorder="1" applyAlignment="1" applyProtection="1">
      <alignment horizontal="center" vertical="center"/>
      <protection hidden="1"/>
    </xf>
    <xf numFmtId="192" fontId="0" fillId="0" borderId="0" xfId="0" applyNumberFormat="1" applyProtection="1">
      <alignment vertical="center"/>
      <protection hidden="1"/>
    </xf>
    <xf numFmtId="192" fontId="40" fillId="2" borderId="55" xfId="0" applyNumberFormat="1" applyFont="1" applyFill="1" applyBorder="1" applyProtection="1">
      <alignment vertical="center"/>
      <protection hidden="1"/>
    </xf>
    <xf numFmtId="192" fontId="40" fillId="2" borderId="56" xfId="0" applyNumberFormat="1" applyFont="1" applyFill="1" applyBorder="1" applyProtection="1">
      <alignment vertical="center"/>
      <protection hidden="1"/>
    </xf>
    <xf numFmtId="192" fontId="40" fillId="2" borderId="32" xfId="0" applyNumberFormat="1" applyFont="1" applyFill="1" applyBorder="1" applyProtection="1">
      <alignment vertical="center"/>
      <protection hidden="1"/>
    </xf>
    <xf numFmtId="192" fontId="41" fillId="2" borderId="6" xfId="0" applyNumberFormat="1" applyFont="1" applyFill="1" applyBorder="1" applyAlignment="1" applyProtection="1">
      <alignment horizontal="center" vertical="center"/>
      <protection hidden="1"/>
    </xf>
    <xf numFmtId="192" fontId="40" fillId="2" borderId="102" xfId="0" applyNumberFormat="1" applyFont="1" applyFill="1" applyBorder="1" applyProtection="1">
      <alignment vertical="center"/>
      <protection hidden="1"/>
    </xf>
    <xf numFmtId="192" fontId="40" fillId="2" borderId="0" xfId="0" applyNumberFormat="1" applyFont="1" applyFill="1" applyProtection="1">
      <alignment vertical="center"/>
      <protection hidden="1"/>
    </xf>
    <xf numFmtId="192" fontId="40" fillId="2" borderId="63" xfId="0" applyNumberFormat="1" applyFont="1" applyFill="1" applyBorder="1" applyProtection="1">
      <alignment vertical="center"/>
      <protection hidden="1"/>
    </xf>
    <xf numFmtId="192" fontId="41" fillId="2" borderId="105" xfId="0" applyNumberFormat="1" applyFont="1" applyFill="1" applyBorder="1" applyAlignment="1" applyProtection="1">
      <alignment horizontal="center" vertical="center"/>
      <protection hidden="1"/>
    </xf>
    <xf numFmtId="178" fontId="38" fillId="2" borderId="63" xfId="0" applyNumberFormat="1" applyFont="1" applyFill="1" applyBorder="1" applyProtection="1">
      <alignment vertical="center"/>
      <protection hidden="1"/>
    </xf>
    <xf numFmtId="192" fontId="40" fillId="2" borderId="26" xfId="0" applyNumberFormat="1" applyFont="1" applyFill="1" applyBorder="1" applyProtection="1">
      <alignment vertical="center"/>
      <protection hidden="1"/>
    </xf>
    <xf numFmtId="192" fontId="40" fillId="2" borderId="101" xfId="0" applyNumberFormat="1" applyFont="1" applyFill="1" applyBorder="1" applyProtection="1">
      <alignment vertical="center"/>
      <protection hidden="1"/>
    </xf>
    <xf numFmtId="192" fontId="40" fillId="2" borderId="104" xfId="0" applyNumberFormat="1" applyFont="1" applyFill="1" applyBorder="1" applyProtection="1">
      <alignment vertical="center"/>
      <protection hidden="1"/>
    </xf>
    <xf numFmtId="192" fontId="41" fillId="2" borderId="9" xfId="0" applyNumberFormat="1" applyFont="1" applyFill="1" applyBorder="1" applyAlignment="1" applyProtection="1">
      <alignment horizontal="center" vertical="center"/>
      <protection hidden="1"/>
    </xf>
    <xf numFmtId="192" fontId="40" fillId="0" borderId="0" xfId="0" applyNumberFormat="1" applyFont="1" applyFill="1" applyBorder="1" applyProtection="1">
      <alignment vertical="center"/>
      <protection hidden="1"/>
    </xf>
    <xf numFmtId="192" fontId="41" fillId="0" borderId="0" xfId="0" applyNumberFormat="1" applyFont="1" applyFill="1" applyBorder="1" applyAlignment="1" applyProtection="1">
      <alignment horizontal="center" vertical="center"/>
      <protection hidden="1"/>
    </xf>
    <xf numFmtId="192" fontId="38" fillId="0" borderId="54" xfId="0" applyNumberFormat="1" applyFont="1" applyBorder="1" applyProtection="1">
      <alignment vertical="center"/>
      <protection hidden="1"/>
    </xf>
    <xf numFmtId="0" fontId="0" fillId="0" borderId="32" xfId="0" applyBorder="1" applyProtection="1">
      <alignment vertical="center"/>
      <protection hidden="1"/>
    </xf>
    <xf numFmtId="178" fontId="38" fillId="2" borderId="104" xfId="0" applyNumberFormat="1" applyFont="1" applyFill="1" applyBorder="1" applyProtection="1">
      <alignment vertical="center"/>
      <protection hidden="1"/>
    </xf>
    <xf numFmtId="0" fontId="42" fillId="0" borderId="0" xfId="0" applyFont="1" applyProtection="1">
      <alignment vertical="center"/>
      <protection hidden="1"/>
    </xf>
    <xf numFmtId="0" fontId="0" fillId="0" borderId="33" xfId="0" applyBorder="1" applyAlignment="1" applyProtection="1">
      <alignment vertical="top"/>
      <protection hidden="1"/>
    </xf>
    <xf numFmtId="0" fontId="0" fillId="0" borderId="87" xfId="0" applyBorder="1" applyAlignment="1" applyProtection="1">
      <alignment vertical="top"/>
      <protection hidden="1"/>
    </xf>
    <xf numFmtId="0" fontId="0" fillId="0" borderId="106" xfId="0" applyBorder="1" applyAlignment="1" applyProtection="1">
      <alignment vertical="top"/>
      <protection hidden="1"/>
    </xf>
    <xf numFmtId="0" fontId="0" fillId="0" borderId="70" xfId="0" applyBorder="1" applyAlignment="1" applyProtection="1">
      <alignment vertical="top"/>
      <protection hidden="1"/>
    </xf>
    <xf numFmtId="0" fontId="0" fillId="0" borderId="20" xfId="0" applyBorder="1" applyAlignment="1" applyProtection="1">
      <alignment vertical="top"/>
      <protection hidden="1"/>
    </xf>
    <xf numFmtId="0" fontId="0" fillId="0" borderId="107" xfId="0" applyBorder="1" applyAlignment="1" applyProtection="1">
      <alignment vertical="top"/>
      <protection hidden="1"/>
    </xf>
    <xf numFmtId="0" fontId="0" fillId="0" borderId="108" xfId="0" applyBorder="1" applyAlignment="1" applyProtection="1">
      <alignment vertical="top"/>
      <protection hidden="1"/>
    </xf>
    <xf numFmtId="0" fontId="43" fillId="2" borderId="54" xfId="0" applyFont="1" applyFill="1" applyBorder="1" applyAlignment="1" applyProtection="1">
      <alignment shrinkToFit="1"/>
      <protection hidden="1"/>
    </xf>
    <xf numFmtId="190" fontId="27" fillId="15" borderId="29" xfId="0" applyNumberFormat="1" applyFont="1" applyFill="1" applyBorder="1" applyProtection="1">
      <alignment vertical="center"/>
      <protection hidden="1"/>
    </xf>
    <xf numFmtId="0" fontId="0" fillId="15" borderId="27" xfId="0" applyFill="1" applyBorder="1" applyProtection="1">
      <alignment vertical="center"/>
      <protection hidden="1"/>
    </xf>
    <xf numFmtId="0" fontId="0" fillId="15" borderId="28" xfId="0" applyFill="1" applyBorder="1" applyProtection="1">
      <alignment vertical="center"/>
      <protection hidden="1"/>
    </xf>
    <xf numFmtId="0" fontId="38" fillId="2" borderId="54" xfId="0" applyFont="1" applyFill="1" applyBorder="1" applyProtection="1">
      <alignment vertical="center"/>
      <protection hidden="1"/>
    </xf>
    <xf numFmtId="0" fontId="44" fillId="2" borderId="54" xfId="0" applyFont="1" applyFill="1" applyBorder="1" applyAlignment="1" applyProtection="1">
      <alignment shrinkToFit="1"/>
      <protection hidden="1"/>
    </xf>
    <xf numFmtId="190" fontId="27" fillId="0" borderId="29" xfId="0" applyNumberFormat="1" applyFont="1" applyBorder="1" applyProtection="1">
      <alignment vertical="center"/>
      <protection hidden="1"/>
    </xf>
    <xf numFmtId="0" fontId="0" fillId="0" borderId="27" xfId="0" applyBorder="1" applyProtection="1">
      <alignment vertical="center"/>
      <protection hidden="1"/>
    </xf>
    <xf numFmtId="0" fontId="0" fillId="0" borderId="28" xfId="0" applyBorder="1" applyProtection="1">
      <alignment vertical="center"/>
      <protection hidden="1"/>
    </xf>
    <xf numFmtId="0" fontId="44" fillId="17" borderId="54" xfId="0" applyFont="1" applyFill="1" applyBorder="1" applyAlignment="1" applyProtection="1">
      <alignment shrinkToFit="1"/>
      <protection hidden="1"/>
    </xf>
    <xf numFmtId="0" fontId="43" fillId="17" borderId="54" xfId="0" applyFont="1" applyFill="1" applyBorder="1" applyAlignment="1" applyProtection="1">
      <alignment shrinkToFit="1"/>
      <protection hidden="1"/>
    </xf>
    <xf numFmtId="190" fontId="27" fillId="2" borderId="29" xfId="0" applyNumberFormat="1" applyFont="1" applyFill="1" applyBorder="1" applyProtection="1">
      <alignment vertical="center"/>
      <protection hidden="1"/>
    </xf>
    <xf numFmtId="0" fontId="0" fillId="2" borderId="27" xfId="0" applyFill="1" applyBorder="1" applyProtection="1">
      <alignment vertical="center"/>
      <protection hidden="1"/>
    </xf>
    <xf numFmtId="0" fontId="0" fillId="2" borderId="28" xfId="0" applyFill="1" applyBorder="1" applyProtection="1">
      <alignment vertical="center"/>
      <protection hidden="1"/>
    </xf>
    <xf numFmtId="0" fontId="44" fillId="0" borderId="56" xfId="0" applyFont="1" applyBorder="1" applyAlignment="1" applyProtection="1">
      <alignment shrinkToFit="1"/>
      <protection hidden="1"/>
    </xf>
    <xf numFmtId="190" fontId="27" fillId="0" borderId="56" xfId="0" applyNumberFormat="1" applyFont="1" applyBorder="1" applyProtection="1">
      <alignment vertical="center"/>
      <protection hidden="1"/>
    </xf>
    <xf numFmtId="0" fontId="0" fillId="0" borderId="56" xfId="0" applyBorder="1" applyProtection="1">
      <alignment vertical="center"/>
      <protection hidden="1"/>
    </xf>
    <xf numFmtId="0" fontId="45" fillId="0" borderId="56" xfId="0" applyFont="1" applyBorder="1" applyProtection="1">
      <alignment vertical="center"/>
      <protection hidden="1"/>
    </xf>
    <xf numFmtId="0" fontId="46" fillId="2" borderId="54" xfId="0" applyFont="1" applyFill="1" applyBorder="1" applyProtection="1">
      <alignment vertical="center"/>
      <protection hidden="1"/>
    </xf>
    <xf numFmtId="0" fontId="44" fillId="0" borderId="0" xfId="0" applyFont="1" applyAlignment="1" applyProtection="1">
      <alignment shrinkToFit="1"/>
      <protection hidden="1"/>
    </xf>
    <xf numFmtId="190" fontId="27" fillId="0" borderId="0" xfId="0" applyNumberFormat="1" applyFont="1" applyProtection="1">
      <alignment vertical="center"/>
      <protection hidden="1"/>
    </xf>
    <xf numFmtId="0" fontId="45" fillId="0" borderId="0" xfId="0" applyFont="1" applyProtection="1">
      <alignment vertical="center"/>
      <protection hidden="1"/>
    </xf>
    <xf numFmtId="0" fontId="43" fillId="0" borderId="0" xfId="0" applyFont="1" applyAlignment="1" applyProtection="1">
      <alignment shrinkToFit="1"/>
      <protection hidden="1"/>
    </xf>
    <xf numFmtId="190" fontId="27" fillId="0" borderId="0" xfId="0" applyNumberFormat="1" applyFont="1">
      <alignment vertical="center"/>
    </xf>
    <xf numFmtId="0" fontId="45" fillId="0" borderId="0" xfId="0" applyFont="1">
      <alignment vertical="center"/>
    </xf>
    <xf numFmtId="178" fontId="27" fillId="2" borderId="54" xfId="0" applyNumberFormat="1" applyFont="1" applyFill="1" applyBorder="1" applyProtection="1">
      <alignment vertical="center"/>
      <protection hidden="1"/>
    </xf>
    <xf numFmtId="0" fontId="0" fillId="0" borderId="54" xfId="0" applyBorder="1" applyProtection="1">
      <alignment vertical="center"/>
      <protection hidden="1"/>
    </xf>
    <xf numFmtId="196" fontId="0" fillId="2" borderId="56" xfId="0" applyNumberFormat="1" applyFill="1" applyBorder="1" applyProtection="1">
      <alignment vertical="center"/>
      <protection hidden="1"/>
    </xf>
    <xf numFmtId="196" fontId="0" fillId="2" borderId="32" xfId="0" applyNumberFormat="1" applyFill="1" applyBorder="1" applyProtection="1">
      <alignment vertical="center"/>
      <protection hidden="1"/>
    </xf>
    <xf numFmtId="198" fontId="38" fillId="2" borderId="55" xfId="0" applyNumberFormat="1" applyFont="1" applyFill="1" applyBorder="1" applyProtection="1">
      <alignment vertical="center"/>
      <protection hidden="1"/>
    </xf>
    <xf numFmtId="198" fontId="38" fillId="2" borderId="56" xfId="0" applyNumberFormat="1" applyFont="1" applyFill="1" applyBorder="1" applyProtection="1">
      <alignment vertical="center"/>
      <protection hidden="1"/>
    </xf>
    <xf numFmtId="196" fontId="0" fillId="2" borderId="102" xfId="0" applyNumberFormat="1" applyFill="1" applyBorder="1" applyProtection="1">
      <alignment vertical="center"/>
      <protection hidden="1"/>
    </xf>
    <xf numFmtId="196" fontId="0" fillId="2" borderId="0" xfId="0" applyNumberFormat="1" applyFill="1" applyProtection="1">
      <alignment vertical="center"/>
      <protection hidden="1"/>
    </xf>
    <xf numFmtId="196" fontId="0" fillId="2" borderId="63" xfId="0" applyNumberFormat="1" applyFill="1" applyBorder="1" applyProtection="1">
      <alignment vertical="center"/>
      <protection hidden="1"/>
    </xf>
    <xf numFmtId="198" fontId="38" fillId="2" borderId="102" xfId="0" applyNumberFormat="1" applyFont="1" applyFill="1" applyBorder="1" applyProtection="1">
      <alignment vertical="center"/>
      <protection hidden="1"/>
    </xf>
    <xf numFmtId="198" fontId="38" fillId="2" borderId="0" xfId="0" applyNumberFormat="1" applyFont="1" applyFill="1" applyProtection="1">
      <alignment vertical="center"/>
      <protection hidden="1"/>
    </xf>
    <xf numFmtId="198" fontId="38" fillId="2" borderId="26" xfId="0" applyNumberFormat="1" applyFont="1" applyFill="1" applyBorder="1" applyProtection="1">
      <alignment vertical="center"/>
      <protection hidden="1"/>
    </xf>
    <xf numFmtId="198" fontId="38" fillId="2" borderId="101" xfId="0" applyNumberFormat="1" applyFont="1" applyFill="1" applyBorder="1" applyProtection="1">
      <alignment vertical="center"/>
      <protection hidden="1"/>
    </xf>
    <xf numFmtId="191" fontId="38" fillId="2" borderId="55" xfId="0" applyNumberFormat="1" applyFont="1" applyFill="1" applyBorder="1" applyProtection="1">
      <alignment vertical="center"/>
      <protection hidden="1"/>
    </xf>
    <xf numFmtId="191" fontId="0" fillId="2" borderId="56" xfId="0" applyNumberFormat="1" applyFill="1" applyBorder="1" applyProtection="1">
      <alignment vertical="center"/>
      <protection hidden="1"/>
    </xf>
    <xf numFmtId="191" fontId="0" fillId="2" borderId="32" xfId="0" applyNumberFormat="1" applyFill="1" applyBorder="1" applyProtection="1">
      <alignment vertical="center"/>
      <protection hidden="1"/>
    </xf>
    <xf numFmtId="198" fontId="38" fillId="2" borderId="54" xfId="0" applyNumberFormat="1" applyFont="1" applyFill="1" applyBorder="1" applyProtection="1">
      <alignment vertical="center"/>
      <protection hidden="1"/>
    </xf>
    <xf numFmtId="191" fontId="0" fillId="2" borderId="102" xfId="0" applyNumberFormat="1" applyFill="1" applyBorder="1" applyProtection="1">
      <alignment vertical="center"/>
      <protection hidden="1"/>
    </xf>
    <xf numFmtId="191" fontId="0" fillId="2" borderId="0" xfId="0" applyNumberFormat="1" applyFill="1" applyProtection="1">
      <alignment vertical="center"/>
      <protection hidden="1"/>
    </xf>
    <xf numFmtId="191" fontId="0" fillId="2" borderId="63" xfId="0" applyNumberFormat="1" applyFill="1" applyBorder="1" applyProtection="1">
      <alignment vertical="center"/>
      <protection hidden="1"/>
    </xf>
    <xf numFmtId="191" fontId="0" fillId="2" borderId="26" xfId="0" applyNumberFormat="1" applyFill="1" applyBorder="1" applyProtection="1">
      <alignment vertical="center"/>
      <protection hidden="1"/>
    </xf>
    <xf numFmtId="191" fontId="0" fillId="2" borderId="101" xfId="0" applyNumberFormat="1" applyFill="1" applyBorder="1" applyProtection="1">
      <alignment vertical="center"/>
      <protection hidden="1"/>
    </xf>
    <xf numFmtId="191" fontId="0" fillId="2" borderId="104" xfId="0" applyNumberFormat="1" applyFill="1" applyBorder="1" applyProtection="1">
      <alignment vertical="center"/>
      <protection hidden="1"/>
    </xf>
    <xf numFmtId="0" fontId="25" fillId="0" borderId="33" xfId="0" applyFont="1" applyBorder="1" applyAlignment="1" applyProtection="1">
      <alignment vertical="top"/>
      <protection hidden="1"/>
    </xf>
    <xf numFmtId="198" fontId="38" fillId="2" borderId="32" xfId="0" applyNumberFormat="1" applyFont="1" applyFill="1" applyBorder="1" applyProtection="1">
      <alignment vertical="center"/>
      <protection hidden="1"/>
    </xf>
    <xf numFmtId="0" fontId="40" fillId="0" borderId="55" xfId="0" applyFont="1" applyBorder="1" applyProtection="1">
      <alignment vertical="center"/>
      <protection hidden="1"/>
    </xf>
    <xf numFmtId="0" fontId="40" fillId="0" borderId="56" xfId="0" applyFont="1" applyBorder="1" applyProtection="1">
      <alignment vertical="center"/>
      <protection hidden="1"/>
    </xf>
    <xf numFmtId="0" fontId="40" fillId="0" borderId="32" xfId="0" applyFont="1" applyBorder="1" applyProtection="1">
      <alignment vertical="center"/>
      <protection hidden="1"/>
    </xf>
    <xf numFmtId="0" fontId="41" fillId="2" borderId="6" xfId="0" applyFont="1" applyFill="1" applyBorder="1" applyAlignment="1" applyProtection="1">
      <alignment horizontal="center" vertical="center"/>
      <protection hidden="1"/>
    </xf>
    <xf numFmtId="198" fontId="38" fillId="2" borderId="63" xfId="0" applyNumberFormat="1" applyFont="1" applyFill="1" applyBorder="1" applyProtection="1">
      <alignment vertical="center"/>
      <protection hidden="1"/>
    </xf>
    <xf numFmtId="0" fontId="40" fillId="0" borderId="102" xfId="0" applyFont="1" applyBorder="1" applyProtection="1">
      <alignment vertical="center"/>
      <protection hidden="1"/>
    </xf>
    <xf numFmtId="0" fontId="40" fillId="0" borderId="0" xfId="0" applyFont="1" applyProtection="1">
      <alignment vertical="center"/>
      <protection hidden="1"/>
    </xf>
    <xf numFmtId="0" fontId="40" fillId="0" borderId="63" xfId="0" applyFont="1" applyBorder="1" applyProtection="1">
      <alignment vertical="center"/>
      <protection hidden="1"/>
    </xf>
    <xf numFmtId="0" fontId="41" fillId="2" borderId="105" xfId="0" applyFont="1" applyFill="1" applyBorder="1" applyAlignment="1" applyProtection="1">
      <alignment horizontal="center" vertical="center"/>
      <protection hidden="1"/>
    </xf>
    <xf numFmtId="198" fontId="38" fillId="2" borderId="104" xfId="0" applyNumberFormat="1" applyFont="1" applyFill="1" applyBorder="1" applyProtection="1">
      <alignment vertical="center"/>
      <protection hidden="1"/>
    </xf>
    <xf numFmtId="0" fontId="40" fillId="0" borderId="26" xfId="0" applyFont="1" applyBorder="1" applyProtection="1">
      <alignment vertical="center"/>
      <protection hidden="1"/>
    </xf>
    <xf numFmtId="0" fontId="40" fillId="0" borderId="101" xfId="0" applyFont="1" applyBorder="1" applyProtection="1">
      <alignment vertical="center"/>
      <protection hidden="1"/>
    </xf>
    <xf numFmtId="0" fontId="40" fillId="0" borderId="104" xfId="0" applyFont="1" applyBorder="1" applyProtection="1">
      <alignment vertical="center"/>
      <protection hidden="1"/>
    </xf>
    <xf numFmtId="0" fontId="41" fillId="2" borderId="9" xfId="0" applyFont="1" applyFill="1" applyBorder="1" applyAlignment="1" applyProtection="1">
      <alignment horizontal="center" vertical="center"/>
      <protection hidden="1"/>
    </xf>
    <xf numFmtId="0" fontId="40" fillId="0" borderId="0" xfId="0" applyFont="1" applyBorder="1" applyProtection="1">
      <alignment vertical="center"/>
      <protection hidden="1"/>
    </xf>
    <xf numFmtId="0" fontId="41" fillId="0" borderId="0" xfId="0" applyFont="1" applyFill="1" applyBorder="1" applyAlignment="1" applyProtection="1">
      <alignment horizontal="center" vertical="center"/>
      <protection hidden="1"/>
    </xf>
    <xf numFmtId="0" fontId="0" fillId="0" borderId="0" xfId="0" applyAlignment="1" applyProtection="1">
      <alignment horizontal="center"/>
      <protection hidden="1"/>
    </xf>
    <xf numFmtId="0" fontId="46" fillId="2" borderId="54" xfId="0" applyFont="1" applyFill="1" applyBorder="1" applyAlignment="1" applyProtection="1">
      <alignment horizontal="center" vertical="center"/>
      <protection hidden="1"/>
    </xf>
    <xf numFmtId="0" fontId="46" fillId="0" borderId="54" xfId="0" applyFont="1" applyBorder="1" applyAlignment="1" applyProtection="1">
      <alignment horizontal="center" vertical="center"/>
      <protection hidden="1"/>
    </xf>
    <xf numFmtId="0" fontId="5" fillId="5" borderId="109" xfId="0" applyFont="1" applyFill="1" applyBorder="1" applyAlignment="1" applyProtection="1">
      <alignment horizontal="center" vertical="center"/>
      <protection hidden="1"/>
    </xf>
    <xf numFmtId="183" fontId="6" fillId="0" borderId="110" xfId="0" applyNumberFormat="1" applyFont="1" applyBorder="1" applyAlignment="1" applyProtection="1">
      <alignment horizontal="left" vertical="center" indent="1"/>
      <protection hidden="1"/>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hidden="1"/>
    </xf>
    <xf numFmtId="0" fontId="5" fillId="0" borderId="0" xfId="0" applyFont="1" applyAlignment="1" applyProtection="1">
      <alignment horizontal="right" vertical="center"/>
      <protection hidden="1"/>
    </xf>
    <xf numFmtId="0" fontId="47"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1" xfId="0" applyFont="1" applyFill="1" applyBorder="1" applyAlignment="1" applyProtection="1">
      <alignment horizontal="center"/>
      <protection hidden="1"/>
    </xf>
    <xf numFmtId="0" fontId="36" fillId="5" borderId="112" xfId="0" applyFont="1" applyFill="1" applyBorder="1" applyAlignment="1" applyProtection="1">
      <alignment horizontal="center"/>
      <protection hidden="1"/>
    </xf>
    <xf numFmtId="0" fontId="36" fillId="5" borderId="113" xfId="0" applyFont="1" applyFill="1" applyBorder="1" applyAlignment="1" applyProtection="1">
      <alignment horizontal="center"/>
      <protection hidden="1"/>
    </xf>
    <xf numFmtId="0" fontId="5" fillId="4" borderId="57" xfId="0" applyFont="1" applyFill="1" applyBorder="1" applyAlignment="1" applyProtection="1">
      <protection hidden="1"/>
    </xf>
    <xf numFmtId="0" fontId="5" fillId="4" borderId="114" xfId="0" applyFont="1" applyFill="1" applyBorder="1" applyAlignment="1" applyProtection="1">
      <alignment shrinkToFit="1"/>
      <protection hidden="1"/>
    </xf>
    <xf numFmtId="180" fontId="17" fillId="0" borderId="114" xfId="0" applyNumberFormat="1" applyFont="1" applyBorder="1" applyAlignment="1" applyProtection="1">
      <protection hidden="1"/>
    </xf>
    <xf numFmtId="180" fontId="48" fillId="18" borderId="88" xfId="0" applyNumberFormat="1" applyFont="1" applyFill="1" applyBorder="1" applyAlignment="1" applyProtection="1">
      <alignment horizontal="center"/>
      <protection hidden="1"/>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protection hidden="1"/>
    </xf>
    <xf numFmtId="180" fontId="48" fillId="18" borderId="115" xfId="0" applyNumberFormat="1" applyFont="1" applyFill="1" applyBorder="1" applyAlignment="1" applyProtection="1">
      <alignment horizontal="center"/>
      <protection hidden="1"/>
    </xf>
    <xf numFmtId="0" fontId="5" fillId="4" borderId="52" xfId="0" applyFont="1" applyFill="1" applyBorder="1" applyAlignment="1" applyProtection="1">
      <protection hidden="1"/>
    </xf>
    <xf numFmtId="0" fontId="5" fillId="4" borderId="116" xfId="0" applyFont="1" applyFill="1" applyBorder="1" applyAlignment="1" applyProtection="1">
      <alignment shrinkToFit="1"/>
      <protection hidden="1"/>
    </xf>
    <xf numFmtId="178" fontId="17" fillId="2" borderId="116" xfId="0" applyNumberFormat="1" applyFont="1" applyFill="1" applyBorder="1" applyAlignment="1" applyProtection="1">
      <protection hidden="1"/>
    </xf>
    <xf numFmtId="0" fontId="48" fillId="18" borderId="91" xfId="0" applyFont="1" applyFill="1" applyBorder="1" applyAlignment="1" applyProtection="1">
      <alignment horizontal="center"/>
      <protection hidden="1"/>
    </xf>
    <xf numFmtId="0" fontId="5" fillId="18" borderId="57" xfId="0" applyFont="1" applyFill="1" applyBorder="1" applyAlignment="1" applyProtection="1">
      <protection hidden="1"/>
    </xf>
    <xf numFmtId="0" fontId="5" fillId="18" borderId="114" xfId="0" applyFont="1" applyFill="1" applyBorder="1" applyAlignment="1" applyProtection="1">
      <alignment shrinkToFit="1"/>
      <protection hidden="1"/>
    </xf>
    <xf numFmtId="180" fontId="48" fillId="18" borderId="67" xfId="0" applyNumberFormat="1" applyFont="1" applyFill="1" applyBorder="1" applyAlignment="1" applyProtection="1">
      <alignment horizontal="center"/>
      <protection hidden="1"/>
    </xf>
    <xf numFmtId="180" fontId="17" fillId="18" borderId="88" xfId="0" applyNumberFormat="1" applyFont="1" applyFill="1" applyBorder="1" applyAlignment="1" applyProtection="1">
      <protection hidden="1"/>
    </xf>
    <xf numFmtId="0" fontId="5" fillId="18" borderId="10" xfId="0" applyFont="1" applyFill="1" applyBorder="1" applyAlignment="1" applyProtection="1">
      <protection hidden="1"/>
    </xf>
    <xf numFmtId="0" fontId="5" fillId="18" borderId="11" xfId="0" applyFont="1" applyFill="1" applyBorder="1" applyAlignment="1" applyProtection="1">
      <alignment shrinkToFit="1"/>
      <protection hidden="1"/>
    </xf>
    <xf numFmtId="180" fontId="48" fillId="18" borderId="87" xfId="0" applyNumberFormat="1" applyFont="1" applyFill="1" applyBorder="1" applyAlignment="1" applyProtection="1">
      <alignment horizontal="center"/>
      <protection hidden="1"/>
    </xf>
    <xf numFmtId="186" fontId="17" fillId="18" borderId="89" xfId="0" applyNumberFormat="1" applyFont="1" applyFill="1" applyBorder="1" applyAlignment="1" applyProtection="1">
      <protection hidden="1"/>
    </xf>
    <xf numFmtId="0" fontId="5" fillId="18" borderId="117" xfId="0" applyFont="1" applyFill="1" applyBorder="1" applyAlignment="1" applyProtection="1">
      <protection hidden="1"/>
    </xf>
    <xf numFmtId="0" fontId="5" fillId="18" borderId="116" xfId="0" applyFont="1" applyFill="1" applyBorder="1" applyAlignment="1" applyProtection="1">
      <alignment shrinkToFit="1"/>
      <protection hidden="1"/>
    </xf>
    <xf numFmtId="0" fontId="48" fillId="18" borderId="53" xfId="0" applyFont="1" applyFill="1" applyBorder="1" applyAlignment="1" applyProtection="1">
      <alignment horizontal="center"/>
      <protection hidden="1"/>
    </xf>
    <xf numFmtId="180" fontId="17" fillId="18" borderId="91" xfId="0" applyNumberFormat="1" applyFont="1" applyFill="1" applyBorder="1" applyAlignment="1" applyProtection="1">
      <protection hidden="1"/>
    </xf>
    <xf numFmtId="0" fontId="5" fillId="16" borderId="39" xfId="0" applyFont="1" applyFill="1" applyBorder="1" applyAlignment="1" applyProtection="1">
      <protection hidden="1"/>
    </xf>
    <xf numFmtId="0" fontId="5" fillId="16" borderId="118" xfId="0" applyFont="1" applyFill="1" applyBorder="1" applyAlignment="1" applyProtection="1">
      <alignment shrinkToFit="1"/>
      <protection hidden="1"/>
    </xf>
    <xf numFmtId="180" fontId="17" fillId="0" borderId="118" xfId="0" applyNumberFormat="1" applyFont="1" applyBorder="1" applyAlignment="1" applyProtection="1">
      <protection hidden="1"/>
    </xf>
    <xf numFmtId="180" fontId="17" fillId="18" borderId="119" xfId="0" applyNumberFormat="1" applyFont="1" applyFill="1" applyBorder="1" applyAlignment="1" applyProtection="1">
      <protection hidden="1"/>
    </xf>
    <xf numFmtId="0" fontId="5" fillId="16" borderId="120" xfId="0" applyFont="1" applyFill="1" applyBorder="1" applyAlignment="1" applyProtection="1">
      <alignment shrinkToFit="1"/>
      <protection hidden="1"/>
    </xf>
    <xf numFmtId="180" fontId="17" fillId="0" borderId="120" xfId="0" applyNumberFormat="1" applyFont="1" applyBorder="1" applyAlignment="1" applyProtection="1">
      <protection hidden="1"/>
    </xf>
    <xf numFmtId="180" fontId="17" fillId="0" borderId="121" xfId="0" applyNumberFormat="1" applyFont="1" applyBorder="1" applyAlignment="1" applyProtection="1">
      <protection hidden="1"/>
    </xf>
    <xf numFmtId="0" fontId="5" fillId="16" borderId="122" xfId="0" applyFont="1" applyFill="1" applyBorder="1" applyAlignment="1" applyProtection="1">
      <alignment shrinkToFit="1"/>
      <protection hidden="1"/>
    </xf>
    <xf numFmtId="180" fontId="17" fillId="0" borderId="122" xfId="0" applyNumberFormat="1" applyFont="1" applyBorder="1" applyAlignment="1" applyProtection="1">
      <protection hidden="1"/>
    </xf>
    <xf numFmtId="180" fontId="17" fillId="18" borderId="123" xfId="0" applyNumberFormat="1" applyFont="1" applyFill="1" applyBorder="1" applyAlignment="1" applyProtection="1">
      <protection hidden="1"/>
    </xf>
    <xf numFmtId="0" fontId="5" fillId="16" borderId="3" xfId="0" applyFont="1" applyFill="1" applyBorder="1" applyAlignment="1" applyProtection="1">
      <alignment shrinkToFit="1"/>
      <protection hidden="1"/>
    </xf>
    <xf numFmtId="180" fontId="17" fillId="0" borderId="3" xfId="0" applyNumberFormat="1" applyFont="1" applyBorder="1" applyAlignment="1" applyProtection="1">
      <protection hidden="1"/>
    </xf>
    <xf numFmtId="180" fontId="17" fillId="18" borderId="89" xfId="0" applyNumberFormat="1" applyFont="1" applyFill="1" applyBorder="1" applyAlignment="1" applyProtection="1">
      <protection hidden="1"/>
    </xf>
    <xf numFmtId="0" fontId="5" fillId="16" borderId="124" xfId="0" applyFont="1" applyFill="1" applyBorder="1" applyAlignment="1" applyProtection="1">
      <alignment shrinkToFit="1"/>
      <protection hidden="1"/>
    </xf>
    <xf numFmtId="180" fontId="17" fillId="0" borderId="124" xfId="0" applyNumberFormat="1" applyFont="1" applyBorder="1" applyAlignment="1" applyProtection="1">
      <protection hidden="1"/>
    </xf>
    <xf numFmtId="199" fontId="48" fillId="18" borderId="125" xfId="0" applyNumberFormat="1" applyFont="1" applyFill="1" applyBorder="1" applyAlignment="1" applyProtection="1">
      <alignment horizontal="center"/>
      <protection hidden="1"/>
    </xf>
    <xf numFmtId="199" fontId="48" fillId="18" borderId="121" xfId="0" applyNumberFormat="1" applyFont="1" applyFill="1" applyBorder="1" applyAlignment="1" applyProtection="1">
      <alignment horizontal="center"/>
      <protection hidden="1"/>
    </xf>
    <xf numFmtId="199" fontId="48" fillId="18" borderId="123" xfId="0" applyNumberFormat="1" applyFont="1" applyFill="1" applyBorder="1" applyAlignment="1" applyProtection="1">
      <alignment horizontal="center"/>
      <protection hidden="1"/>
    </xf>
    <xf numFmtId="180" fontId="17" fillId="18" borderId="125" xfId="0" applyNumberFormat="1" applyFont="1" applyFill="1" applyBorder="1" applyAlignment="1" applyProtection="1">
      <protection hidden="1"/>
    </xf>
    <xf numFmtId="180" fontId="17" fillId="18" borderId="121" xfId="0" applyNumberFormat="1" applyFont="1" applyFill="1" applyBorder="1" applyAlignment="1" applyProtection="1">
      <protection hidden="1"/>
    </xf>
    <xf numFmtId="180" fontId="17" fillId="0" borderId="125" xfId="0" applyNumberFormat="1" applyFont="1" applyBorder="1" applyAlignment="1" applyProtection="1">
      <protection hidden="1"/>
    </xf>
    <xf numFmtId="0" fontId="5" fillId="16" borderId="126" xfId="0" applyFont="1" applyFill="1" applyBorder="1" applyAlignment="1" applyProtection="1">
      <alignment shrinkToFit="1"/>
      <protection hidden="1"/>
    </xf>
    <xf numFmtId="180" fontId="17" fillId="0" borderId="126" xfId="0" applyNumberFormat="1" applyFont="1" applyBorder="1" applyAlignment="1" applyProtection="1">
      <protection hidden="1"/>
    </xf>
    <xf numFmtId="180" fontId="17" fillId="0" borderId="127" xfId="0" applyNumberFormat="1" applyFont="1" applyBorder="1" applyAlignment="1" applyProtection="1">
      <protection hidden="1"/>
    </xf>
    <xf numFmtId="0" fontId="5" fillId="6" borderId="109" xfId="0" applyFont="1" applyFill="1" applyBorder="1" applyAlignment="1" applyProtection="1">
      <protection hidden="1"/>
    </xf>
    <xf numFmtId="0" fontId="5" fillId="6" borderId="114" xfId="0" applyFont="1" applyFill="1" applyBorder="1" applyAlignment="1" applyProtection="1">
      <alignment shrinkToFit="1"/>
      <protection hidden="1"/>
    </xf>
    <xf numFmtId="199" fontId="48" fillId="18" borderId="88" xfId="0" applyNumberFormat="1" applyFont="1" applyFill="1" applyBorder="1" applyAlignment="1" applyProtection="1">
      <alignment horizontal="center"/>
      <protection hidden="1"/>
    </xf>
    <xf numFmtId="0" fontId="5" fillId="6" borderId="124" xfId="0" applyFont="1" applyFill="1" applyBorder="1" applyAlignment="1" applyProtection="1">
      <alignment shrinkToFit="1"/>
      <protection hidden="1"/>
    </xf>
    <xf numFmtId="0" fontId="5" fillId="6" borderId="116" xfId="0" applyFont="1" applyFill="1" applyBorder="1" applyAlignment="1" applyProtection="1">
      <alignment shrinkToFit="1"/>
      <protection hidden="1"/>
    </xf>
    <xf numFmtId="180" fontId="17" fillId="0" borderId="116" xfId="0" applyNumberFormat="1" applyFont="1" applyBorder="1" applyAlignment="1" applyProtection="1">
      <protection hidden="1"/>
    </xf>
    <xf numFmtId="199" fontId="48" fillId="18" borderId="91" xfId="0" applyNumberFormat="1" applyFont="1" applyFill="1" applyBorder="1" applyAlignment="1" applyProtection="1">
      <alignment horizontal="center"/>
      <protection hidden="1"/>
    </xf>
    <xf numFmtId="0" fontId="5" fillId="6" borderId="128" xfId="0" applyFont="1" applyFill="1" applyBorder="1" applyAlignment="1" applyProtection="1">
      <alignment shrinkToFit="1"/>
      <protection hidden="1"/>
    </xf>
    <xf numFmtId="180" fontId="17" fillId="0" borderId="128" xfId="0" applyNumberFormat="1" applyFont="1" applyBorder="1" applyAlignment="1" applyProtection="1">
      <protection hidden="1"/>
    </xf>
    <xf numFmtId="199" fontId="48" fillId="18" borderId="129" xfId="0" applyNumberFormat="1" applyFont="1" applyFill="1" applyBorder="1" applyAlignment="1" applyProtection="1">
      <alignment horizontal="center"/>
      <protection hidden="1"/>
    </xf>
    <xf numFmtId="0" fontId="5" fillId="6" borderId="130" xfId="0" applyFont="1" applyFill="1" applyBorder="1" applyAlignment="1" applyProtection="1">
      <alignment shrinkToFit="1"/>
      <protection hidden="1"/>
    </xf>
    <xf numFmtId="180" fontId="17" fillId="0" borderId="130" xfId="0" applyNumberFormat="1" applyFont="1" applyBorder="1" applyAlignment="1" applyProtection="1">
      <protection hidden="1"/>
    </xf>
    <xf numFmtId="199" fontId="48" fillId="18" borderId="131" xfId="0" applyNumberFormat="1" applyFont="1" applyFill="1" applyBorder="1" applyAlignment="1" applyProtection="1">
      <alignment horizontal="center"/>
      <protection hidden="1"/>
    </xf>
    <xf numFmtId="0" fontId="5" fillId="6" borderId="122" xfId="0" applyFont="1" applyFill="1" applyBorder="1" applyAlignment="1" applyProtection="1">
      <alignment shrinkToFit="1"/>
      <protection hidden="1"/>
    </xf>
    <xf numFmtId="0" fontId="5" fillId="6" borderId="132" xfId="0" applyFont="1" applyFill="1" applyBorder="1" applyAlignment="1" applyProtection="1">
      <protection hidden="1"/>
    </xf>
    <xf numFmtId="0" fontId="5" fillId="6" borderId="120" xfId="0" applyFont="1" applyFill="1" applyBorder="1" applyAlignment="1" applyProtection="1">
      <alignment shrinkToFit="1"/>
      <protection hidden="1"/>
    </xf>
    <xf numFmtId="0" fontId="5" fillId="6" borderId="12" xfId="0" applyFont="1" applyFill="1" applyBorder="1" applyAlignment="1" applyProtection="1">
      <alignment shrinkToFit="1"/>
      <protection hidden="1"/>
    </xf>
    <xf numFmtId="180" fontId="17" fillId="0" borderId="12" xfId="0" applyNumberFormat="1" applyFont="1" applyBorder="1" applyAlignment="1" applyProtection="1">
      <protection hidden="1"/>
    </xf>
    <xf numFmtId="199" fontId="48" fillId="18" borderId="22" xfId="0" applyNumberFormat="1" applyFont="1" applyFill="1" applyBorder="1" applyAlignment="1" applyProtection="1">
      <alignment horizontal="center"/>
      <protection hidden="1"/>
    </xf>
    <xf numFmtId="0" fontId="5" fillId="14" borderId="14" xfId="0" applyFont="1" applyFill="1" applyBorder="1" applyAlignment="1" applyProtection="1">
      <protection hidden="1"/>
    </xf>
    <xf numFmtId="0" fontId="5" fillId="14" borderId="118" xfId="0" applyFont="1" applyFill="1" applyBorder="1" applyAlignment="1" applyProtection="1">
      <alignment shrinkToFit="1"/>
      <protection hidden="1"/>
    </xf>
    <xf numFmtId="199" fontId="48" fillId="18" borderId="118" xfId="0" applyNumberFormat="1" applyFont="1" applyFill="1" applyBorder="1" applyAlignment="1" applyProtection="1">
      <alignment horizontal="center"/>
      <protection hidden="1"/>
    </xf>
    <xf numFmtId="180" fontId="17" fillId="0" borderId="119" xfId="0" applyNumberFormat="1" applyFont="1" applyBorder="1" applyAlignment="1" applyProtection="1">
      <protection hidden="1"/>
    </xf>
    <xf numFmtId="0" fontId="5" fillId="14" borderId="39" xfId="0" applyFont="1" applyFill="1" applyBorder="1" applyAlignment="1" applyProtection="1">
      <protection hidden="1"/>
    </xf>
    <xf numFmtId="0" fontId="5" fillId="14" borderId="122" xfId="0" applyFont="1" applyFill="1" applyBorder="1" applyAlignment="1" applyProtection="1">
      <alignment shrinkToFit="1"/>
      <protection hidden="1"/>
    </xf>
    <xf numFmtId="199" fontId="48" fillId="18" borderId="122" xfId="0" applyNumberFormat="1" applyFont="1" applyFill="1" applyBorder="1" applyAlignment="1" applyProtection="1">
      <alignment horizontal="center"/>
      <protection hidden="1"/>
    </xf>
    <xf numFmtId="180" fontId="17" fillId="0" borderId="123" xfId="0" applyNumberFormat="1" applyFont="1" applyBorder="1" applyAlignment="1" applyProtection="1">
      <protection hidden="1"/>
    </xf>
    <xf numFmtId="0" fontId="5" fillId="14" borderId="124" xfId="0" applyFont="1" applyFill="1" applyBorder="1" applyAlignment="1" applyProtection="1">
      <alignment shrinkToFit="1"/>
      <protection hidden="1"/>
    </xf>
    <xf numFmtId="199" fontId="48" fillId="18" borderId="124" xfId="0" applyNumberFormat="1" applyFont="1" applyFill="1" applyBorder="1" applyAlignment="1" applyProtection="1">
      <alignment horizontal="center"/>
      <protection hidden="1"/>
    </xf>
    <xf numFmtId="0" fontId="5" fillId="14" borderId="126" xfId="0" applyFont="1" applyFill="1" applyBorder="1" applyAlignment="1" applyProtection="1">
      <alignment shrinkToFit="1"/>
      <protection hidden="1"/>
    </xf>
    <xf numFmtId="199" fontId="48" fillId="18" borderId="126" xfId="0" applyNumberFormat="1" applyFont="1" applyFill="1" applyBorder="1" applyAlignment="1" applyProtection="1">
      <alignment horizontal="center"/>
      <protection hidden="1"/>
    </xf>
    <xf numFmtId="0" fontId="5" fillId="19" borderId="114" xfId="0" applyFont="1" applyFill="1" applyBorder="1" applyAlignment="1" applyProtection="1">
      <alignment shrinkToFit="1"/>
      <protection hidden="1"/>
    </xf>
    <xf numFmtId="199" fontId="48" fillId="18" borderId="114" xfId="0" applyNumberFormat="1" applyFont="1" applyFill="1" applyBorder="1" applyAlignment="1" applyProtection="1">
      <alignment horizontal="center"/>
      <protection hidden="1"/>
    </xf>
    <xf numFmtId="180" fontId="17" fillId="0" borderId="88" xfId="0" applyNumberFormat="1" applyFont="1" applyBorder="1" applyAlignment="1" applyProtection="1">
      <protection hidden="1"/>
    </xf>
    <xf numFmtId="0" fontId="5" fillId="19" borderId="124" xfId="0" applyFont="1" applyFill="1" applyBorder="1" applyAlignment="1" applyProtection="1">
      <alignment shrinkToFit="1"/>
      <protection hidden="1"/>
    </xf>
    <xf numFmtId="0" fontId="5" fillId="19" borderId="120" xfId="0" applyFont="1" applyFill="1" applyBorder="1" applyAlignment="1" applyProtection="1">
      <alignment shrinkToFit="1"/>
      <protection hidden="1"/>
    </xf>
    <xf numFmtId="199" fontId="48" fillId="18" borderId="120" xfId="0" applyNumberFormat="1" applyFont="1" applyFill="1" applyBorder="1" applyAlignment="1" applyProtection="1">
      <alignment horizontal="center"/>
      <protection hidden="1"/>
    </xf>
    <xf numFmtId="0" fontId="5" fillId="19" borderId="122" xfId="0" applyFont="1" applyFill="1" applyBorder="1" applyAlignment="1" applyProtection="1">
      <alignment shrinkToFit="1"/>
      <protection hidden="1"/>
    </xf>
    <xf numFmtId="180" fontId="49" fillId="0" borderId="121" xfId="0" applyNumberFormat="1" applyFont="1" applyBorder="1" applyAlignment="1" applyProtection="1">
      <protection hidden="1"/>
    </xf>
    <xf numFmtId="180" fontId="17" fillId="2" borderId="123" xfId="0" applyNumberFormat="1" applyFont="1" applyFill="1" applyBorder="1" applyAlignment="1" applyProtection="1">
      <protection hidden="1"/>
    </xf>
    <xf numFmtId="0" fontId="5" fillId="14" borderId="17" xfId="0" applyFont="1" applyFill="1" applyBorder="1" applyAlignment="1" applyProtection="1">
      <protection hidden="1"/>
    </xf>
    <xf numFmtId="0" fontId="5" fillId="19" borderId="116" xfId="0" applyFont="1" applyFill="1" applyBorder="1" applyAlignment="1" applyProtection="1">
      <alignment shrinkToFit="1"/>
      <protection hidden="1"/>
    </xf>
    <xf numFmtId="199" fontId="48" fillId="18" borderId="116" xfId="0" applyNumberFormat="1" applyFont="1" applyFill="1" applyBorder="1" applyAlignment="1" applyProtection="1">
      <alignment horizontal="center"/>
      <protection hidden="1"/>
    </xf>
    <xf numFmtId="180" fontId="17" fillId="0" borderId="91" xfId="0" applyNumberFormat="1" applyFont="1" applyBorder="1" applyAlignment="1" applyProtection="1">
      <protection hidden="1"/>
    </xf>
    <xf numFmtId="0" fontId="50" fillId="2" borderId="133" xfId="0" applyFont="1" applyFill="1" applyBorder="1" applyAlignment="1" applyProtection="1">
      <protection hidden="1"/>
    </xf>
    <xf numFmtId="0" fontId="5" fillId="20" borderId="118" xfId="0" applyFont="1" applyFill="1" applyBorder="1" applyAlignment="1" applyProtection="1">
      <alignment shrinkToFit="1"/>
      <protection hidden="1"/>
    </xf>
    <xf numFmtId="199" fontId="17" fillId="18" borderId="118" xfId="0" applyNumberFormat="1" applyFont="1" applyFill="1" applyBorder="1" applyAlignment="1" applyProtection="1">
      <alignment horizontal="center"/>
      <protection hidden="1"/>
    </xf>
    <xf numFmtId="0" fontId="5" fillId="20" borderId="122" xfId="0" applyFont="1" applyFill="1" applyBorder="1" applyAlignment="1" applyProtection="1">
      <alignment shrinkToFit="1"/>
      <protection hidden="1"/>
    </xf>
    <xf numFmtId="199" fontId="17" fillId="18" borderId="122" xfId="0" applyNumberFormat="1" applyFont="1" applyFill="1" applyBorder="1" applyAlignment="1" applyProtection="1">
      <alignment horizontal="center"/>
      <protection hidden="1"/>
    </xf>
    <xf numFmtId="0" fontId="5" fillId="20" borderId="124" xfId="0" applyFont="1" applyFill="1" applyBorder="1" applyAlignment="1" applyProtection="1">
      <alignment shrinkToFit="1"/>
      <protection hidden="1"/>
    </xf>
    <xf numFmtId="199" fontId="17" fillId="18" borderId="124" xfId="0" applyNumberFormat="1" applyFont="1" applyFill="1" applyBorder="1" applyAlignment="1" applyProtection="1">
      <alignment horizontal="center"/>
      <protection hidden="1"/>
    </xf>
    <xf numFmtId="0" fontId="5" fillId="20" borderId="126" xfId="0" applyFont="1" applyFill="1" applyBorder="1" applyAlignment="1" applyProtection="1">
      <alignment shrinkToFit="1"/>
      <protection hidden="1"/>
    </xf>
    <xf numFmtId="199" fontId="17" fillId="18" borderId="126" xfId="0" applyNumberFormat="1" applyFont="1" applyFill="1" applyBorder="1" applyAlignment="1" applyProtection="1">
      <alignment horizontal="center"/>
      <protection hidden="1"/>
    </xf>
    <xf numFmtId="0" fontId="5" fillId="8" borderId="14" xfId="0" applyFont="1" applyFill="1" applyBorder="1" applyAlignment="1" applyProtection="1">
      <protection hidden="1"/>
    </xf>
    <xf numFmtId="0" fontId="5" fillId="8" borderId="114" xfId="0" applyFont="1" applyFill="1" applyBorder="1" applyAlignment="1" applyProtection="1">
      <alignment shrinkToFit="1"/>
      <protection hidden="1"/>
    </xf>
    <xf numFmtId="199" fontId="17" fillId="0" borderId="114" xfId="0" applyNumberFormat="1" applyFont="1" applyBorder="1" applyAlignment="1" applyProtection="1">
      <alignment horizontal="right"/>
      <protection hidden="1"/>
    </xf>
    <xf numFmtId="0" fontId="5" fillId="21" borderId="57" xfId="0" applyFont="1" applyFill="1" applyBorder="1" applyAlignment="1" applyProtection="1">
      <protection hidden="1"/>
    </xf>
    <xf numFmtId="0" fontId="5" fillId="22" borderId="114" xfId="0" applyFont="1" applyFill="1" applyBorder="1" applyAlignment="1" applyProtection="1">
      <alignment shrinkToFit="1"/>
      <protection hidden="1"/>
    </xf>
    <xf numFmtId="180" fontId="17" fillId="22" borderId="88" xfId="0" applyNumberFormat="1" applyFont="1" applyFill="1" applyBorder="1" applyAlignment="1" applyProtection="1">
      <alignment horizontal="right"/>
      <protection hidden="1"/>
    </xf>
    <xf numFmtId="0" fontId="5" fillId="8" borderId="39" xfId="0" applyFont="1" applyFill="1" applyBorder="1" applyAlignment="1" applyProtection="1">
      <protection hidden="1"/>
    </xf>
    <xf numFmtId="0" fontId="5" fillId="8" borderId="124" xfId="0" applyFont="1" applyFill="1" applyBorder="1" applyAlignment="1" applyProtection="1">
      <alignment shrinkToFit="1"/>
      <protection hidden="1"/>
    </xf>
    <xf numFmtId="199" fontId="17" fillId="0" borderId="124" xfId="0" applyNumberFormat="1" applyFont="1" applyBorder="1" applyAlignment="1" applyProtection="1">
      <alignment horizontal="right"/>
      <protection hidden="1"/>
    </xf>
    <xf numFmtId="0" fontId="5" fillId="21" borderId="45" xfId="0" applyFont="1" applyFill="1" applyBorder="1" applyAlignment="1" applyProtection="1">
      <protection hidden="1"/>
    </xf>
    <xf numFmtId="0" fontId="5" fillId="15" borderId="3" xfId="0" applyFont="1" applyFill="1" applyBorder="1" applyAlignment="1" applyProtection="1">
      <alignment shrinkToFit="1"/>
      <protection hidden="1"/>
    </xf>
    <xf numFmtId="180" fontId="17" fillId="0" borderId="89" xfId="0" applyNumberFormat="1" applyFont="1" applyBorder="1" applyAlignment="1" applyProtection="1">
      <protection hidden="1"/>
    </xf>
    <xf numFmtId="0" fontId="5" fillId="8" borderId="120" xfId="0" applyFont="1" applyFill="1" applyBorder="1" applyAlignment="1" applyProtection="1">
      <alignment shrinkToFit="1"/>
      <protection hidden="1"/>
    </xf>
    <xf numFmtId="199" fontId="17" fillId="0" borderId="120" xfId="0" applyNumberFormat="1" applyFont="1" applyBorder="1" applyAlignment="1" applyProtection="1">
      <alignment horizontal="right"/>
      <protection hidden="1"/>
    </xf>
    <xf numFmtId="0" fontId="5" fillId="8" borderId="122" xfId="0" applyFont="1" applyFill="1" applyBorder="1" applyAlignment="1" applyProtection="1">
      <alignment shrinkToFit="1"/>
      <protection hidden="1"/>
    </xf>
    <xf numFmtId="199" fontId="17" fillId="0" borderId="122" xfId="0" applyNumberFormat="1" applyFont="1" applyBorder="1" applyAlignment="1" applyProtection="1">
      <alignment horizontal="right"/>
      <protection hidden="1"/>
    </xf>
    <xf numFmtId="0" fontId="5" fillId="15" borderId="116" xfId="0" applyFont="1" applyFill="1" applyBorder="1" applyAlignment="1" applyProtection="1">
      <alignment shrinkToFit="1"/>
      <protection hidden="1"/>
    </xf>
    <xf numFmtId="0" fontId="5" fillId="8" borderId="126" xfId="0" applyFont="1" applyFill="1" applyBorder="1" applyAlignment="1" applyProtection="1">
      <alignment shrinkToFit="1"/>
      <protection hidden="1"/>
    </xf>
    <xf numFmtId="199" fontId="17" fillId="0" borderId="126" xfId="0" applyNumberFormat="1" applyFont="1" applyBorder="1" applyAlignment="1" applyProtection="1">
      <alignment horizontal="right"/>
      <protection hidden="1"/>
    </xf>
    <xf numFmtId="0" fontId="5" fillId="21" borderId="3" xfId="0" applyFont="1" applyFill="1" applyBorder="1" applyAlignment="1" applyProtection="1">
      <alignment shrinkToFit="1"/>
      <protection hidden="1"/>
    </xf>
    <xf numFmtId="180" fontId="17" fillId="22" borderId="89" xfId="0" applyNumberFormat="1" applyFont="1" applyFill="1" applyBorder="1" applyAlignment="1" applyProtection="1">
      <protection hidden="1"/>
    </xf>
    <xf numFmtId="0" fontId="5" fillId="8" borderId="71" xfId="0" applyFont="1" applyFill="1" applyBorder="1" applyAlignment="1" applyProtection="1">
      <alignment shrinkToFit="1"/>
      <protection hidden="1"/>
    </xf>
    <xf numFmtId="180" fontId="17" fillId="0" borderId="71" xfId="0" applyNumberFormat="1" applyFont="1" applyBorder="1" applyAlignment="1" applyProtection="1">
      <protection hidden="1"/>
    </xf>
    <xf numFmtId="180" fontId="17" fillId="0" borderId="110" xfId="0" applyNumberFormat="1" applyFont="1" applyBorder="1" applyAlignment="1" applyProtection="1">
      <protection hidden="1"/>
    </xf>
    <xf numFmtId="0" fontId="5" fillId="8" borderId="3" xfId="0" applyFont="1" applyFill="1" applyBorder="1" applyAlignment="1" applyProtection="1">
      <alignment shrinkToFit="1"/>
      <protection hidden="1"/>
    </xf>
    <xf numFmtId="0" fontId="5" fillId="21" borderId="117" xfId="0" applyFont="1" applyFill="1" applyBorder="1" applyAlignment="1" applyProtection="1">
      <protection hidden="1"/>
    </xf>
    <xf numFmtId="0" fontId="5" fillId="21" borderId="52" xfId="0" applyFont="1" applyFill="1" applyBorder="1" applyAlignment="1" applyProtection="1">
      <protection hidden="1"/>
    </xf>
    <xf numFmtId="0" fontId="5" fillId="8" borderId="17" xfId="0" applyFont="1" applyFill="1" applyBorder="1" applyAlignment="1" applyProtection="1">
      <protection hidden="1"/>
    </xf>
    <xf numFmtId="0" fontId="5" fillId="23" borderId="10" xfId="0" applyFont="1" applyFill="1" applyBorder="1" applyAlignment="1" applyProtection="1">
      <protection hidden="1"/>
    </xf>
    <xf numFmtId="0" fontId="5" fillId="23" borderId="134" xfId="0" applyFont="1" applyFill="1" applyBorder="1" applyAlignment="1" applyProtection="1">
      <alignment shrinkToFit="1"/>
      <protection hidden="1"/>
    </xf>
    <xf numFmtId="180" fontId="17" fillId="0" borderId="134" xfId="0" applyNumberFormat="1" applyFont="1" applyBorder="1" applyAlignment="1" applyProtection="1">
      <protection hidden="1"/>
    </xf>
    <xf numFmtId="180" fontId="17" fillId="0" borderId="115" xfId="0" applyNumberFormat="1" applyFont="1" applyBorder="1" applyAlignment="1" applyProtection="1">
      <protection hidden="1"/>
    </xf>
    <xf numFmtId="0" fontId="5" fillId="24" borderId="57" xfId="0" applyFont="1" applyFill="1" applyBorder="1" applyAlignment="1" applyProtection="1">
      <protection hidden="1"/>
    </xf>
    <xf numFmtId="0" fontId="5" fillId="24" borderId="114" xfId="0" applyFont="1" applyFill="1" applyBorder="1" applyAlignment="1" applyProtection="1">
      <alignment shrinkToFit="1"/>
      <protection hidden="1"/>
    </xf>
    <xf numFmtId="180" fontId="17" fillId="18" borderId="114" xfId="0" applyNumberFormat="1" applyFont="1" applyFill="1" applyBorder="1" applyAlignment="1" applyProtection="1">
      <protection hidden="1"/>
    </xf>
    <xf numFmtId="199" fontId="48" fillId="18"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118" xfId="0" applyFont="1" applyFill="1" applyBorder="1" applyAlignment="1" applyProtection="1">
      <protection hidden="1"/>
    </xf>
    <xf numFmtId="180" fontId="51" fillId="2" borderId="119" xfId="0" applyNumberFormat="1" applyFont="1" applyFill="1" applyBorder="1" applyAlignment="1" applyProtection="1">
      <protection hidden="1"/>
    </xf>
    <xf numFmtId="0" fontId="5" fillId="2" borderId="102" xfId="0" applyFont="1" applyFill="1" applyBorder="1" applyAlignment="1" applyProtection="1">
      <protection hidden="1"/>
    </xf>
    <xf numFmtId="0" fontId="5" fillId="2" borderId="120" xfId="0" applyFont="1" applyFill="1" applyBorder="1" applyAlignment="1" applyProtection="1">
      <protection hidden="1"/>
    </xf>
    <xf numFmtId="180" fontId="51" fillId="2" borderId="121" xfId="0" applyNumberFormat="1" applyFont="1" applyFill="1" applyBorder="1" applyAlignment="1" applyProtection="1">
      <protection hidden="1"/>
    </xf>
    <xf numFmtId="0" fontId="31" fillId="22" borderId="0" xfId="0" applyFont="1" applyFill="1" applyAlignment="1" applyProtection="1">
      <protection hidden="1"/>
    </xf>
    <xf numFmtId="0" fontId="0" fillId="2" borderId="10" xfId="0" applyFill="1" applyBorder="1" applyAlignment="1" applyProtection="1">
      <protection hidden="1"/>
    </xf>
    <xf numFmtId="0" fontId="5" fillId="21" borderId="116" xfId="0" applyFont="1" applyFill="1" applyBorder="1" applyAlignment="1" applyProtection="1">
      <alignment shrinkToFit="1"/>
      <protection hidden="1"/>
    </xf>
    <xf numFmtId="0" fontId="0" fillId="2" borderId="135" xfId="0" applyFill="1" applyBorder="1" applyAlignment="1" applyProtection="1">
      <protection hidden="1"/>
    </xf>
    <xf numFmtId="0" fontId="5" fillId="2" borderId="126" xfId="0" applyFont="1" applyFill="1" applyBorder="1" applyAlignment="1" applyProtection="1">
      <protection hidden="1"/>
    </xf>
    <xf numFmtId="180" fontId="51" fillId="2" borderId="127" xfId="0" applyNumberFormat="1" applyFont="1" applyFill="1" applyBorder="1" applyAlignment="1" applyProtection="1">
      <protection hidden="1"/>
    </xf>
    <xf numFmtId="0" fontId="52" fillId="0" borderId="0" xfId="0" applyFont="1" applyAlignment="1" applyProtection="1">
      <protection hidden="1"/>
    </xf>
    <xf numFmtId="180" fontId="53" fillId="0" borderId="0" xfId="0" applyNumberFormat="1" applyFont="1" applyAlignment="1" applyProtection="1">
      <protection hidden="1"/>
    </xf>
    <xf numFmtId="0" fontId="53"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FFCC99"/>
      <color rgb="00F8CBAD"/>
      <color rgb="00CCCCCC"/>
      <color rgb="00CC99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01d8e168-6bd8-43f8-bedc-c09860f25a47}"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1b1f2a19-bd01-4ba7-b4f4-5ea616fa89de}"/>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42a8d830-2903-4272-9dfe-096cc10672b2}"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d7fb5748-3403-44ac-8d94-d5b9ca227b7a}"/>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90201"/>
    <xdr:sp>
      <xdr:nvSpPr>
        <xdr:cNvPr id="4" name="テキスト ボックス 3"/>
        <xdr:cNvSpPr txBox="1"/>
      </xdr:nvSpPr>
      <xdr:spPr>
        <a:xfrm>
          <a:off x="2643505" y="2698750"/>
          <a:ext cx="1676400" cy="5905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90201"/>
    <xdr:sp>
      <xdr:nvSpPr>
        <xdr:cNvPr id="5" name="テキスト ボックス 4"/>
        <xdr:cNvSpPr txBox="1"/>
      </xdr:nvSpPr>
      <xdr:spPr>
        <a:xfrm>
          <a:off x="4277360" y="2715895"/>
          <a:ext cx="1964055" cy="5899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43655"/>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7211695"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10212070"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9203055"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2223750"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9865"/>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720070" y="7013575"/>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560705</xdr:colOff>
      <xdr:row>7</xdr:row>
      <xdr:rowOff>421005</xdr:rowOff>
    </xdr:from>
    <xdr:to>
      <xdr:col>14</xdr:col>
      <xdr:colOff>610446</xdr:colOff>
      <xdr:row>8</xdr:row>
      <xdr:rowOff>443921</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34070" y="4450080"/>
          <a:ext cx="1849755"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4137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4</xdr:col>
      <xdr:colOff>596265</xdr:colOff>
      <xdr:row>2</xdr:row>
      <xdr:rowOff>0</xdr:rowOff>
    </xdr:from>
    <xdr:ext cx="643890" cy="496570"/>
    <xdr:sp>
      <xdr:nvSpPr>
        <xdr:cNvPr id="4" name="テキスト ボックス 3"/>
        <xdr:cNvSpPr txBox="1"/>
      </xdr:nvSpPr>
      <xdr:spPr>
        <a:xfrm>
          <a:off x="2642870" y="824865"/>
          <a:ext cx="643890" cy="49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41343"/>
    <xdr:sp>
      <xdr:nvSpPr>
        <xdr:cNvPr id="5" name="テキスト ボックス 4"/>
        <xdr:cNvSpPr txBox="1"/>
      </xdr:nvSpPr>
      <xdr:spPr>
        <a:xfrm>
          <a:off x="2663190" y="2765425"/>
          <a:ext cx="558800" cy="4413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41343"/>
    <xdr:sp>
      <xdr:nvSpPr>
        <xdr:cNvPr id="6" name="テキスト ボックス 5"/>
        <xdr:cNvSpPr txBox="1"/>
      </xdr:nvSpPr>
      <xdr:spPr>
        <a:xfrm>
          <a:off x="4423410" y="2774315"/>
          <a:ext cx="558800" cy="4413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17950"/>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7592695"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1074293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92175"/>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43350"/>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87015"/>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87015"/>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525145</xdr:colOff>
      <xdr:row>2</xdr:row>
      <xdr:rowOff>41910</xdr:rowOff>
    </xdr:from>
    <xdr:ext cx="618067" cy="368299"/>
    <xdr:sp>
      <xdr:nvSpPr>
        <xdr:cNvPr id="23" name="テキスト ボックス 22"/>
        <xdr:cNvSpPr txBox="1"/>
      </xdr:nvSpPr>
      <xdr:spPr>
        <a:xfrm>
          <a:off x="3171825" y="866775"/>
          <a:ext cx="617855" cy="3676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35425"/>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1816080" y="7705725"/>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487680</xdr:colOff>
      <xdr:row>24</xdr:row>
      <xdr:rowOff>30480</xdr:rowOff>
    </xdr:from>
    <xdr:to>
      <xdr:col>15</xdr:col>
      <xdr:colOff>113242</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512050" y="73933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261860" y="13831570"/>
          <a:ext cx="1849755" cy="742950"/>
        </a:xfrm>
        <a:prstGeom prst="rect">
          <a:avLst/>
        </a:prstGeom>
        <a:effectLst>
          <a:outerShdw blurRad="50800" dist="50800" dir="5400000" algn="ctr" rotWithShape="0">
            <a:srgbClr val="000000">
              <a:alpha val="98000"/>
            </a:srgbClr>
          </a:outerShdw>
        </a:effectLst>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518160</xdr:colOff>
      <xdr:row>25</xdr:row>
      <xdr:rowOff>15240</xdr:rowOff>
    </xdr:from>
    <xdr:to>
      <xdr:col>15</xdr:col>
      <xdr:colOff>467572</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516620" y="13438505"/>
          <a:ext cx="1780540" cy="742315"/>
        </a:xfrm>
        <a:prstGeom prst="rect">
          <a:avLst/>
        </a:prstGeom>
        <a:effectLst>
          <a:outerShdw blurRad="50800" dist="50800" dir="5400000" algn="ctr" rotWithShape="0">
            <a:srgbClr val="000000">
              <a:alpha val="98000"/>
            </a:srgbClr>
          </a:outerShdw>
        </a:effectLst>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45490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125980"/>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33600"/>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431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800600"/>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13970</xdr:colOff>
      <xdr:row>0</xdr:row>
      <xdr:rowOff>26035</xdr:rowOff>
    </xdr:from>
    <xdr:to>
      <xdr:col>18</xdr:col>
      <xdr:colOff>331470</xdr:colOff>
      <xdr:row>9</xdr:row>
      <xdr:rowOff>130810</xdr:rowOff>
    </xdr:to>
    <xdr:sp>
      <xdr:nvSpPr>
        <xdr:cNvPr id="6" name="正方形/長方形 5"/>
        <xdr:cNvSpPr/>
      </xdr:nvSpPr>
      <xdr:spPr>
        <a:xfrm>
          <a:off x="10974705" y="26035"/>
          <a:ext cx="5055870" cy="2047875"/>
        </a:xfrm>
        <a:prstGeom prst="rect">
          <a:avLst/>
        </a:prstGeom>
        <a:solidFill>
          <a:srgbClr val="CCCC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9234805"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147935"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view="pageBreakPreview" zoomScaleNormal="100" topLeftCell="A61" workbookViewId="0">
      <selection activeCell="I84" sqref="$A1:$XFD1048576"/>
    </sheetView>
  </sheetViews>
  <sheetFormatPr defaultColWidth="8.09523809523809" defaultRowHeight="15" customHeight="1"/>
  <cols>
    <col min="1" max="1" width="8.69523809523809" style="50" customWidth="1"/>
    <col min="2" max="2" width="17.2" style="50" customWidth="1"/>
    <col min="3" max="3" width="21.4" style="50" customWidth="1"/>
    <col min="4" max="4" width="27.6952380952381" style="50" customWidth="1"/>
    <col min="5" max="5" width="11.8952380952381" style="50" customWidth="1"/>
    <col min="6" max="6" width="17.2" style="50" customWidth="1"/>
    <col min="7" max="7" width="16.2" style="50" customWidth="1"/>
    <col min="8" max="16384" width="8.09523809523809" style="50"/>
  </cols>
  <sheetData>
    <row r="1" ht="55.95" customHeight="1" spans="1:8">
      <c r="A1" s="478" t="s">
        <v>0</v>
      </c>
      <c r="B1" s="478"/>
      <c r="C1" s="479"/>
      <c r="D1" s="479"/>
      <c r="E1" s="479"/>
      <c r="F1" s="478" t="s">
        <v>1</v>
      </c>
      <c r="G1" s="479"/>
      <c r="H1" s="478" t="s">
        <v>2</v>
      </c>
    </row>
    <row r="2" ht="30.6" customHeight="1" spans="1:2">
      <c r="A2" s="480" t="s">
        <v>3</v>
      </c>
      <c r="B2" s="481"/>
    </row>
    <row r="3" ht="30.6" customHeight="1" spans="1:5">
      <c r="A3" s="482" t="s">
        <v>4</v>
      </c>
      <c r="B3" s="483"/>
      <c r="C3" s="484"/>
      <c r="D3" s="485" t="s">
        <v>5</v>
      </c>
      <c r="E3" s="50" t="s">
        <v>6</v>
      </c>
    </row>
    <row r="4" customHeight="1" spans="3:4">
      <c r="C4" s="486"/>
      <c r="D4" s="487">
        <v>1</v>
      </c>
    </row>
    <row r="5" s="477" customFormat="1" ht="38.4" customHeight="1" spans="1:10">
      <c r="A5" s="488" t="s">
        <v>7</v>
      </c>
      <c r="B5" s="489" t="s">
        <v>8</v>
      </c>
      <c r="C5" s="489" t="s">
        <v>9</v>
      </c>
      <c r="D5" s="490" t="s">
        <v>10</v>
      </c>
      <c r="E5" s="50"/>
      <c r="F5" s="50"/>
      <c r="J5" s="43"/>
    </row>
    <row r="6" ht="33" customHeight="1" spans="1:10">
      <c r="A6" s="491" t="s">
        <v>11</v>
      </c>
      <c r="B6" s="492" t="s">
        <v>12</v>
      </c>
      <c r="C6" s="493"/>
      <c r="D6" s="494"/>
      <c r="J6" s="43"/>
    </row>
    <row r="7" ht="32.4" customHeight="1" spans="1:10">
      <c r="A7" s="495" t="s">
        <v>13</v>
      </c>
      <c r="B7" s="496" t="s">
        <v>14</v>
      </c>
      <c r="C7" s="497">
        <f>C6-G102</f>
        <v>0</v>
      </c>
      <c r="D7" s="498"/>
      <c r="J7" s="43"/>
    </row>
    <row r="8" ht="35.4" customHeight="1" spans="1:10">
      <c r="A8" s="499" t="s">
        <v>15</v>
      </c>
      <c r="B8" s="500" t="s">
        <v>16</v>
      </c>
      <c r="C8" s="501" t="str">
        <f>IFERROR(C7/C6,"")</f>
        <v/>
      </c>
      <c r="D8" s="502"/>
      <c r="J8" s="43"/>
    </row>
    <row r="9" customHeight="1" spans="1:10">
      <c r="A9" s="503"/>
      <c r="B9" s="504"/>
      <c r="C9" s="505"/>
      <c r="D9" s="506"/>
      <c r="J9" s="43"/>
    </row>
    <row r="10" customHeight="1" spans="1:4">
      <c r="A10" s="507"/>
      <c r="B10" s="508"/>
      <c r="C10" s="509"/>
      <c r="D10" s="510"/>
    </row>
    <row r="11" customHeight="1" spans="1:4">
      <c r="A11" s="511"/>
      <c r="B11" s="512"/>
      <c r="C11" s="513"/>
      <c r="D11" s="514"/>
    </row>
    <row r="12" customHeight="1" spans="1:4">
      <c r="A12" s="515" t="s">
        <v>17</v>
      </c>
      <c r="B12" s="516" t="s">
        <v>18</v>
      </c>
      <c r="C12" s="517"/>
      <c r="D12" s="518"/>
    </row>
    <row r="13" customHeight="1" spans="1:4">
      <c r="A13" s="515" t="s">
        <v>19</v>
      </c>
      <c r="B13" s="519" t="s">
        <v>20</v>
      </c>
      <c r="C13" s="520"/>
      <c r="D13" s="521"/>
    </row>
    <row r="14" customHeight="1" spans="1:5">
      <c r="A14" s="515" t="s">
        <v>21</v>
      </c>
      <c r="B14" s="519" t="s">
        <v>22</v>
      </c>
      <c r="C14" s="520"/>
      <c r="D14" s="521"/>
      <c r="E14" s="40" t="s">
        <v>22</v>
      </c>
    </row>
    <row r="15" customHeight="1" spans="1:5">
      <c r="A15" s="515" t="s">
        <v>23</v>
      </c>
      <c r="B15" s="522" t="s">
        <v>24</v>
      </c>
      <c r="C15" s="523"/>
      <c r="D15" s="524"/>
      <c r="E15" s="40" t="s">
        <v>24</v>
      </c>
    </row>
    <row r="16" customHeight="1" spans="1:5">
      <c r="A16" s="515" t="s">
        <v>25</v>
      </c>
      <c r="B16" s="525" t="s">
        <v>26</v>
      </c>
      <c r="C16" s="526"/>
      <c r="D16" s="527"/>
      <c r="E16" s="40" t="s">
        <v>26</v>
      </c>
    </row>
    <row r="17" customHeight="1" spans="1:5">
      <c r="A17" s="515" t="s">
        <v>27</v>
      </c>
      <c r="B17" s="528" t="s">
        <v>28</v>
      </c>
      <c r="C17" s="529"/>
      <c r="D17" s="530"/>
      <c r="E17" s="40" t="s">
        <v>28</v>
      </c>
    </row>
    <row r="18" customHeight="1" spans="1:5">
      <c r="A18" s="515" t="s">
        <v>29</v>
      </c>
      <c r="B18" s="519" t="s">
        <v>30</v>
      </c>
      <c r="C18" s="520"/>
      <c r="D18" s="531"/>
      <c r="E18" s="40" t="s">
        <v>30</v>
      </c>
    </row>
    <row r="19" customHeight="1" spans="1:5">
      <c r="A19" s="515" t="s">
        <v>31</v>
      </c>
      <c r="B19" s="522" t="s">
        <v>32</v>
      </c>
      <c r="C19" s="523"/>
      <c r="D19" s="532"/>
      <c r="E19" s="40" t="s">
        <v>32</v>
      </c>
    </row>
    <row r="20" customHeight="1" spans="1:5">
      <c r="A20" s="515" t="s">
        <v>33</v>
      </c>
      <c r="B20" s="525" t="s">
        <v>34</v>
      </c>
      <c r="C20" s="526"/>
      <c r="D20" s="527"/>
      <c r="E20" s="40" t="s">
        <v>34</v>
      </c>
    </row>
    <row r="21" customHeight="1" spans="1:5">
      <c r="A21" s="515" t="s">
        <v>35</v>
      </c>
      <c r="B21" s="525" t="s">
        <v>36</v>
      </c>
      <c r="C21" s="526"/>
      <c r="D21" s="527"/>
      <c r="E21" s="40" t="s">
        <v>36</v>
      </c>
    </row>
    <row r="22" customHeight="1" spans="1:5">
      <c r="A22" s="515" t="s">
        <v>37</v>
      </c>
      <c r="B22" s="528" t="s">
        <v>38</v>
      </c>
      <c r="C22" s="529"/>
      <c r="D22" s="533"/>
      <c r="E22" s="40" t="s">
        <v>38</v>
      </c>
    </row>
    <row r="23" customHeight="1" spans="1:5">
      <c r="A23" s="515" t="s">
        <v>39</v>
      </c>
      <c r="B23" s="519" t="s">
        <v>40</v>
      </c>
      <c r="C23" s="520"/>
      <c r="D23" s="534"/>
      <c r="E23" s="40" t="s">
        <v>40</v>
      </c>
    </row>
    <row r="24" customHeight="1" spans="1:4">
      <c r="A24" s="515" t="s">
        <v>41</v>
      </c>
      <c r="B24" s="519" t="s">
        <v>42</v>
      </c>
      <c r="C24" s="520"/>
      <c r="D24" s="534"/>
    </row>
    <row r="25" customHeight="1" spans="1:4">
      <c r="A25" s="515" t="s">
        <v>43</v>
      </c>
      <c r="B25" s="519" t="s">
        <v>44</v>
      </c>
      <c r="C25" s="520"/>
      <c r="D25" s="534"/>
    </row>
    <row r="26" customHeight="1" spans="1:4">
      <c r="A26" s="515" t="s">
        <v>45</v>
      </c>
      <c r="B26" s="522" t="s">
        <v>44</v>
      </c>
      <c r="C26" s="523"/>
      <c r="D26" s="524"/>
    </row>
    <row r="27" customHeight="1" spans="1:4">
      <c r="A27" s="515" t="s">
        <v>46</v>
      </c>
      <c r="B27" s="528" t="s">
        <v>47</v>
      </c>
      <c r="C27" s="529"/>
      <c r="D27" s="535"/>
    </row>
    <row r="28" customHeight="1" spans="1:4">
      <c r="A28" s="515" t="s">
        <v>48</v>
      </c>
      <c r="B28" s="536" t="s">
        <v>49</v>
      </c>
      <c r="C28" s="537"/>
      <c r="D28" s="538"/>
    </row>
    <row r="29" customHeight="1" spans="1:4">
      <c r="A29" s="539" t="s">
        <v>50</v>
      </c>
      <c r="B29" s="540" t="s">
        <v>51</v>
      </c>
      <c r="C29" s="493"/>
      <c r="D29" s="541"/>
    </row>
    <row r="30" customHeight="1" spans="1:4">
      <c r="A30" s="539" t="s">
        <v>52</v>
      </c>
      <c r="B30" s="542" t="s">
        <v>53</v>
      </c>
      <c r="C30" s="529"/>
      <c r="D30" s="530"/>
    </row>
    <row r="31" customHeight="1" spans="1:4">
      <c r="A31" s="539" t="s">
        <v>54</v>
      </c>
      <c r="B31" s="543" t="s">
        <v>55</v>
      </c>
      <c r="C31" s="544"/>
      <c r="D31" s="545"/>
    </row>
    <row r="32" customHeight="1" spans="1:4">
      <c r="A32" s="539" t="s">
        <v>56</v>
      </c>
      <c r="B32" s="546" t="s">
        <v>57</v>
      </c>
      <c r="C32" s="547"/>
      <c r="D32" s="548"/>
    </row>
    <row r="33" customHeight="1" spans="1:4">
      <c r="A33" s="539" t="s">
        <v>58</v>
      </c>
      <c r="B33" s="549" t="s">
        <v>59</v>
      </c>
      <c r="C33" s="550"/>
      <c r="D33" s="551"/>
    </row>
    <row r="34" customHeight="1" spans="1:4">
      <c r="A34" s="539" t="s">
        <v>60</v>
      </c>
      <c r="B34" s="552" t="s">
        <v>61</v>
      </c>
      <c r="C34" s="523"/>
      <c r="D34" s="532"/>
    </row>
    <row r="35" customHeight="1" spans="1:4">
      <c r="A35" s="539" t="s">
        <v>62</v>
      </c>
      <c r="B35" s="542" t="s">
        <v>63</v>
      </c>
      <c r="C35" s="529"/>
      <c r="D35" s="530"/>
    </row>
    <row r="36" customHeight="1" spans="1:4">
      <c r="A36" s="539" t="s">
        <v>64</v>
      </c>
      <c r="B36" s="552" t="s">
        <v>65</v>
      </c>
      <c r="C36" s="523"/>
      <c r="D36" s="532"/>
    </row>
    <row r="37" customHeight="1" spans="1:4">
      <c r="A37" s="553" t="s">
        <v>66</v>
      </c>
      <c r="B37" s="542" t="s">
        <v>67</v>
      </c>
      <c r="C37" s="529"/>
      <c r="D37" s="530"/>
    </row>
    <row r="38" customHeight="1" spans="1:4">
      <c r="A38" s="553" t="s">
        <v>68</v>
      </c>
      <c r="B38" s="554" t="s">
        <v>69</v>
      </c>
      <c r="C38" s="520"/>
      <c r="D38" s="531"/>
    </row>
    <row r="39" customHeight="1" spans="1:4">
      <c r="A39" s="553" t="s">
        <v>70</v>
      </c>
      <c r="B39" s="554" t="s">
        <v>71</v>
      </c>
      <c r="C39" s="520"/>
      <c r="D39" s="531"/>
    </row>
    <row r="40" customHeight="1" spans="1:4">
      <c r="A40" s="553" t="s">
        <v>72</v>
      </c>
      <c r="B40" s="554" t="s">
        <v>73</v>
      </c>
      <c r="C40" s="520"/>
      <c r="D40" s="531"/>
    </row>
    <row r="41" customHeight="1" spans="1:4">
      <c r="A41" s="553" t="s">
        <v>74</v>
      </c>
      <c r="B41" s="554" t="s">
        <v>75</v>
      </c>
      <c r="C41" s="520"/>
      <c r="D41" s="531"/>
    </row>
    <row r="42" customHeight="1" spans="1:4">
      <c r="A42" s="553" t="s">
        <v>76</v>
      </c>
      <c r="B42" s="555" t="s">
        <v>77</v>
      </c>
      <c r="C42" s="556"/>
      <c r="D42" s="557"/>
    </row>
    <row r="43" customHeight="1" spans="1:4">
      <c r="A43" s="558" t="s">
        <v>78</v>
      </c>
      <c r="B43" s="559" t="s">
        <v>79</v>
      </c>
      <c r="C43" s="560"/>
      <c r="D43" s="561"/>
    </row>
    <row r="44" customHeight="1" spans="1:4">
      <c r="A44" s="562" t="s">
        <v>80</v>
      </c>
      <c r="B44" s="563" t="s">
        <v>81</v>
      </c>
      <c r="C44" s="564"/>
      <c r="D44" s="565"/>
    </row>
    <row r="45" customHeight="1" spans="1:4">
      <c r="A45" s="562" t="s">
        <v>82</v>
      </c>
      <c r="B45" s="566" t="s">
        <v>83</v>
      </c>
      <c r="C45" s="567"/>
      <c r="D45" s="535"/>
    </row>
    <row r="46" customHeight="1" spans="1:4">
      <c r="A46" s="562" t="s">
        <v>84</v>
      </c>
      <c r="B46" s="563" t="s">
        <v>85</v>
      </c>
      <c r="C46" s="564"/>
      <c r="D46" s="565"/>
    </row>
    <row r="47" customHeight="1" spans="1:4">
      <c r="A47" s="562" t="s">
        <v>86</v>
      </c>
      <c r="B47" s="566" t="s">
        <v>87</v>
      </c>
      <c r="C47" s="567"/>
      <c r="D47" s="535"/>
    </row>
    <row r="48" customHeight="1" spans="1:4">
      <c r="A48" s="562" t="s">
        <v>88</v>
      </c>
      <c r="B48" s="568" t="s">
        <v>89</v>
      </c>
      <c r="C48" s="569"/>
      <c r="D48" s="538"/>
    </row>
    <row r="49" customHeight="1" spans="1:4">
      <c r="A49" s="562" t="s">
        <v>90</v>
      </c>
      <c r="B49" s="570" t="s">
        <v>91</v>
      </c>
      <c r="C49" s="571"/>
      <c r="D49" s="572"/>
    </row>
    <row r="50" customHeight="1" spans="1:4">
      <c r="A50" s="562" t="s">
        <v>92</v>
      </c>
      <c r="B50" s="573" t="s">
        <v>93</v>
      </c>
      <c r="C50" s="567"/>
      <c r="D50" s="535"/>
    </row>
    <row r="51" customHeight="1" spans="1:4">
      <c r="A51" s="562" t="s">
        <v>94</v>
      </c>
      <c r="B51" s="574" t="s">
        <v>95</v>
      </c>
      <c r="C51" s="575"/>
      <c r="D51" s="521"/>
    </row>
    <row r="52" customHeight="1" spans="1:4">
      <c r="A52" s="562" t="s">
        <v>96</v>
      </c>
      <c r="B52" s="576" t="s">
        <v>97</v>
      </c>
      <c r="C52" s="564"/>
      <c r="D52" s="565"/>
    </row>
    <row r="53" customHeight="1" spans="1:4">
      <c r="A53" s="562" t="s">
        <v>98</v>
      </c>
      <c r="B53" s="573" t="s">
        <v>99</v>
      </c>
      <c r="C53" s="567"/>
      <c r="D53" s="535"/>
    </row>
    <row r="54" customHeight="1" spans="1:4">
      <c r="A54" s="562" t="s">
        <v>100</v>
      </c>
      <c r="B54" s="574" t="s">
        <v>101</v>
      </c>
      <c r="C54" s="575"/>
      <c r="D54" s="577"/>
    </row>
    <row r="55" customHeight="1" spans="1:4">
      <c r="A55" s="562" t="s">
        <v>102</v>
      </c>
      <c r="B55" s="576" t="s">
        <v>103</v>
      </c>
      <c r="C55" s="564"/>
      <c r="D55" s="565"/>
    </row>
    <row r="56" customHeight="1" spans="1:5">
      <c r="A56" s="562" t="s">
        <v>104</v>
      </c>
      <c r="B56" s="573" t="s">
        <v>105</v>
      </c>
      <c r="C56" s="567"/>
      <c r="D56" s="535"/>
      <c r="E56" s="40" t="s">
        <v>105</v>
      </c>
    </row>
    <row r="57" customHeight="1" spans="1:5">
      <c r="A57" s="562" t="s">
        <v>106</v>
      </c>
      <c r="B57" s="576" t="s">
        <v>107</v>
      </c>
      <c r="C57" s="564"/>
      <c r="D57" s="578">
        <f>SUM(D60:D62)</f>
        <v>0</v>
      </c>
      <c r="E57" s="40" t="s">
        <v>108</v>
      </c>
    </row>
    <row r="58" customHeight="1" spans="1:5">
      <c r="A58" s="579" t="s">
        <v>109</v>
      </c>
      <c r="B58" s="580" t="s">
        <v>63</v>
      </c>
      <c r="C58" s="581"/>
      <c r="D58" s="582"/>
      <c r="E58" s="40" t="s">
        <v>63</v>
      </c>
    </row>
    <row r="59" customHeight="1" spans="1:5">
      <c r="A59" s="583" t="s">
        <v>110</v>
      </c>
      <c r="B59" s="584" t="s">
        <v>111</v>
      </c>
      <c r="C59" s="585"/>
      <c r="D59" s="518"/>
      <c r="E59" s="40" t="s">
        <v>28</v>
      </c>
    </row>
    <row r="60" customHeight="1" spans="1:5">
      <c r="A60" s="583" t="s">
        <v>110</v>
      </c>
      <c r="B60" s="586" t="s">
        <v>18</v>
      </c>
      <c r="C60" s="587"/>
      <c r="D60" s="565"/>
      <c r="E60" s="40"/>
    </row>
    <row r="61" customHeight="1" spans="1:5">
      <c r="A61" s="583" t="s">
        <v>110</v>
      </c>
      <c r="B61" s="588" t="s">
        <v>26</v>
      </c>
      <c r="C61" s="589"/>
      <c r="D61" s="535"/>
      <c r="E61" s="40" t="s">
        <v>112</v>
      </c>
    </row>
    <row r="62" customHeight="1" spans="1:5">
      <c r="A62" s="583" t="s">
        <v>110</v>
      </c>
      <c r="B62" s="590" t="s">
        <v>30</v>
      </c>
      <c r="C62" s="591"/>
      <c r="D62" s="538"/>
      <c r="E62" s="40" t="s">
        <v>32</v>
      </c>
    </row>
    <row r="63" customHeight="1" spans="1:7">
      <c r="A63" s="592" t="s">
        <v>113</v>
      </c>
      <c r="B63" s="593" t="s">
        <v>114</v>
      </c>
      <c r="C63" s="594"/>
      <c r="D63" s="572"/>
      <c r="E63" s="595"/>
      <c r="F63" s="596" t="s">
        <v>115</v>
      </c>
      <c r="G63" s="597" t="s">
        <v>116</v>
      </c>
    </row>
    <row r="64" customHeight="1" spans="1:7">
      <c r="A64" s="598" t="s">
        <v>117</v>
      </c>
      <c r="B64" s="599" t="s">
        <v>118</v>
      </c>
      <c r="C64" s="600"/>
      <c r="D64" s="535"/>
      <c r="E64" s="601" t="s">
        <v>119</v>
      </c>
      <c r="F64" s="602" t="s">
        <v>120</v>
      </c>
      <c r="G64" s="603"/>
    </row>
    <row r="65" customHeight="1" spans="1:7">
      <c r="A65" s="598" t="s">
        <v>121</v>
      </c>
      <c r="B65" s="604" t="s">
        <v>122</v>
      </c>
      <c r="C65" s="605"/>
      <c r="D65" s="521"/>
      <c r="E65" s="601" t="s">
        <v>119</v>
      </c>
      <c r="F65" s="602" t="s">
        <v>123</v>
      </c>
      <c r="G65" s="603"/>
    </row>
    <row r="66" customHeight="1" spans="1:7">
      <c r="A66" s="598" t="s">
        <v>124</v>
      </c>
      <c r="B66" s="606" t="s">
        <v>125</v>
      </c>
      <c r="C66" s="607"/>
      <c r="D66" s="565"/>
      <c r="E66" s="601" t="s">
        <v>119</v>
      </c>
      <c r="F66" s="602"/>
      <c r="G66" s="603"/>
    </row>
    <row r="67" customHeight="1" spans="1:7">
      <c r="A67" s="598" t="s">
        <v>126</v>
      </c>
      <c r="B67" s="599" t="s">
        <v>127</v>
      </c>
      <c r="C67" s="600"/>
      <c r="D67" s="535"/>
      <c r="E67" s="601" t="s">
        <v>119</v>
      </c>
      <c r="F67" s="608"/>
      <c r="G67" s="582"/>
    </row>
    <row r="68" customHeight="1" spans="1:7">
      <c r="A68" s="598" t="s">
        <v>128</v>
      </c>
      <c r="B68" s="609" t="s">
        <v>129</v>
      </c>
      <c r="C68" s="610"/>
      <c r="D68" s="538"/>
      <c r="E68" s="595"/>
      <c r="F68" s="611" t="s">
        <v>130</v>
      </c>
      <c r="G68" s="612"/>
    </row>
    <row r="69" customHeight="1" spans="1:7">
      <c r="A69" s="598" t="s">
        <v>131</v>
      </c>
      <c r="B69" s="613" t="s">
        <v>132</v>
      </c>
      <c r="C69" s="614"/>
      <c r="D69" s="615"/>
      <c r="E69" s="601" t="s">
        <v>133</v>
      </c>
      <c r="F69" s="602" t="s">
        <v>134</v>
      </c>
      <c r="G69" s="603"/>
    </row>
    <row r="70" customHeight="1" spans="1:7">
      <c r="A70" s="598" t="s">
        <v>135</v>
      </c>
      <c r="B70" s="599" t="s">
        <v>136</v>
      </c>
      <c r="C70" s="529"/>
      <c r="D70" s="535"/>
      <c r="E70" s="601" t="s">
        <v>133</v>
      </c>
      <c r="F70" s="602"/>
      <c r="G70" s="603"/>
    </row>
    <row r="71" customHeight="1" spans="1:7">
      <c r="A71" s="598" t="s">
        <v>137</v>
      </c>
      <c r="B71" s="606" t="s">
        <v>138</v>
      </c>
      <c r="C71" s="523"/>
      <c r="D71" s="565"/>
      <c r="E71" s="601" t="s">
        <v>133</v>
      </c>
      <c r="F71" s="602"/>
      <c r="G71" s="603"/>
    </row>
    <row r="72" customHeight="1" spans="1:7">
      <c r="A72" s="598" t="s">
        <v>139</v>
      </c>
      <c r="B72" s="599" t="s">
        <v>140</v>
      </c>
      <c r="C72" s="529"/>
      <c r="D72" s="535"/>
      <c r="E72" s="601" t="s">
        <v>133</v>
      </c>
      <c r="F72" s="608"/>
      <c r="G72" s="582"/>
    </row>
    <row r="73" customHeight="1" spans="1:7">
      <c r="A73" s="598" t="s">
        <v>141</v>
      </c>
      <c r="B73" s="606" t="s">
        <v>142</v>
      </c>
      <c r="C73" s="523"/>
      <c r="D73" s="565"/>
      <c r="E73" s="595"/>
      <c r="F73" s="611" t="s">
        <v>143</v>
      </c>
      <c r="G73" s="612"/>
    </row>
    <row r="74" customHeight="1" spans="1:7">
      <c r="A74" s="598" t="s">
        <v>144</v>
      </c>
      <c r="B74" s="616" t="s">
        <v>145</v>
      </c>
      <c r="C74" s="526"/>
      <c r="D74" s="603"/>
      <c r="E74" s="601" t="s">
        <v>146</v>
      </c>
      <c r="F74" s="602" t="s">
        <v>120</v>
      </c>
      <c r="G74" s="603"/>
    </row>
    <row r="75" customHeight="1" spans="1:7">
      <c r="A75" s="598" t="s">
        <v>147</v>
      </c>
      <c r="B75" s="616" t="s">
        <v>148</v>
      </c>
      <c r="C75" s="526"/>
      <c r="D75" s="603"/>
      <c r="E75" s="601" t="s">
        <v>146</v>
      </c>
      <c r="F75" s="602" t="s">
        <v>149</v>
      </c>
      <c r="G75" s="603"/>
    </row>
    <row r="76" customHeight="1" spans="1:7">
      <c r="A76" s="598" t="s">
        <v>150</v>
      </c>
      <c r="B76" s="599" t="s">
        <v>151</v>
      </c>
      <c r="C76" s="529"/>
      <c r="D76" s="535"/>
      <c r="E76" s="601" t="s">
        <v>146</v>
      </c>
      <c r="F76" s="602"/>
      <c r="G76" s="603"/>
    </row>
    <row r="77" customHeight="1" spans="1:7">
      <c r="A77" s="598" t="s">
        <v>152</v>
      </c>
      <c r="B77" s="606" t="s">
        <v>153</v>
      </c>
      <c r="C77" s="523"/>
      <c r="D77" s="565"/>
      <c r="E77" s="601" t="s">
        <v>146</v>
      </c>
      <c r="F77" s="608"/>
      <c r="G77" s="582"/>
    </row>
    <row r="78" customHeight="1" spans="1:7">
      <c r="A78" s="598" t="s">
        <v>154</v>
      </c>
      <c r="B78" s="616" t="s">
        <v>155</v>
      </c>
      <c r="C78" s="526"/>
      <c r="D78" s="603"/>
      <c r="E78" s="595"/>
      <c r="F78" s="611" t="s">
        <v>156</v>
      </c>
      <c r="G78" s="612"/>
    </row>
    <row r="79" customHeight="1" spans="1:7">
      <c r="A79" s="598" t="s">
        <v>157</v>
      </c>
      <c r="B79" s="599" t="s">
        <v>158</v>
      </c>
      <c r="C79" s="529"/>
      <c r="D79" s="535"/>
      <c r="E79" s="617" t="s">
        <v>159</v>
      </c>
      <c r="F79" s="602" t="s">
        <v>160</v>
      </c>
      <c r="G79" s="603"/>
    </row>
    <row r="80" customHeight="1" spans="1:7">
      <c r="A80" s="598" t="s">
        <v>161</v>
      </c>
      <c r="B80" s="606" t="s">
        <v>162</v>
      </c>
      <c r="C80" s="523"/>
      <c r="D80" s="565"/>
      <c r="E80" s="617" t="s">
        <v>159</v>
      </c>
      <c r="F80" s="602"/>
      <c r="G80" s="603"/>
    </row>
    <row r="81" customHeight="1" spans="1:7">
      <c r="A81" s="598" t="s">
        <v>163</v>
      </c>
      <c r="B81" s="599" t="s">
        <v>164</v>
      </c>
      <c r="C81" s="529"/>
      <c r="D81" s="535"/>
      <c r="E81" s="617" t="s">
        <v>159</v>
      </c>
      <c r="F81" s="602"/>
      <c r="G81" s="603"/>
    </row>
    <row r="82" customHeight="1" spans="1:7">
      <c r="A82" s="598" t="s">
        <v>165</v>
      </c>
      <c r="B82" s="606" t="s">
        <v>166</v>
      </c>
      <c r="C82" s="523"/>
      <c r="D82" s="565"/>
      <c r="E82" s="618" t="s">
        <v>159</v>
      </c>
      <c r="F82" s="608"/>
      <c r="G82" s="582"/>
    </row>
    <row r="83" customHeight="1" spans="1:5">
      <c r="A83" s="598" t="s">
        <v>167</v>
      </c>
      <c r="B83" s="599" t="s">
        <v>168</v>
      </c>
      <c r="C83" s="529"/>
      <c r="D83" s="535"/>
      <c r="E83" s="40" t="s">
        <v>168</v>
      </c>
    </row>
    <row r="84" customHeight="1" spans="1:5">
      <c r="A84" s="598" t="s">
        <v>169</v>
      </c>
      <c r="B84" s="604" t="s">
        <v>170</v>
      </c>
      <c r="C84" s="520"/>
      <c r="D84" s="521"/>
      <c r="E84" s="40" t="s">
        <v>170</v>
      </c>
    </row>
    <row r="85" customHeight="1" spans="1:5">
      <c r="A85" s="598" t="s">
        <v>171</v>
      </c>
      <c r="B85" s="604" t="s">
        <v>172</v>
      </c>
      <c r="C85" s="520"/>
      <c r="D85" s="521"/>
      <c r="E85" s="40" t="s">
        <v>172</v>
      </c>
    </row>
    <row r="86" customHeight="1" spans="1:5">
      <c r="A86" s="598" t="s">
        <v>173</v>
      </c>
      <c r="B86" s="604" t="s">
        <v>174</v>
      </c>
      <c r="C86" s="520"/>
      <c r="D86" s="521"/>
      <c r="E86" s="40" t="s">
        <v>174</v>
      </c>
    </row>
    <row r="87" customHeight="1" spans="1:5">
      <c r="A87" s="598" t="s">
        <v>175</v>
      </c>
      <c r="B87" s="604" t="s">
        <v>176</v>
      </c>
      <c r="C87" s="520"/>
      <c r="D87" s="521"/>
      <c r="E87" s="40" t="s">
        <v>176</v>
      </c>
    </row>
    <row r="88" customHeight="1" spans="1:5">
      <c r="A88" s="598" t="s">
        <v>177</v>
      </c>
      <c r="B88" s="604" t="s">
        <v>178</v>
      </c>
      <c r="C88" s="520"/>
      <c r="D88" s="521"/>
      <c r="E88" s="40" t="s">
        <v>178</v>
      </c>
    </row>
    <row r="89" customHeight="1" spans="1:5">
      <c r="A89" s="598" t="s">
        <v>179</v>
      </c>
      <c r="B89" s="604" t="s">
        <v>180</v>
      </c>
      <c r="C89" s="520"/>
      <c r="D89" s="521"/>
      <c r="E89" s="40" t="s">
        <v>180</v>
      </c>
    </row>
    <row r="90" customHeight="1" spans="1:5">
      <c r="A90" s="598" t="s">
        <v>181</v>
      </c>
      <c r="B90" s="604" t="s">
        <v>182</v>
      </c>
      <c r="C90" s="520"/>
      <c r="D90" s="521"/>
      <c r="E90" s="40" t="s">
        <v>182</v>
      </c>
    </row>
    <row r="91" customHeight="1" spans="1:5">
      <c r="A91" s="598" t="s">
        <v>183</v>
      </c>
      <c r="B91" s="604" t="s">
        <v>184</v>
      </c>
      <c r="C91" s="520"/>
      <c r="D91" s="521"/>
      <c r="E91" s="40" t="s">
        <v>184</v>
      </c>
    </row>
    <row r="92" customHeight="1" spans="1:5">
      <c r="A92" s="598" t="s">
        <v>185</v>
      </c>
      <c r="B92" s="604" t="s">
        <v>186</v>
      </c>
      <c r="C92" s="520"/>
      <c r="D92" s="521"/>
      <c r="E92" s="40" t="s">
        <v>186</v>
      </c>
    </row>
    <row r="93" customHeight="1" spans="1:5">
      <c r="A93" s="598" t="s">
        <v>187</v>
      </c>
      <c r="B93" s="604" t="s">
        <v>188</v>
      </c>
      <c r="C93" s="520"/>
      <c r="D93" s="521"/>
      <c r="E93" s="40" t="s">
        <v>188</v>
      </c>
    </row>
    <row r="94" customHeight="1" spans="1:5">
      <c r="A94" s="598" t="s">
        <v>189</v>
      </c>
      <c r="B94" s="604" t="s">
        <v>190</v>
      </c>
      <c r="C94" s="520"/>
      <c r="D94" s="521"/>
      <c r="E94" s="40" t="s">
        <v>190</v>
      </c>
    </row>
    <row r="95" customHeight="1" spans="1:5">
      <c r="A95" s="598" t="s">
        <v>191</v>
      </c>
      <c r="B95" s="604" t="s">
        <v>192</v>
      </c>
      <c r="C95" s="520"/>
      <c r="D95" s="521"/>
      <c r="E95" s="40" t="s">
        <v>192</v>
      </c>
    </row>
    <row r="96" customHeight="1" spans="1:5">
      <c r="A96" s="598" t="s">
        <v>193</v>
      </c>
      <c r="B96" s="604" t="s">
        <v>194</v>
      </c>
      <c r="C96" s="520"/>
      <c r="D96" s="521"/>
      <c r="E96" s="40" t="s">
        <v>194</v>
      </c>
    </row>
    <row r="97" customHeight="1" spans="1:5">
      <c r="A97" s="598" t="s">
        <v>195</v>
      </c>
      <c r="B97" s="604" t="s">
        <v>196</v>
      </c>
      <c r="C97" s="520"/>
      <c r="D97" s="521"/>
      <c r="E97" s="40" t="s">
        <v>196</v>
      </c>
    </row>
    <row r="98" customHeight="1" spans="1:5">
      <c r="A98" s="598" t="s">
        <v>197</v>
      </c>
      <c r="B98" s="604" t="s">
        <v>112</v>
      </c>
      <c r="C98" s="520"/>
      <c r="D98" s="521"/>
      <c r="E98" s="40" t="s">
        <v>112</v>
      </c>
    </row>
    <row r="99" customHeight="1" spans="1:5">
      <c r="A99" s="619" t="s">
        <v>198</v>
      </c>
      <c r="B99" s="609" t="s">
        <v>199</v>
      </c>
      <c r="C99" s="537"/>
      <c r="D99" s="538"/>
      <c r="E99" s="40" t="s">
        <v>199</v>
      </c>
    </row>
    <row r="100" customHeight="1" spans="1:5">
      <c r="A100" s="620" t="s">
        <v>200</v>
      </c>
      <c r="B100" s="621" t="s">
        <v>201</v>
      </c>
      <c r="C100" s="622"/>
      <c r="D100" s="623"/>
      <c r="E100" s="40" t="s">
        <v>201</v>
      </c>
    </row>
    <row r="101" customHeight="1" spans="1:5">
      <c r="A101" s="624" t="s">
        <v>202</v>
      </c>
      <c r="B101" s="625" t="s">
        <v>203</v>
      </c>
      <c r="C101" s="626"/>
      <c r="D101" s="541"/>
      <c r="E101" s="40" t="s">
        <v>204</v>
      </c>
    </row>
    <row r="102" customHeight="1" spans="1:7">
      <c r="A102" s="601" t="s">
        <v>119</v>
      </c>
      <c r="B102" s="611" t="s">
        <v>204</v>
      </c>
      <c r="C102" s="526">
        <f>SUM(G64:G67)</f>
        <v>0</v>
      </c>
      <c r="D102" s="627"/>
      <c r="E102" s="628" t="s">
        <v>205</v>
      </c>
      <c r="F102" s="629" t="s">
        <v>206</v>
      </c>
      <c r="G102" s="630">
        <f>SUM(D12:D58)+SUM(D63:D100)</f>
        <v>0</v>
      </c>
    </row>
    <row r="103" ht="19.95" customHeight="1" spans="1:7">
      <c r="A103" s="601" t="s">
        <v>133</v>
      </c>
      <c r="B103" s="611" t="s">
        <v>207</v>
      </c>
      <c r="C103" s="526">
        <f>SUM(G69:G72)</f>
        <v>0</v>
      </c>
      <c r="D103" s="627"/>
      <c r="E103" s="631"/>
      <c r="F103" s="632" t="s">
        <v>208</v>
      </c>
      <c r="G103" s="633">
        <f>SUM(C12:C100)</f>
        <v>0</v>
      </c>
    </row>
    <row r="104" ht="18" customHeight="1" spans="1:7">
      <c r="A104" s="634"/>
      <c r="B104" s="611" t="s">
        <v>209</v>
      </c>
      <c r="C104" s="526">
        <f>G105+C102-C103</f>
        <v>0</v>
      </c>
      <c r="D104" s="627"/>
      <c r="E104" s="635"/>
      <c r="F104" s="632"/>
      <c r="G104" s="633"/>
    </row>
    <row r="105" customHeight="1" spans="1:7">
      <c r="A105" s="601" t="s">
        <v>146</v>
      </c>
      <c r="B105" s="611" t="s">
        <v>210</v>
      </c>
      <c r="C105" s="526">
        <f>SUM(G74:G77)</f>
        <v>0</v>
      </c>
      <c r="D105" s="627"/>
      <c r="E105" s="635"/>
      <c r="F105" s="632" t="s">
        <v>211</v>
      </c>
      <c r="G105" s="633">
        <f>C7-G103</f>
        <v>0</v>
      </c>
    </row>
    <row r="106" ht="15.75" customHeight="1" spans="1:7">
      <c r="A106" s="601" t="s">
        <v>159</v>
      </c>
      <c r="B106" s="636" t="s">
        <v>212</v>
      </c>
      <c r="C106" s="544">
        <f>SUM(G79:G82)</f>
        <v>0</v>
      </c>
      <c r="D106" s="545"/>
      <c r="E106" s="637"/>
      <c r="F106" s="638" t="s">
        <v>213</v>
      </c>
      <c r="G106" s="639">
        <f>C104+C105-C106</f>
        <v>0</v>
      </c>
    </row>
    <row r="108" customHeight="1" spans="1:3">
      <c r="A108" s="640"/>
      <c r="B108" s="640"/>
      <c r="C108" s="641"/>
    </row>
    <row r="109" customHeight="1" spans="1:3">
      <c r="A109" s="640"/>
      <c r="B109" s="640"/>
      <c r="C109" s="641"/>
    </row>
    <row r="110" customHeight="1" spans="1:3">
      <c r="A110" s="642"/>
      <c r="B110" s="640"/>
      <c r="C110" s="641"/>
    </row>
    <row r="111" customHeight="1" spans="1:3">
      <c r="A111" s="642"/>
      <c r="B111" s="640"/>
      <c r="C111" s="641"/>
    </row>
    <row r="112" customHeight="1" spans="1:3">
      <c r="A112" s="642"/>
      <c r="B112" s="640"/>
      <c r="C112" s="641"/>
    </row>
    <row r="116" customHeight="1" spans="5:5">
      <c r="E116" s="40"/>
    </row>
    <row r="117" customHeight="1" spans="5:5">
      <c r="E117" s="40"/>
    </row>
    <row r="118" customHeight="1" spans="5:5">
      <c r="E118" s="40"/>
    </row>
    <row r="119" customHeight="1" spans="5:5">
      <c r="E119" s="40"/>
    </row>
    <row r="120" customHeight="1" spans="5:5">
      <c r="E120" s="40"/>
    </row>
  </sheetData>
  <sheetProtection algorithmName="SHA-512" hashValue="jLiZGFCeEkosyr57E2OrVc0PGOCETyqaaRHUwpYCrI6Zj2x1dm+MxGMy8q9Popk9H1ktcY8GzjX5VzyGpZj7ng==" saltValue="8hC4UDvf8FmgnSebHVid6A==" spinCount="100000" sheet="1" objects="1"/>
  <mergeCells count="3">
    <mergeCell ref="A1:B1"/>
    <mergeCell ref="C1:E1"/>
    <mergeCell ref="E3:G3"/>
  </mergeCells>
  <dataValidations count="1">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ignoredErrors>
    <ignoredError sqref="C8" listDataValidatio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A1:T36"/>
  <sheetViews>
    <sheetView view="pageBreakPreview" zoomScale="90" zoomScaleNormal="90" workbookViewId="0">
      <selection activeCell="L3" sqref="L3:O12"/>
    </sheetView>
  </sheetViews>
  <sheetFormatPr defaultColWidth="9" defaultRowHeight="15"/>
  <cols>
    <col min="1" max="1" width="3.4" customWidth="1"/>
    <col min="7" max="7" width="15.5047619047619" customWidth="1"/>
    <col min="9" max="9" width="28.247619047619" customWidth="1"/>
    <col min="10" max="11" width="3.5047619047619" customWidth="1"/>
  </cols>
  <sheetData>
    <row r="1" spans="1:20">
      <c r="A1" s="11"/>
      <c r="B1" s="11">
        <f>スタート!C1</f>
        <v>0</v>
      </c>
      <c r="C1" s="11"/>
      <c r="D1" s="11"/>
      <c r="E1" s="11"/>
      <c r="F1" s="11"/>
      <c r="G1" s="11"/>
      <c r="H1" s="11"/>
      <c r="I1" s="11"/>
      <c r="J1" s="11"/>
      <c r="K1" s="11"/>
      <c r="L1" s="11"/>
      <c r="M1" s="11"/>
      <c r="N1" s="11"/>
      <c r="O1" s="11"/>
      <c r="P1" s="11"/>
      <c r="Q1" s="11"/>
      <c r="R1" s="11"/>
      <c r="S1" s="11"/>
      <c r="T1" s="11"/>
    </row>
    <row r="2" ht="49.2" customHeight="1" spans="1:20">
      <c r="A2" s="11"/>
      <c r="B2" s="348" t="s">
        <v>214</v>
      </c>
      <c r="C2" s="348"/>
      <c r="D2" s="348"/>
      <c r="E2" s="348"/>
      <c r="F2" s="348"/>
      <c r="G2" s="348"/>
      <c r="H2" s="348"/>
      <c r="I2" s="348"/>
      <c r="J2" s="11"/>
      <c r="K2" s="11"/>
      <c r="L2" s="11"/>
      <c r="M2" s="11"/>
      <c r="N2" s="11"/>
      <c r="O2" s="11"/>
      <c r="P2" s="11"/>
      <c r="Q2" s="11"/>
      <c r="R2" s="11"/>
      <c r="S2" s="11"/>
      <c r="T2" s="11"/>
    </row>
    <row r="3" spans="1:20">
      <c r="A3" s="11"/>
      <c r="B3" s="349">
        <f>スタート!C6</f>
        <v>0</v>
      </c>
      <c r="C3" s="438"/>
      <c r="D3" s="438"/>
      <c r="E3" s="439"/>
      <c r="F3" s="440">
        <f>スタート!G102</f>
        <v>0</v>
      </c>
      <c r="G3" s="441"/>
      <c r="H3" s="441"/>
      <c r="I3" s="460"/>
      <c r="J3" s="11"/>
      <c r="K3" s="11"/>
      <c r="L3" s="461"/>
      <c r="M3" s="462"/>
      <c r="N3" s="462"/>
      <c r="O3" s="463"/>
      <c r="P3" s="464" t="s">
        <v>215</v>
      </c>
      <c r="Q3" s="461"/>
      <c r="R3" s="462"/>
      <c r="S3" s="462"/>
      <c r="T3" s="463"/>
    </row>
    <row r="4" spans="1:20">
      <c r="A4" s="11"/>
      <c r="B4" s="442"/>
      <c r="C4" s="443"/>
      <c r="D4" s="443"/>
      <c r="E4" s="444"/>
      <c r="F4" s="445"/>
      <c r="G4" s="446"/>
      <c r="H4" s="446"/>
      <c r="I4" s="465"/>
      <c r="J4" s="11"/>
      <c r="K4" s="11"/>
      <c r="L4" s="466"/>
      <c r="M4" s="467"/>
      <c r="N4" s="467"/>
      <c r="O4" s="468"/>
      <c r="P4" s="469"/>
      <c r="Q4" s="466"/>
      <c r="R4" s="467"/>
      <c r="S4" s="467"/>
      <c r="T4" s="468"/>
    </row>
    <row r="5" spans="1:20">
      <c r="A5" s="11"/>
      <c r="B5" s="442"/>
      <c r="C5" s="443"/>
      <c r="D5" s="443"/>
      <c r="E5" s="444"/>
      <c r="F5" s="445"/>
      <c r="G5" s="446"/>
      <c r="H5" s="446"/>
      <c r="I5" s="465"/>
      <c r="J5" s="11"/>
      <c r="K5" s="11"/>
      <c r="L5" s="466"/>
      <c r="M5" s="467"/>
      <c r="N5" s="467"/>
      <c r="O5" s="468"/>
      <c r="P5" s="469"/>
      <c r="Q5" s="466"/>
      <c r="R5" s="467"/>
      <c r="S5" s="467"/>
      <c r="T5" s="468"/>
    </row>
    <row r="6" spans="1:20">
      <c r="A6" s="11"/>
      <c r="B6" s="442"/>
      <c r="C6" s="443"/>
      <c r="D6" s="443"/>
      <c r="E6" s="444"/>
      <c r="F6" s="445"/>
      <c r="G6" s="446"/>
      <c r="H6" s="446"/>
      <c r="I6" s="465"/>
      <c r="J6" s="11"/>
      <c r="K6" s="11"/>
      <c r="L6" s="466"/>
      <c r="M6" s="467"/>
      <c r="N6" s="467"/>
      <c r="O6" s="468"/>
      <c r="P6" s="469"/>
      <c r="Q6" s="466"/>
      <c r="R6" s="467"/>
      <c r="S6" s="467"/>
      <c r="T6" s="468"/>
    </row>
    <row r="7" spans="1:20">
      <c r="A7" s="11"/>
      <c r="B7" s="442"/>
      <c r="C7" s="443"/>
      <c r="D7" s="443"/>
      <c r="E7" s="444"/>
      <c r="F7" s="445"/>
      <c r="G7" s="446"/>
      <c r="H7" s="446"/>
      <c r="I7" s="465"/>
      <c r="J7" s="11"/>
      <c r="K7" s="11"/>
      <c r="L7" s="466"/>
      <c r="M7" s="467"/>
      <c r="N7" s="467"/>
      <c r="O7" s="468"/>
      <c r="P7" s="469"/>
      <c r="Q7" s="466"/>
      <c r="R7" s="467"/>
      <c r="S7" s="467"/>
      <c r="T7" s="468"/>
    </row>
    <row r="8" spans="1:20">
      <c r="A8" s="11"/>
      <c r="B8" s="442"/>
      <c r="C8" s="443"/>
      <c r="D8" s="443"/>
      <c r="E8" s="444"/>
      <c r="F8" s="445"/>
      <c r="G8" s="446"/>
      <c r="H8" s="446"/>
      <c r="I8" s="465"/>
      <c r="J8" s="11"/>
      <c r="K8" s="11"/>
      <c r="L8" s="466"/>
      <c r="M8" s="467"/>
      <c r="N8" s="467"/>
      <c r="O8" s="468"/>
      <c r="P8" s="469"/>
      <c r="Q8" s="466"/>
      <c r="R8" s="467"/>
      <c r="S8" s="467"/>
      <c r="T8" s="468"/>
    </row>
    <row r="9" spans="1:20">
      <c r="A9" s="11"/>
      <c r="B9" s="442"/>
      <c r="C9" s="443"/>
      <c r="D9" s="443"/>
      <c r="E9" s="444"/>
      <c r="F9" s="445"/>
      <c r="G9" s="446"/>
      <c r="H9" s="446"/>
      <c r="I9" s="465"/>
      <c r="J9" s="11"/>
      <c r="K9" s="11"/>
      <c r="L9" s="466"/>
      <c r="M9" s="467"/>
      <c r="N9" s="467"/>
      <c r="O9" s="468"/>
      <c r="P9" s="469"/>
      <c r="Q9" s="466"/>
      <c r="R9" s="467"/>
      <c r="S9" s="467"/>
      <c r="T9" s="468"/>
    </row>
    <row r="10" spans="1:20">
      <c r="A10" s="11"/>
      <c r="B10" s="442"/>
      <c r="C10" s="443"/>
      <c r="D10" s="443"/>
      <c r="E10" s="444"/>
      <c r="F10" s="445"/>
      <c r="G10" s="446"/>
      <c r="H10" s="446"/>
      <c r="I10" s="465"/>
      <c r="J10" s="11"/>
      <c r="K10" s="11"/>
      <c r="L10" s="466"/>
      <c r="M10" s="467"/>
      <c r="N10" s="467"/>
      <c r="O10" s="468"/>
      <c r="P10" s="469"/>
      <c r="Q10" s="466"/>
      <c r="R10" s="467"/>
      <c r="S10" s="467"/>
      <c r="T10" s="468"/>
    </row>
    <row r="11" spans="1:20">
      <c r="A11" s="11"/>
      <c r="B11" s="442"/>
      <c r="C11" s="443"/>
      <c r="D11" s="443"/>
      <c r="E11" s="444"/>
      <c r="F11" s="445"/>
      <c r="G11" s="446"/>
      <c r="H11" s="446"/>
      <c r="I11" s="465"/>
      <c r="J11" s="11"/>
      <c r="K11" s="11"/>
      <c r="L11" s="466"/>
      <c r="M11" s="467"/>
      <c r="N11" s="467"/>
      <c r="O11" s="468"/>
      <c r="P11" s="469"/>
      <c r="Q11" s="466"/>
      <c r="R11" s="467"/>
      <c r="S11" s="467"/>
      <c r="T11" s="468"/>
    </row>
    <row r="12" ht="15.75" spans="1:20">
      <c r="A12" s="11"/>
      <c r="B12" s="442"/>
      <c r="C12" s="443"/>
      <c r="D12" s="443"/>
      <c r="E12" s="444"/>
      <c r="F12" s="447"/>
      <c r="G12" s="448"/>
      <c r="H12" s="448"/>
      <c r="I12" s="470"/>
      <c r="J12" s="11"/>
      <c r="K12" s="11"/>
      <c r="L12" s="471"/>
      <c r="M12" s="472"/>
      <c r="N12" s="472"/>
      <c r="O12" s="473"/>
      <c r="P12" s="474"/>
      <c r="Q12" s="471"/>
      <c r="R12" s="472"/>
      <c r="S12" s="472"/>
      <c r="T12" s="473"/>
    </row>
    <row r="13" ht="18.6" customHeight="1" spans="1:20">
      <c r="A13" s="11"/>
      <c r="B13" s="449">
        <f>L3*Q3/1000000</f>
        <v>0</v>
      </c>
      <c r="C13" s="450"/>
      <c r="D13" s="450"/>
      <c r="E13" s="451"/>
      <c r="F13" s="452">
        <f>スタート!C7</f>
        <v>0</v>
      </c>
      <c r="G13" s="452"/>
      <c r="H13" s="452">
        <f>スタート!G103</f>
        <v>0</v>
      </c>
      <c r="I13" s="452"/>
      <c r="J13" s="11"/>
      <c r="K13" s="11"/>
      <c r="L13" s="475"/>
      <c r="M13" s="475"/>
      <c r="N13" s="475"/>
      <c r="O13" s="475"/>
      <c r="P13" s="476"/>
      <c r="Q13" s="475"/>
      <c r="R13" s="475"/>
      <c r="S13" s="475"/>
      <c r="T13" s="475"/>
    </row>
    <row r="14" ht="18.6" customHeight="1" spans="1:20">
      <c r="A14" s="11"/>
      <c r="B14" s="453"/>
      <c r="C14" s="454"/>
      <c r="D14" s="454"/>
      <c r="E14" s="455"/>
      <c r="F14" s="452"/>
      <c r="G14" s="452"/>
      <c r="H14" s="452"/>
      <c r="I14" s="452"/>
      <c r="J14" s="11"/>
      <c r="K14" s="11"/>
      <c r="L14" s="475"/>
      <c r="M14" s="475"/>
      <c r="N14" s="475"/>
      <c r="O14" s="475"/>
      <c r="P14" s="476"/>
      <c r="Q14" s="475"/>
      <c r="R14" s="475"/>
      <c r="S14" s="475"/>
      <c r="T14" s="475"/>
    </row>
    <row r="15" ht="18.6" customHeight="1" spans="1:20">
      <c r="A15" s="11"/>
      <c r="B15" s="453"/>
      <c r="C15" s="454"/>
      <c r="D15" s="454"/>
      <c r="E15" s="455"/>
      <c r="F15" s="452"/>
      <c r="G15" s="452"/>
      <c r="H15" s="452"/>
      <c r="I15" s="452"/>
      <c r="J15" s="11"/>
      <c r="K15" s="11"/>
      <c r="L15" s="475"/>
      <c r="M15" s="475"/>
      <c r="N15" s="475"/>
      <c r="O15" s="475"/>
      <c r="P15" s="476"/>
      <c r="Q15" s="475"/>
      <c r="R15" s="475"/>
      <c r="S15" s="475"/>
      <c r="T15" s="475"/>
    </row>
    <row r="16" ht="18.6" customHeight="1" spans="1:20">
      <c r="A16" s="11"/>
      <c r="B16" s="453"/>
      <c r="C16" s="454"/>
      <c r="D16" s="454"/>
      <c r="E16" s="455"/>
      <c r="F16" s="452"/>
      <c r="G16" s="452"/>
      <c r="H16" s="452"/>
      <c r="I16" s="452"/>
      <c r="J16" s="11"/>
      <c r="K16" s="11"/>
      <c r="L16" s="475"/>
      <c r="M16" s="475"/>
      <c r="N16" s="475"/>
      <c r="O16" s="475"/>
      <c r="P16" s="476"/>
      <c r="Q16" s="475"/>
      <c r="R16" s="475"/>
      <c r="S16" s="475"/>
      <c r="T16" s="475"/>
    </row>
    <row r="17" ht="18.6" customHeight="1" spans="1:20">
      <c r="A17" s="11"/>
      <c r="B17" s="453"/>
      <c r="C17" s="454"/>
      <c r="D17" s="454"/>
      <c r="E17" s="455"/>
      <c r="F17" s="452"/>
      <c r="G17" s="452"/>
      <c r="H17" s="452"/>
      <c r="I17" s="452"/>
      <c r="J17" s="11"/>
      <c r="K17" s="11"/>
      <c r="L17" s="475"/>
      <c r="M17" s="475"/>
      <c r="N17" s="475"/>
      <c r="O17" s="475"/>
      <c r="P17" s="476"/>
      <c r="Q17" s="475"/>
      <c r="R17" s="475"/>
      <c r="S17" s="475"/>
      <c r="T17" s="475"/>
    </row>
    <row r="18" ht="18.6" customHeight="1" spans="1:20">
      <c r="A18" s="11"/>
      <c r="B18" s="453"/>
      <c r="C18" s="454"/>
      <c r="D18" s="454"/>
      <c r="E18" s="455"/>
      <c r="F18" s="452"/>
      <c r="G18" s="452"/>
      <c r="H18" s="452">
        <f>スタート!G105+スタート!C102-スタート!C103+スタート!C105-スタート!C106</f>
        <v>0</v>
      </c>
      <c r="I18" s="452"/>
      <c r="J18" s="11"/>
      <c r="K18" s="11"/>
      <c r="L18" s="475"/>
      <c r="M18" s="475"/>
      <c r="N18" s="475"/>
      <c r="O18" s="475"/>
      <c r="P18" s="476"/>
      <c r="Q18" s="475"/>
      <c r="R18" s="475"/>
      <c r="S18" s="475"/>
      <c r="T18" s="475"/>
    </row>
    <row r="19" ht="18.6" customHeight="1" spans="1:20">
      <c r="A19" s="11"/>
      <c r="B19" s="453"/>
      <c r="C19" s="454"/>
      <c r="D19" s="454"/>
      <c r="E19" s="455"/>
      <c r="F19" s="452"/>
      <c r="G19" s="452"/>
      <c r="H19" s="452"/>
      <c r="I19" s="452"/>
      <c r="J19" s="11"/>
      <c r="K19" s="11"/>
      <c r="L19" s="475"/>
      <c r="M19" s="476"/>
      <c r="N19" s="475"/>
      <c r="O19" s="475"/>
      <c r="P19" s="476"/>
      <c r="Q19" s="475"/>
      <c r="R19" s="475"/>
      <c r="S19" s="475"/>
      <c r="T19" s="475"/>
    </row>
    <row r="20" ht="18.6" customHeight="1" spans="1:20">
      <c r="A20" s="11"/>
      <c r="B20" s="453"/>
      <c r="C20" s="454"/>
      <c r="D20" s="454"/>
      <c r="E20" s="455"/>
      <c r="F20" s="452"/>
      <c r="G20" s="452"/>
      <c r="H20" s="452"/>
      <c r="I20" s="452"/>
      <c r="J20" s="11"/>
      <c r="K20" s="11"/>
      <c r="L20" s="475"/>
      <c r="M20" s="476"/>
      <c r="N20" s="475"/>
      <c r="O20" s="475"/>
      <c r="P20" s="476"/>
      <c r="Q20" s="475"/>
      <c r="R20" s="475"/>
      <c r="S20" s="475"/>
      <c r="T20" s="475"/>
    </row>
    <row r="21" ht="18.6" customHeight="1" spans="1:20">
      <c r="A21" s="11"/>
      <c r="B21" s="453"/>
      <c r="C21" s="454"/>
      <c r="D21" s="454"/>
      <c r="E21" s="455"/>
      <c r="F21" s="452"/>
      <c r="G21" s="452"/>
      <c r="H21" s="452"/>
      <c r="I21" s="452"/>
      <c r="J21" s="11"/>
      <c r="K21" s="11"/>
      <c r="L21" s="475"/>
      <c r="M21" s="476"/>
      <c r="N21" s="475"/>
      <c r="O21" s="476"/>
      <c r="P21" s="476"/>
      <c r="Q21" s="475"/>
      <c r="R21" s="475"/>
      <c r="S21" s="475"/>
      <c r="T21" s="475"/>
    </row>
    <row r="22" ht="18.6" customHeight="1" spans="1:20">
      <c r="A22" s="11"/>
      <c r="B22" s="456"/>
      <c r="C22" s="457"/>
      <c r="D22" s="457"/>
      <c r="E22" s="458"/>
      <c r="F22" s="452"/>
      <c r="G22" s="452"/>
      <c r="H22" s="452"/>
      <c r="I22" s="452"/>
      <c r="J22" s="11"/>
      <c r="K22" s="11"/>
      <c r="L22" s="475"/>
      <c r="M22" s="476"/>
      <c r="N22" s="475"/>
      <c r="O22" s="476"/>
      <c r="P22" s="476"/>
      <c r="Q22" s="475"/>
      <c r="R22" s="475"/>
      <c r="S22" s="475"/>
      <c r="T22" s="475"/>
    </row>
    <row r="23" spans="1:20">
      <c r="A23" s="11"/>
      <c r="B23" s="11"/>
      <c r="C23" s="11"/>
      <c r="D23" s="11"/>
      <c r="E23" s="11"/>
      <c r="F23" s="11"/>
      <c r="G23" s="11"/>
      <c r="H23" s="11"/>
      <c r="I23" s="11"/>
      <c r="J23" s="11"/>
      <c r="K23" s="11"/>
      <c r="L23" s="11"/>
      <c r="M23" s="11"/>
      <c r="N23" s="11"/>
      <c r="O23" s="11"/>
      <c r="P23" s="11"/>
      <c r="Q23" s="11"/>
      <c r="R23" s="11"/>
      <c r="S23" s="11"/>
      <c r="T23" s="11"/>
    </row>
    <row r="24" spans="1:20">
      <c r="A24" s="11"/>
      <c r="B24" s="459" t="s">
        <v>216</v>
      </c>
      <c r="C24" s="12"/>
      <c r="D24" s="12"/>
      <c r="E24" s="12"/>
      <c r="F24" s="12"/>
      <c r="G24" s="12"/>
      <c r="H24" s="12"/>
      <c r="I24" s="12"/>
      <c r="J24" s="12"/>
      <c r="K24" s="12"/>
      <c r="L24" s="12"/>
      <c r="M24" s="12"/>
      <c r="N24" s="12"/>
      <c r="O24" s="12"/>
      <c r="P24" s="12"/>
      <c r="Q24" s="12"/>
      <c r="R24" s="12"/>
      <c r="S24" s="12"/>
      <c r="T24" s="408"/>
    </row>
    <row r="25" spans="1:20">
      <c r="A25" s="11"/>
      <c r="B25" s="405"/>
      <c r="C25" s="13"/>
      <c r="D25" s="13"/>
      <c r="E25" s="13"/>
      <c r="F25" s="13"/>
      <c r="G25" s="13"/>
      <c r="H25" s="13"/>
      <c r="I25" s="13"/>
      <c r="J25" s="13"/>
      <c r="K25" s="13"/>
      <c r="L25" s="13"/>
      <c r="M25" s="13"/>
      <c r="N25" s="13"/>
      <c r="O25" s="13"/>
      <c r="P25" s="13"/>
      <c r="Q25" s="13"/>
      <c r="R25" s="13"/>
      <c r="S25" s="13"/>
      <c r="T25" s="409"/>
    </row>
    <row r="26" spans="1:20">
      <c r="A26" s="11"/>
      <c r="B26" s="405"/>
      <c r="C26" s="13"/>
      <c r="D26" s="13"/>
      <c r="E26" s="13"/>
      <c r="F26" s="13"/>
      <c r="G26" s="13"/>
      <c r="H26" s="13"/>
      <c r="I26" s="13"/>
      <c r="J26" s="13"/>
      <c r="K26" s="13"/>
      <c r="L26" s="13"/>
      <c r="M26" s="13"/>
      <c r="N26" s="13"/>
      <c r="O26" s="13"/>
      <c r="P26" s="13"/>
      <c r="Q26" s="13"/>
      <c r="R26" s="13"/>
      <c r="S26" s="13"/>
      <c r="T26" s="409"/>
    </row>
    <row r="27" spans="1:20">
      <c r="A27" s="11"/>
      <c r="B27" s="405"/>
      <c r="C27" s="13"/>
      <c r="D27" s="13"/>
      <c r="E27" s="13"/>
      <c r="F27" s="13"/>
      <c r="G27" s="13"/>
      <c r="H27" s="13"/>
      <c r="I27" s="13"/>
      <c r="J27" s="13"/>
      <c r="K27" s="13"/>
      <c r="L27" s="13"/>
      <c r="M27" s="13"/>
      <c r="N27" s="13"/>
      <c r="O27" s="13"/>
      <c r="P27" s="13"/>
      <c r="Q27" s="13"/>
      <c r="R27" s="13"/>
      <c r="S27" s="13"/>
      <c r="T27" s="409"/>
    </row>
    <row r="28" spans="1:20">
      <c r="A28" s="11"/>
      <c r="B28" s="405"/>
      <c r="C28" s="13"/>
      <c r="D28" s="13"/>
      <c r="E28" s="13"/>
      <c r="F28" s="13"/>
      <c r="G28" s="13"/>
      <c r="H28" s="13"/>
      <c r="I28" s="13"/>
      <c r="J28" s="13"/>
      <c r="K28" s="13"/>
      <c r="L28" s="13"/>
      <c r="M28" s="13"/>
      <c r="N28" s="13"/>
      <c r="O28" s="13"/>
      <c r="P28" s="13"/>
      <c r="Q28" s="13"/>
      <c r="R28" s="13"/>
      <c r="S28" s="13"/>
      <c r="T28" s="409"/>
    </row>
    <row r="29" spans="1:20">
      <c r="A29" s="11"/>
      <c r="B29" s="405"/>
      <c r="C29" s="13"/>
      <c r="D29" s="13"/>
      <c r="E29" s="13"/>
      <c r="F29" s="13"/>
      <c r="G29" s="13"/>
      <c r="H29" s="13"/>
      <c r="I29" s="13"/>
      <c r="J29" s="13"/>
      <c r="K29" s="13"/>
      <c r="L29" s="13"/>
      <c r="M29" s="13"/>
      <c r="N29" s="13"/>
      <c r="O29" s="13"/>
      <c r="P29" s="13"/>
      <c r="Q29" s="13"/>
      <c r="R29" s="13"/>
      <c r="S29" s="13"/>
      <c r="T29" s="409"/>
    </row>
    <row r="30" spans="1:20">
      <c r="A30" s="11"/>
      <c r="B30" s="405"/>
      <c r="C30" s="13"/>
      <c r="D30" s="13"/>
      <c r="E30" s="13"/>
      <c r="F30" s="13"/>
      <c r="G30" s="13"/>
      <c r="H30" s="13"/>
      <c r="I30" s="13"/>
      <c r="J30" s="13"/>
      <c r="K30" s="13"/>
      <c r="L30" s="13"/>
      <c r="M30" s="13"/>
      <c r="N30" s="13"/>
      <c r="O30" s="13"/>
      <c r="P30" s="13"/>
      <c r="Q30" s="13"/>
      <c r="R30" s="13"/>
      <c r="S30" s="13"/>
      <c r="T30" s="409"/>
    </row>
    <row r="31" spans="1:20">
      <c r="A31" s="11"/>
      <c r="B31" s="405"/>
      <c r="C31" s="13"/>
      <c r="D31" s="13"/>
      <c r="E31" s="13"/>
      <c r="F31" s="13"/>
      <c r="G31" s="13"/>
      <c r="H31" s="13"/>
      <c r="I31" s="13"/>
      <c r="J31" s="13"/>
      <c r="K31" s="13"/>
      <c r="L31" s="13"/>
      <c r="M31" s="13"/>
      <c r="N31" s="13"/>
      <c r="O31" s="13"/>
      <c r="P31" s="13"/>
      <c r="Q31" s="13"/>
      <c r="R31" s="13"/>
      <c r="S31" s="13"/>
      <c r="T31" s="409"/>
    </row>
    <row r="32" spans="1:20">
      <c r="A32" s="11"/>
      <c r="B32" s="405"/>
      <c r="C32" s="13"/>
      <c r="D32" s="13"/>
      <c r="E32" s="13"/>
      <c r="F32" s="13"/>
      <c r="G32" s="13"/>
      <c r="H32" s="13"/>
      <c r="I32" s="13"/>
      <c r="J32" s="13"/>
      <c r="K32" s="13"/>
      <c r="L32" s="13"/>
      <c r="M32" s="13"/>
      <c r="N32" s="13"/>
      <c r="O32" s="13"/>
      <c r="P32" s="13"/>
      <c r="Q32" s="13"/>
      <c r="R32" s="13"/>
      <c r="S32" s="13"/>
      <c r="T32" s="409"/>
    </row>
    <row r="33" spans="1:20">
      <c r="A33" s="11"/>
      <c r="B33" s="405"/>
      <c r="C33" s="13"/>
      <c r="D33" s="13"/>
      <c r="E33" s="13"/>
      <c r="F33" s="13"/>
      <c r="G33" s="13"/>
      <c r="H33" s="13"/>
      <c r="I33" s="13"/>
      <c r="J33" s="13"/>
      <c r="K33" s="13"/>
      <c r="L33" s="13"/>
      <c r="M33" s="13"/>
      <c r="N33" s="13"/>
      <c r="O33" s="13"/>
      <c r="P33" s="13"/>
      <c r="Q33" s="13"/>
      <c r="R33" s="13"/>
      <c r="S33" s="13"/>
      <c r="T33" s="409"/>
    </row>
    <row r="34" spans="1:20">
      <c r="A34" s="11"/>
      <c r="B34" s="405"/>
      <c r="C34" s="13"/>
      <c r="D34" s="13"/>
      <c r="E34" s="13"/>
      <c r="F34" s="13"/>
      <c r="G34" s="13"/>
      <c r="H34" s="13"/>
      <c r="I34" s="13"/>
      <c r="J34" s="13"/>
      <c r="K34" s="13"/>
      <c r="L34" s="13"/>
      <c r="M34" s="13"/>
      <c r="N34" s="13"/>
      <c r="O34" s="13"/>
      <c r="P34" s="13"/>
      <c r="Q34" s="13"/>
      <c r="R34" s="13"/>
      <c r="S34" s="13"/>
      <c r="T34" s="409"/>
    </row>
    <row r="35" spans="1:20">
      <c r="A35" s="11"/>
      <c r="B35" s="405"/>
      <c r="C35" s="13"/>
      <c r="D35" s="13"/>
      <c r="E35" s="13"/>
      <c r="F35" s="13"/>
      <c r="G35" s="13"/>
      <c r="H35" s="13"/>
      <c r="I35" s="13"/>
      <c r="J35" s="13"/>
      <c r="K35" s="13"/>
      <c r="L35" s="13"/>
      <c r="M35" s="13"/>
      <c r="N35" s="13"/>
      <c r="O35" s="13"/>
      <c r="P35" s="13"/>
      <c r="Q35" s="13"/>
      <c r="R35" s="13"/>
      <c r="S35" s="13"/>
      <c r="T35" s="409"/>
    </row>
    <row r="36" spans="1:20">
      <c r="A36" s="11"/>
      <c r="B36" s="406"/>
      <c r="C36" s="407"/>
      <c r="D36" s="407"/>
      <c r="E36" s="407"/>
      <c r="F36" s="407"/>
      <c r="G36" s="407"/>
      <c r="H36" s="407"/>
      <c r="I36" s="407"/>
      <c r="J36" s="407"/>
      <c r="K36" s="407"/>
      <c r="L36" s="407"/>
      <c r="M36" s="407"/>
      <c r="N36" s="407"/>
      <c r="O36" s="407"/>
      <c r="P36" s="407"/>
      <c r="Q36" s="407"/>
      <c r="R36" s="407"/>
      <c r="S36" s="407"/>
      <c r="T36" s="410"/>
    </row>
  </sheetData>
  <sheetProtection algorithmName="SHA-512" hashValue="0eodMX59lfHXMTXkvMha/4hiizA0+tJq490pnfUifZYH63YWTrRdh8DNEFQZzsmovX5BMaMU+auaDprlADI+7w==" saltValue="RykGX4OV1A42KItUTbP/HQ==" spinCount="100000" sheet="1" objects="1"/>
  <mergeCells count="13">
    <mergeCell ref="B1:H1"/>
    <mergeCell ref="B2:I2"/>
    <mergeCell ref="B24:B36"/>
    <mergeCell ref="P3:P12"/>
    <mergeCell ref="C24:T36"/>
    <mergeCell ref="H18:I22"/>
    <mergeCell ref="B3:E12"/>
    <mergeCell ref="F3:I12"/>
    <mergeCell ref="B13:E22"/>
    <mergeCell ref="L3:O12"/>
    <mergeCell ref="Q3:T12"/>
    <mergeCell ref="F13:G22"/>
    <mergeCell ref="H13:I17"/>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O12"/>
  <sheetViews>
    <sheetView view="pageBreakPreview" zoomScale="90" zoomScaleNormal="100" workbookViewId="0">
      <selection activeCell="I3" sqref="I3:L3"/>
    </sheetView>
  </sheetViews>
  <sheetFormatPr defaultColWidth="9" defaultRowHeight="15"/>
  <cols>
    <col min="1" max="1" width="18.6952380952381" customWidth="1"/>
    <col min="6" max="6" width="8.69523809523809" customWidth="1"/>
    <col min="8" max="8" width="18.6952380952381" customWidth="1"/>
    <col min="15" max="15" width="11.752380952381" customWidth="1"/>
  </cols>
  <sheetData>
    <row r="1" spans="1:15">
      <c r="A1" s="11">
        <f>スタート!C1</f>
        <v>0</v>
      </c>
      <c r="B1" s="11"/>
      <c r="C1" s="11"/>
      <c r="D1" s="11"/>
      <c r="E1" s="11"/>
      <c r="F1" s="11"/>
      <c r="G1" s="11"/>
      <c r="H1" s="11"/>
      <c r="I1" s="11"/>
      <c r="J1" s="11"/>
      <c r="K1" s="11"/>
      <c r="L1" s="11"/>
      <c r="M1" s="11"/>
      <c r="N1" s="11"/>
      <c r="O1" s="11"/>
    </row>
    <row r="2" ht="66" customHeight="1" spans="1:15">
      <c r="A2" s="188" t="s">
        <v>217</v>
      </c>
      <c r="B2" s="188"/>
      <c r="C2" s="188"/>
      <c r="D2" s="188"/>
      <c r="E2" s="188"/>
      <c r="F2" s="188"/>
      <c r="G2" s="188"/>
      <c r="H2" s="188"/>
      <c r="I2" s="188"/>
      <c r="J2" s="188"/>
      <c r="K2" s="188"/>
      <c r="L2" s="188"/>
      <c r="M2" s="188"/>
      <c r="N2" s="188"/>
      <c r="O2" s="188"/>
    </row>
    <row r="3" ht="47.25" spans="1:15">
      <c r="A3" s="411" t="s">
        <v>211</v>
      </c>
      <c r="B3" s="412"/>
      <c r="C3" s="413"/>
      <c r="D3" s="413"/>
      <c r="E3" s="414"/>
      <c r="F3" s="415" t="s">
        <v>218</v>
      </c>
      <c r="G3" s="11"/>
      <c r="H3" s="416" t="s">
        <v>219</v>
      </c>
      <c r="I3" s="417"/>
      <c r="J3" s="418"/>
      <c r="K3" s="418"/>
      <c r="L3" s="419"/>
      <c r="M3" s="415" t="s">
        <v>218</v>
      </c>
      <c r="N3" s="11"/>
      <c r="O3" s="11"/>
    </row>
    <row r="4" ht="47.25" spans="1:15">
      <c r="A4" s="411" t="s">
        <v>204</v>
      </c>
      <c r="B4" s="417"/>
      <c r="C4" s="418"/>
      <c r="D4" s="418"/>
      <c r="E4" s="419"/>
      <c r="F4" s="415" t="s">
        <v>218</v>
      </c>
      <c r="G4" s="11"/>
      <c r="H4" s="420" t="s">
        <v>220</v>
      </c>
      <c r="I4" s="417"/>
      <c r="J4" s="418"/>
      <c r="K4" s="418"/>
      <c r="L4" s="419"/>
      <c r="M4" s="415" t="s">
        <v>218</v>
      </c>
      <c r="N4" s="11"/>
      <c r="O4" s="11"/>
    </row>
    <row r="5" ht="47.25" spans="1:15">
      <c r="A5" s="421" t="s">
        <v>207</v>
      </c>
      <c r="B5" s="417"/>
      <c r="C5" s="418"/>
      <c r="D5" s="418"/>
      <c r="E5" s="419"/>
      <c r="F5" s="415" t="s">
        <v>218</v>
      </c>
      <c r="G5" s="11"/>
      <c r="H5" s="411" t="s">
        <v>213</v>
      </c>
      <c r="I5" s="422">
        <f>B6+I3-I4</f>
        <v>0</v>
      </c>
      <c r="J5" s="423"/>
      <c r="K5" s="423"/>
      <c r="L5" s="424"/>
      <c r="M5" s="415" t="s">
        <v>218</v>
      </c>
      <c r="N5" s="11"/>
      <c r="O5" s="11"/>
    </row>
    <row r="6" ht="47.25" spans="1:15">
      <c r="A6" s="411" t="s">
        <v>209</v>
      </c>
      <c r="B6" s="422">
        <f>B3+B4-B5</f>
        <v>0</v>
      </c>
      <c r="C6" s="423"/>
      <c r="D6" s="423"/>
      <c r="E6" s="424"/>
      <c r="F6" s="415" t="s">
        <v>218</v>
      </c>
      <c r="G6" s="11"/>
      <c r="H6" s="11"/>
      <c r="I6" s="11"/>
      <c r="J6" s="11"/>
      <c r="K6" s="11"/>
      <c r="L6" s="11"/>
      <c r="M6" s="11"/>
      <c r="N6" s="11"/>
      <c r="O6" s="11"/>
    </row>
    <row r="7" ht="47.25" spans="1:15">
      <c r="A7" s="425"/>
      <c r="B7" s="426"/>
      <c r="C7" s="427"/>
      <c r="D7" s="427"/>
      <c r="E7" s="427"/>
      <c r="F7" s="428"/>
      <c r="G7" s="11"/>
      <c r="H7" s="429" t="s">
        <v>221</v>
      </c>
      <c r="I7" s="436" t="e">
        <f>I5/スタート!G106</f>
        <v>#DIV/0!</v>
      </c>
      <c r="J7" s="436"/>
      <c r="K7" s="436"/>
      <c r="L7" s="436"/>
      <c r="M7" s="437"/>
      <c r="N7" s="11"/>
      <c r="O7" s="11"/>
    </row>
    <row r="8" ht="46.5" spans="1:15">
      <c r="A8" s="430"/>
      <c r="B8" s="431"/>
      <c r="C8" s="11"/>
      <c r="D8" s="11"/>
      <c r="E8" s="11"/>
      <c r="F8" s="432"/>
      <c r="G8" s="11"/>
      <c r="H8" s="11"/>
      <c r="I8" s="11"/>
      <c r="J8" s="11"/>
      <c r="K8" s="11"/>
      <c r="L8" s="11"/>
      <c r="M8" s="11"/>
      <c r="N8" s="11"/>
      <c r="O8" s="11"/>
    </row>
    <row r="9" ht="46.5" spans="1:15">
      <c r="A9" s="433"/>
      <c r="B9" s="431"/>
      <c r="C9" s="11"/>
      <c r="D9" s="11"/>
      <c r="E9" s="11"/>
      <c r="F9" s="432"/>
      <c r="G9" s="11"/>
      <c r="H9" s="11"/>
      <c r="I9" s="11"/>
      <c r="J9" s="11"/>
      <c r="K9" s="11"/>
      <c r="L9" s="11"/>
      <c r="M9" s="11"/>
      <c r="N9" s="11"/>
      <c r="O9" s="11"/>
    </row>
    <row r="10" ht="46.5" spans="2:6">
      <c r="B10" s="434"/>
      <c r="C10" s="434"/>
      <c r="D10" s="434"/>
      <c r="E10" s="434"/>
      <c r="F10" s="435"/>
    </row>
    <row r="11" ht="46.5" spans="2:6">
      <c r="B11" s="434"/>
      <c r="C11" s="434"/>
      <c r="D11" s="434"/>
      <c r="E11" s="434"/>
      <c r="F11" s="435"/>
    </row>
    <row r="12" ht="46.5" spans="2:6">
      <c r="B12" s="434"/>
      <c r="C12" s="434"/>
      <c r="D12" s="434"/>
      <c r="E12" s="434"/>
      <c r="F12" s="435"/>
    </row>
  </sheetData>
  <sheetProtection algorithmName="SHA-512" hashValue="c4ewMsoARdirqbqOmv4v7RmX9sPSdm+DCwBUW90Rvqi/gp5qOpp5pq8Ahe4kv9ComTsYUkVhcvf3A0Cifwg/Ug==" saltValue="9LyjZQrH+TFi63U5tQv4oQ==" spinCount="100000" sheet="1" object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ignoredErrors>
    <ignoredError sqref="I7" evalError="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A1:V40"/>
  <sheetViews>
    <sheetView view="pageBreakPreview" zoomScale="80" zoomScaleNormal="90" workbookViewId="0">
      <selection activeCell="H13" sqref="H13:I15"/>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27.6761904761905" customWidth="1"/>
    <col min="10" max="11" width="3.5047619047619" customWidth="1"/>
    <col min="15" max="15" width="11.247619047619" customWidth="1"/>
  </cols>
  <sheetData>
    <row r="1" ht="15.75" spans="1:22">
      <c r="A1" s="11"/>
      <c r="B1" s="11">
        <f>スタート!C1</f>
        <v>0</v>
      </c>
      <c r="C1" s="11"/>
      <c r="D1" s="11"/>
      <c r="E1" s="11"/>
      <c r="F1" s="11"/>
      <c r="G1" s="11"/>
      <c r="H1" s="11"/>
      <c r="I1" s="11"/>
      <c r="J1" s="11"/>
      <c r="K1" s="11"/>
      <c r="L1" s="11"/>
      <c r="M1" s="11"/>
      <c r="N1" s="11"/>
      <c r="O1" s="11"/>
      <c r="P1" s="11"/>
      <c r="Q1" s="11"/>
      <c r="R1" s="11"/>
      <c r="S1" s="11"/>
      <c r="T1" s="11"/>
      <c r="U1" s="11"/>
      <c r="V1" s="11"/>
    </row>
    <row r="2" ht="49.2" customHeight="1" spans="1:22">
      <c r="A2" s="11"/>
      <c r="B2" s="348" t="s">
        <v>222</v>
      </c>
      <c r="C2" s="348"/>
      <c r="D2" s="348"/>
      <c r="E2" s="348"/>
      <c r="F2" s="348"/>
      <c r="G2" s="348"/>
      <c r="H2" s="348"/>
      <c r="I2" s="348"/>
      <c r="J2" s="11"/>
      <c r="K2" s="11"/>
      <c r="L2" s="383" t="s">
        <v>223</v>
      </c>
      <c r="M2" s="383"/>
      <c r="N2" s="383"/>
      <c r="O2" s="383"/>
      <c r="P2" s="383"/>
      <c r="Q2" s="383" t="s">
        <v>224</v>
      </c>
      <c r="R2" s="383"/>
      <c r="S2" s="383"/>
      <c r="T2" s="383"/>
      <c r="U2" s="11"/>
      <c r="V2" s="11"/>
    </row>
    <row r="3" spans="1:22">
      <c r="A3" s="11"/>
      <c r="B3" s="349">
        <f>⑦原価詳細!F31/1000000</f>
        <v>0</v>
      </c>
      <c r="C3" s="350"/>
      <c r="D3" s="350"/>
      <c r="E3" s="351"/>
      <c r="F3" s="349">
        <f>'⑥製造（経費)'!I2+'⑤製造原価 (人）'!N2</f>
        <v>0</v>
      </c>
      <c r="G3" s="352"/>
      <c r="H3" s="352"/>
      <c r="I3" s="364"/>
      <c r="J3" s="384"/>
      <c r="K3" s="384"/>
      <c r="L3" s="385" t="str">
        <f>⑦原価詳細!E31</f>
        <v/>
      </c>
      <c r="M3" s="386"/>
      <c r="N3" s="386"/>
      <c r="O3" s="387"/>
      <c r="P3" s="388" t="s">
        <v>215</v>
      </c>
      <c r="Q3" s="385">
        <f>⑦原価詳細!D31</f>
        <v>0</v>
      </c>
      <c r="R3" s="386"/>
      <c r="S3" s="386"/>
      <c r="T3" s="387"/>
      <c r="U3" s="11"/>
      <c r="V3" s="11"/>
    </row>
    <row r="4" spans="1:22">
      <c r="A4" s="11"/>
      <c r="B4" s="353"/>
      <c r="C4" s="354"/>
      <c r="D4" s="354"/>
      <c r="E4" s="355"/>
      <c r="F4" s="356"/>
      <c r="G4" s="357"/>
      <c r="H4" s="357"/>
      <c r="I4" s="365"/>
      <c r="J4" s="384"/>
      <c r="K4" s="384"/>
      <c r="L4" s="389"/>
      <c r="M4" s="390"/>
      <c r="N4" s="390"/>
      <c r="O4" s="391"/>
      <c r="P4" s="392"/>
      <c r="Q4" s="389"/>
      <c r="R4" s="390"/>
      <c r="S4" s="390"/>
      <c r="T4" s="391"/>
      <c r="U4" s="11"/>
      <c r="V4" s="11"/>
    </row>
    <row r="5" spans="1:22">
      <c r="A5" s="11"/>
      <c r="B5" s="353"/>
      <c r="C5" s="354"/>
      <c r="D5" s="354"/>
      <c r="E5" s="355"/>
      <c r="F5" s="356"/>
      <c r="G5" s="357"/>
      <c r="H5" s="357"/>
      <c r="I5" s="365"/>
      <c r="J5" s="384"/>
      <c r="K5" s="384"/>
      <c r="L5" s="389"/>
      <c r="M5" s="390"/>
      <c r="N5" s="390"/>
      <c r="O5" s="391"/>
      <c r="P5" s="392"/>
      <c r="Q5" s="389"/>
      <c r="R5" s="390"/>
      <c r="S5" s="390"/>
      <c r="T5" s="391"/>
      <c r="U5" s="11"/>
      <c r="V5" s="11"/>
    </row>
    <row r="6" spans="1:22">
      <c r="A6" s="11"/>
      <c r="B6" s="353"/>
      <c r="C6" s="354"/>
      <c r="D6" s="354"/>
      <c r="E6" s="355"/>
      <c r="F6" s="356"/>
      <c r="G6" s="357"/>
      <c r="H6" s="357"/>
      <c r="I6" s="365"/>
      <c r="J6" s="384"/>
      <c r="K6" s="384"/>
      <c r="L6" s="389"/>
      <c r="M6" s="390"/>
      <c r="N6" s="390"/>
      <c r="O6" s="391"/>
      <c r="P6" s="392"/>
      <c r="Q6" s="389"/>
      <c r="R6" s="390"/>
      <c r="S6" s="390"/>
      <c r="T6" s="391"/>
      <c r="U6" s="11"/>
      <c r="V6" s="11"/>
    </row>
    <row r="7" spans="1:22">
      <c r="A7" s="11"/>
      <c r="B7" s="353"/>
      <c r="C7" s="354"/>
      <c r="D7" s="354"/>
      <c r="E7" s="355"/>
      <c r="F7" s="356"/>
      <c r="G7" s="357"/>
      <c r="H7" s="357"/>
      <c r="I7" s="365"/>
      <c r="J7" s="384"/>
      <c r="K7" s="384"/>
      <c r="L7" s="389"/>
      <c r="M7" s="390"/>
      <c r="N7" s="390"/>
      <c r="O7" s="391"/>
      <c r="P7" s="392"/>
      <c r="Q7" s="389"/>
      <c r="R7" s="390"/>
      <c r="S7" s="390"/>
      <c r="T7" s="391"/>
      <c r="U7" s="11"/>
      <c r="V7" s="11"/>
    </row>
    <row r="8" spans="1:22">
      <c r="A8" s="11"/>
      <c r="B8" s="353"/>
      <c r="C8" s="354"/>
      <c r="D8" s="354"/>
      <c r="E8" s="355"/>
      <c r="F8" s="356"/>
      <c r="G8" s="357"/>
      <c r="H8" s="357"/>
      <c r="I8" s="365"/>
      <c r="J8" s="384"/>
      <c r="K8" s="384"/>
      <c r="L8" s="389"/>
      <c r="M8" s="390"/>
      <c r="N8" s="390"/>
      <c r="O8" s="391"/>
      <c r="P8" s="392"/>
      <c r="Q8" s="389"/>
      <c r="R8" s="390"/>
      <c r="S8" s="390"/>
      <c r="T8" s="391"/>
      <c r="U8" s="11"/>
      <c r="V8" s="11"/>
    </row>
    <row r="9" spans="1:22">
      <c r="A9" s="11"/>
      <c r="B9" s="353"/>
      <c r="C9" s="354"/>
      <c r="D9" s="354"/>
      <c r="E9" s="355"/>
      <c r="F9" s="356"/>
      <c r="G9" s="357"/>
      <c r="H9" s="357"/>
      <c r="I9" s="365"/>
      <c r="J9" s="384"/>
      <c r="K9" s="384"/>
      <c r="L9" s="389"/>
      <c r="M9" s="390"/>
      <c r="N9" s="390"/>
      <c r="O9" s="391"/>
      <c r="P9" s="392"/>
      <c r="Q9" s="389"/>
      <c r="R9" s="390"/>
      <c r="S9" s="390"/>
      <c r="T9" s="391"/>
      <c r="U9" s="11"/>
      <c r="V9" s="11"/>
    </row>
    <row r="10" ht="19.5" spans="1:22">
      <c r="A10" s="11"/>
      <c r="B10" s="353"/>
      <c r="C10" s="354"/>
      <c r="D10" s="354"/>
      <c r="E10" s="355"/>
      <c r="F10" s="358"/>
      <c r="G10" s="359"/>
      <c r="H10" s="359"/>
      <c r="I10" s="393" t="e">
        <f>F3/B3</f>
        <v>#DIV/0!</v>
      </c>
      <c r="J10" s="384"/>
      <c r="K10" s="384"/>
      <c r="L10" s="389"/>
      <c r="M10" s="390"/>
      <c r="N10" s="390"/>
      <c r="O10" s="391"/>
      <c r="P10" s="392"/>
      <c r="Q10" s="389"/>
      <c r="R10" s="390"/>
      <c r="S10" s="390"/>
      <c r="T10" s="391"/>
      <c r="U10" s="11"/>
      <c r="V10" s="11"/>
    </row>
    <row r="11" spans="1:22">
      <c r="A11" s="11"/>
      <c r="B11" s="353"/>
      <c r="C11" s="354"/>
      <c r="D11" s="354"/>
      <c r="E11" s="355"/>
      <c r="F11" s="360"/>
      <c r="G11" s="360"/>
      <c r="H11" s="361"/>
      <c r="I11" s="361"/>
      <c r="J11" s="384"/>
      <c r="K11" s="384"/>
      <c r="L11" s="389"/>
      <c r="M11" s="390"/>
      <c r="N11" s="390"/>
      <c r="O11" s="391"/>
      <c r="P11" s="392"/>
      <c r="Q11" s="389"/>
      <c r="R11" s="390"/>
      <c r="S11" s="390"/>
      <c r="T11" s="391"/>
      <c r="U11" s="11"/>
      <c r="V11" s="11"/>
    </row>
    <row r="12" spans="1:22">
      <c r="A12" s="11"/>
      <c r="B12" s="353"/>
      <c r="C12" s="354"/>
      <c r="D12" s="354"/>
      <c r="E12" s="355"/>
      <c r="F12" s="362"/>
      <c r="G12" s="362"/>
      <c r="H12" s="363"/>
      <c r="I12" s="363"/>
      <c r="J12" s="384"/>
      <c r="K12" s="384"/>
      <c r="L12" s="394"/>
      <c r="M12" s="395"/>
      <c r="N12" s="395"/>
      <c r="O12" s="396"/>
      <c r="P12" s="397"/>
      <c r="Q12" s="394"/>
      <c r="R12" s="395"/>
      <c r="S12" s="395"/>
      <c r="T12" s="396"/>
      <c r="U12" s="11"/>
      <c r="V12" s="11"/>
    </row>
    <row r="13" ht="18.6" customHeight="1" spans="1:22">
      <c r="A13" s="11"/>
      <c r="B13" s="353"/>
      <c r="C13" s="354"/>
      <c r="D13" s="354"/>
      <c r="E13" s="355"/>
      <c r="F13" s="349">
        <f>B3-F3</f>
        <v>0</v>
      </c>
      <c r="G13" s="364"/>
      <c r="H13" s="349">
        <f>(④経費!I2*1000000+③給料!N2*1000000)/1000000</f>
        <v>0</v>
      </c>
      <c r="I13" s="364"/>
      <c r="J13" s="384"/>
      <c r="K13" s="384"/>
      <c r="L13" s="398"/>
      <c r="M13" s="398"/>
      <c r="N13" s="398"/>
      <c r="O13" s="398"/>
      <c r="P13" s="399"/>
      <c r="Q13" s="398"/>
      <c r="R13" s="398"/>
      <c r="S13" s="398"/>
      <c r="T13" s="398"/>
      <c r="U13" s="11"/>
      <c r="V13" s="11"/>
    </row>
    <row r="14" ht="18.6" customHeight="1" spans="1:22">
      <c r="A14" s="11"/>
      <c r="B14" s="353"/>
      <c r="C14" s="354"/>
      <c r="D14" s="354"/>
      <c r="E14" s="355"/>
      <c r="F14" s="356"/>
      <c r="G14" s="365"/>
      <c r="H14" s="356"/>
      <c r="I14" s="365"/>
      <c r="J14" s="384"/>
      <c r="K14" s="384"/>
      <c r="L14" s="398"/>
      <c r="M14" s="398"/>
      <c r="N14" s="398"/>
      <c r="O14" s="398"/>
      <c r="P14" s="399"/>
      <c r="Q14" s="398"/>
      <c r="R14" s="398"/>
      <c r="S14" s="398"/>
      <c r="T14" s="398"/>
      <c r="U14" s="11"/>
      <c r="V14" s="11"/>
    </row>
    <row r="15" ht="18.6" customHeight="1" spans="1:22">
      <c r="A15" s="11"/>
      <c r="B15" s="353"/>
      <c r="C15" s="354"/>
      <c r="D15" s="354"/>
      <c r="E15" s="355"/>
      <c r="F15" s="356"/>
      <c r="G15" s="365"/>
      <c r="H15" s="356"/>
      <c r="I15" s="365"/>
      <c r="J15" s="384"/>
      <c r="K15" s="384"/>
      <c r="L15" s="398"/>
      <c r="M15" s="398"/>
      <c r="N15" s="398"/>
      <c r="O15" s="398"/>
      <c r="P15" s="399"/>
      <c r="Q15" s="398"/>
      <c r="R15" s="398"/>
      <c r="S15" s="398"/>
      <c r="T15" s="398"/>
      <c r="U15" s="11"/>
      <c r="V15" s="11"/>
    </row>
    <row r="16" ht="18.6" customHeight="1" spans="1:22">
      <c r="A16" s="11"/>
      <c r="B16" s="353"/>
      <c r="C16" s="354"/>
      <c r="D16" s="354"/>
      <c r="E16" s="355"/>
      <c r="F16" s="366"/>
      <c r="G16" s="367" t="e">
        <f>F13/B3</f>
        <v>#DIV/0!</v>
      </c>
      <c r="H16" s="358"/>
      <c r="I16" s="393" t="e">
        <f>H13/B3</f>
        <v>#DIV/0!</v>
      </c>
      <c r="J16" s="384"/>
      <c r="K16" s="384"/>
      <c r="L16" s="398"/>
      <c r="M16" s="398"/>
      <c r="N16" s="398"/>
      <c r="O16" s="398"/>
      <c r="P16" s="399"/>
      <c r="Q16" s="398"/>
      <c r="R16" s="398"/>
      <c r="S16" s="398"/>
      <c r="T16" s="398"/>
      <c r="U16" s="11"/>
      <c r="V16" s="11"/>
    </row>
    <row r="17" ht="18.6" customHeight="1" spans="1:22">
      <c r="A17" s="11"/>
      <c r="B17" s="353"/>
      <c r="C17" s="354"/>
      <c r="D17" s="354"/>
      <c r="E17" s="355"/>
      <c r="F17" s="368">
        <f>⑦原価詳細!B36/1000000-F13</f>
        <v>0</v>
      </c>
      <c r="G17" s="369"/>
      <c r="H17" s="370"/>
      <c r="I17" s="400"/>
      <c r="J17" s="384"/>
      <c r="K17" s="384"/>
      <c r="L17" s="398"/>
      <c r="M17" s="398"/>
      <c r="N17" s="398"/>
      <c r="O17" s="398"/>
      <c r="P17" s="399"/>
      <c r="Q17" s="398"/>
      <c r="R17" s="398"/>
      <c r="S17" s="398"/>
      <c r="T17" s="398"/>
      <c r="U17" s="11"/>
      <c r="V17" s="11"/>
    </row>
    <row r="18" ht="18.6" customHeight="1" spans="1:22">
      <c r="A18" s="11"/>
      <c r="B18" s="353"/>
      <c r="C18" s="354"/>
      <c r="D18" s="354"/>
      <c r="E18" s="355"/>
      <c r="F18" s="371"/>
      <c r="G18" s="372"/>
      <c r="H18" s="373">
        <f>F13-H13</f>
        <v>0</v>
      </c>
      <c r="I18" s="401"/>
      <c r="J18" s="384"/>
      <c r="K18" s="384"/>
      <c r="L18" s="398"/>
      <c r="M18" s="398"/>
      <c r="N18" s="398"/>
      <c r="O18" s="398"/>
      <c r="P18" s="399"/>
      <c r="Q18" s="398"/>
      <c r="R18" s="398"/>
      <c r="S18" s="398"/>
      <c r="T18" s="398"/>
      <c r="U18" s="11"/>
      <c r="V18" s="11"/>
    </row>
    <row r="19" ht="18.6" customHeight="1" spans="1:22">
      <c r="A19" s="11"/>
      <c r="B19" s="353"/>
      <c r="C19" s="354"/>
      <c r="D19" s="354"/>
      <c r="E19" s="355"/>
      <c r="F19" s="371"/>
      <c r="G19" s="372"/>
      <c r="H19" s="371"/>
      <c r="I19" s="372"/>
      <c r="J19" s="384"/>
      <c r="K19" s="384"/>
      <c r="L19" s="398"/>
      <c r="M19" s="398"/>
      <c r="N19" s="398"/>
      <c r="O19" s="398"/>
      <c r="P19" s="399"/>
      <c r="Q19" s="398"/>
      <c r="R19" s="398"/>
      <c r="S19" s="398"/>
      <c r="T19" s="398"/>
      <c r="U19" s="11"/>
      <c r="V19" s="11"/>
    </row>
    <row r="20" ht="18.6" customHeight="1" spans="1:22">
      <c r="A20" s="11"/>
      <c r="B20" s="374"/>
      <c r="C20" s="374"/>
      <c r="D20" s="361"/>
      <c r="E20" s="361"/>
      <c r="F20" s="375"/>
      <c r="G20" s="376"/>
      <c r="H20" s="371"/>
      <c r="I20" s="372"/>
      <c r="J20" s="384"/>
      <c r="K20" s="384"/>
      <c r="L20" s="398"/>
      <c r="M20" s="398"/>
      <c r="N20" s="398"/>
      <c r="O20" s="398"/>
      <c r="P20" s="399"/>
      <c r="Q20" s="398"/>
      <c r="R20" s="398"/>
      <c r="S20" s="398"/>
      <c r="T20" s="398"/>
      <c r="U20" s="11"/>
      <c r="V20" s="11"/>
    </row>
    <row r="21" ht="18.6" customHeight="1" spans="1:22">
      <c r="A21" s="11"/>
      <c r="B21" s="377"/>
      <c r="C21" s="377"/>
      <c r="D21" s="378"/>
      <c r="E21" s="378"/>
      <c r="F21" s="374"/>
      <c r="G21" s="361"/>
      <c r="H21" s="379"/>
      <c r="I21" s="402" t="e">
        <f>H18/B3</f>
        <v>#DIV/0!</v>
      </c>
      <c r="J21" s="384"/>
      <c r="K21" s="384"/>
      <c r="L21" s="398"/>
      <c r="M21" s="398"/>
      <c r="N21" s="398"/>
      <c r="O21" s="398"/>
      <c r="P21" s="399"/>
      <c r="Q21" s="398"/>
      <c r="R21" s="398"/>
      <c r="S21" s="398"/>
      <c r="T21" s="398"/>
      <c r="U21" s="11"/>
      <c r="V21" s="11"/>
    </row>
    <row r="22" ht="18.6" customHeight="1" spans="1:22">
      <c r="A22" s="11"/>
      <c r="B22" s="380"/>
      <c r="C22" s="380"/>
      <c r="D22" s="363"/>
      <c r="E22" s="363"/>
      <c r="F22" s="380"/>
      <c r="G22" s="363"/>
      <c r="H22" s="370" t="s">
        <v>225</v>
      </c>
      <c r="I22" s="400">
        <f>①利益!I5</f>
        <v>0</v>
      </c>
      <c r="J22" s="384"/>
      <c r="K22" s="384"/>
      <c r="L22" s="398"/>
      <c r="M22" s="398"/>
      <c r="N22" s="398"/>
      <c r="O22" s="398"/>
      <c r="P22" s="399"/>
      <c r="Q22" s="398"/>
      <c r="R22" s="398"/>
      <c r="S22" s="398"/>
      <c r="T22" s="398"/>
      <c r="U22" s="11"/>
      <c r="V22" s="11"/>
    </row>
    <row r="23" spans="1:22">
      <c r="A23" s="11"/>
      <c r="B23" s="11"/>
      <c r="C23" s="11"/>
      <c r="D23" s="11"/>
      <c r="E23" s="11"/>
      <c r="F23" s="11"/>
      <c r="G23" s="11"/>
      <c r="H23" s="11"/>
      <c r="I23" s="11"/>
      <c r="J23" s="11"/>
      <c r="K23" s="11"/>
      <c r="L23" s="11"/>
      <c r="M23" s="11"/>
      <c r="N23" s="11"/>
      <c r="O23" s="11"/>
      <c r="P23" s="11"/>
      <c r="Q23" s="11"/>
      <c r="R23" s="11"/>
      <c r="S23" s="11"/>
      <c r="T23" s="11"/>
      <c r="U23" s="11"/>
      <c r="V23" s="11"/>
    </row>
    <row r="24" ht="15.75" spans="1:22">
      <c r="A24" s="11"/>
      <c r="B24" s="381" t="s">
        <v>226</v>
      </c>
      <c r="C24" s="381"/>
      <c r="D24" s="381"/>
      <c r="E24" s="381"/>
      <c r="F24" s="381"/>
      <c r="G24" s="381"/>
      <c r="H24" s="381"/>
      <c r="I24" s="381"/>
      <c r="J24" s="11"/>
      <c r="K24" s="11"/>
      <c r="L24" s="403" t="s">
        <v>216</v>
      </c>
      <c r="M24" s="11"/>
      <c r="N24" s="11"/>
      <c r="O24" s="11"/>
      <c r="P24" s="11"/>
      <c r="Q24" s="11"/>
      <c r="R24" s="11"/>
      <c r="S24" s="11"/>
      <c r="T24" s="11"/>
      <c r="U24" s="11"/>
      <c r="V24" s="11"/>
    </row>
    <row r="25" spans="1:22">
      <c r="A25" s="11"/>
      <c r="B25" s="382"/>
      <c r="C25" s="382"/>
      <c r="D25" s="382"/>
      <c r="E25" s="382"/>
      <c r="F25" s="382"/>
      <c r="G25" s="382"/>
      <c r="H25" s="382"/>
      <c r="I25" s="382"/>
      <c r="J25" s="11"/>
      <c r="K25" s="11"/>
      <c r="L25" s="404"/>
      <c r="M25" s="12"/>
      <c r="N25" s="12"/>
      <c r="O25" s="12"/>
      <c r="P25" s="12"/>
      <c r="Q25" s="12"/>
      <c r="R25" s="12"/>
      <c r="S25" s="12"/>
      <c r="T25" s="12"/>
      <c r="U25" s="408"/>
      <c r="V25" s="11"/>
    </row>
    <row r="26" spans="1:22">
      <c r="A26" s="11"/>
      <c r="B26" s="382"/>
      <c r="C26" s="382"/>
      <c r="D26" s="382"/>
      <c r="E26" s="382"/>
      <c r="F26" s="382"/>
      <c r="G26" s="382"/>
      <c r="H26" s="382"/>
      <c r="I26" s="382"/>
      <c r="J26" s="11"/>
      <c r="K26" s="11"/>
      <c r="L26" s="405"/>
      <c r="M26" s="13"/>
      <c r="N26" s="13"/>
      <c r="O26" s="13"/>
      <c r="P26" s="13"/>
      <c r="Q26" s="13"/>
      <c r="R26" s="13"/>
      <c r="S26" s="13"/>
      <c r="T26" s="13"/>
      <c r="U26" s="409"/>
      <c r="V26" s="11"/>
    </row>
    <row r="27" spans="1:22">
      <c r="A27" s="11"/>
      <c r="B27" s="382"/>
      <c r="C27" s="382"/>
      <c r="D27" s="382"/>
      <c r="E27" s="382"/>
      <c r="F27" s="382"/>
      <c r="G27" s="382"/>
      <c r="H27" s="382"/>
      <c r="I27" s="382"/>
      <c r="J27" s="11"/>
      <c r="K27" s="11"/>
      <c r="L27" s="405"/>
      <c r="M27" s="13"/>
      <c r="N27" s="13"/>
      <c r="O27" s="13"/>
      <c r="P27" s="13"/>
      <c r="Q27" s="13"/>
      <c r="R27" s="13"/>
      <c r="S27" s="13"/>
      <c r="T27" s="13"/>
      <c r="U27" s="409"/>
      <c r="V27" s="11"/>
    </row>
    <row r="28" spans="1:22">
      <c r="A28" s="11"/>
      <c r="B28" s="382"/>
      <c r="C28" s="382"/>
      <c r="D28" s="382"/>
      <c r="E28" s="382"/>
      <c r="F28" s="382"/>
      <c r="G28" s="382"/>
      <c r="H28" s="382"/>
      <c r="I28" s="382"/>
      <c r="J28" s="11"/>
      <c r="K28" s="11"/>
      <c r="L28" s="405"/>
      <c r="M28" s="13"/>
      <c r="N28" s="13"/>
      <c r="O28" s="13"/>
      <c r="P28" s="13"/>
      <c r="Q28" s="13"/>
      <c r="R28" s="13"/>
      <c r="S28" s="13"/>
      <c r="T28" s="13"/>
      <c r="U28" s="409"/>
      <c r="V28" s="11"/>
    </row>
    <row r="29" spans="1:22">
      <c r="A29" s="11"/>
      <c r="B29" s="382"/>
      <c r="C29" s="382"/>
      <c r="D29" s="382"/>
      <c r="E29" s="382"/>
      <c r="F29" s="382"/>
      <c r="G29" s="382"/>
      <c r="H29" s="382"/>
      <c r="I29" s="382"/>
      <c r="J29" s="11"/>
      <c r="K29" s="11"/>
      <c r="L29" s="405"/>
      <c r="M29" s="13"/>
      <c r="N29" s="13"/>
      <c r="O29" s="13"/>
      <c r="P29" s="13"/>
      <c r="Q29" s="13"/>
      <c r="R29" s="13"/>
      <c r="S29" s="13"/>
      <c r="T29" s="13"/>
      <c r="U29" s="409"/>
      <c r="V29" s="11"/>
    </row>
    <row r="30" spans="1:22">
      <c r="A30" s="11"/>
      <c r="B30" s="382"/>
      <c r="C30" s="382"/>
      <c r="D30" s="382"/>
      <c r="E30" s="382"/>
      <c r="F30" s="382"/>
      <c r="G30" s="382"/>
      <c r="H30" s="382"/>
      <c r="I30" s="382"/>
      <c r="J30" s="11"/>
      <c r="K30" s="11"/>
      <c r="L30" s="405"/>
      <c r="M30" s="13"/>
      <c r="N30" s="13"/>
      <c r="O30" s="13"/>
      <c r="P30" s="13"/>
      <c r="Q30" s="13"/>
      <c r="R30" s="13"/>
      <c r="S30" s="13"/>
      <c r="T30" s="13"/>
      <c r="U30" s="409"/>
      <c r="V30" s="11"/>
    </row>
    <row r="31" spans="1:22">
      <c r="A31" s="11"/>
      <c r="B31" s="382"/>
      <c r="C31" s="382"/>
      <c r="D31" s="382"/>
      <c r="E31" s="382"/>
      <c r="F31" s="382"/>
      <c r="G31" s="382"/>
      <c r="H31" s="382"/>
      <c r="I31" s="382"/>
      <c r="J31" s="11"/>
      <c r="K31" s="11"/>
      <c r="L31" s="405"/>
      <c r="M31" s="13"/>
      <c r="N31" s="13"/>
      <c r="O31" s="13"/>
      <c r="P31" s="13"/>
      <c r="Q31" s="13"/>
      <c r="R31" s="13"/>
      <c r="S31" s="13"/>
      <c r="T31" s="13"/>
      <c r="U31" s="409"/>
      <c r="V31" s="11"/>
    </row>
    <row r="32" spans="1:22">
      <c r="A32" s="11"/>
      <c r="B32" s="382"/>
      <c r="C32" s="382"/>
      <c r="D32" s="382"/>
      <c r="E32" s="382"/>
      <c r="F32" s="382"/>
      <c r="G32" s="382"/>
      <c r="H32" s="382"/>
      <c r="I32" s="382"/>
      <c r="J32" s="11"/>
      <c r="K32" s="11"/>
      <c r="L32" s="405"/>
      <c r="M32" s="13"/>
      <c r="N32" s="13"/>
      <c r="O32" s="13"/>
      <c r="P32" s="13"/>
      <c r="Q32" s="13"/>
      <c r="R32" s="13"/>
      <c r="S32" s="13"/>
      <c r="T32" s="13"/>
      <c r="U32" s="409"/>
      <c r="V32" s="11"/>
    </row>
    <row r="33" spans="1:22">
      <c r="A33" s="11"/>
      <c r="B33" s="382"/>
      <c r="C33" s="382"/>
      <c r="D33" s="382"/>
      <c r="E33" s="382"/>
      <c r="F33" s="382"/>
      <c r="G33" s="382"/>
      <c r="H33" s="382"/>
      <c r="I33" s="382"/>
      <c r="J33" s="11"/>
      <c r="K33" s="11"/>
      <c r="L33" s="405"/>
      <c r="M33" s="13"/>
      <c r="N33" s="13"/>
      <c r="O33" s="13"/>
      <c r="P33" s="13"/>
      <c r="Q33" s="13"/>
      <c r="R33" s="13"/>
      <c r="S33" s="13"/>
      <c r="T33" s="13"/>
      <c r="U33" s="409"/>
      <c r="V33" s="11"/>
    </row>
    <row r="34" spans="1:22">
      <c r="A34" s="11"/>
      <c r="B34" s="382"/>
      <c r="C34" s="382"/>
      <c r="D34" s="382"/>
      <c r="E34" s="382"/>
      <c r="F34" s="382"/>
      <c r="G34" s="382"/>
      <c r="H34" s="382"/>
      <c r="I34" s="382"/>
      <c r="J34" s="11"/>
      <c r="K34" s="11"/>
      <c r="L34" s="405"/>
      <c r="M34" s="13"/>
      <c r="N34" s="13"/>
      <c r="O34" s="13"/>
      <c r="P34" s="13"/>
      <c r="Q34" s="13"/>
      <c r="R34" s="13"/>
      <c r="S34" s="13"/>
      <c r="T34" s="13"/>
      <c r="U34" s="409"/>
      <c r="V34" s="11"/>
    </row>
    <row r="35" spans="1:22">
      <c r="A35" s="11"/>
      <c r="B35" s="382"/>
      <c r="C35" s="382"/>
      <c r="D35" s="382"/>
      <c r="E35" s="382"/>
      <c r="F35" s="382"/>
      <c r="G35" s="382"/>
      <c r="H35" s="382"/>
      <c r="I35" s="382"/>
      <c r="J35" s="11"/>
      <c r="K35" s="11"/>
      <c r="L35" s="405"/>
      <c r="M35" s="13"/>
      <c r="N35" s="13"/>
      <c r="O35" s="13"/>
      <c r="P35" s="13"/>
      <c r="Q35" s="13"/>
      <c r="R35" s="13"/>
      <c r="S35" s="13"/>
      <c r="T35" s="13"/>
      <c r="U35" s="409"/>
      <c r="V35" s="11"/>
    </row>
    <row r="36" spans="1:22">
      <c r="A36" s="11"/>
      <c r="B36" s="382"/>
      <c r="C36" s="382"/>
      <c r="D36" s="382"/>
      <c r="E36" s="382"/>
      <c r="F36" s="382"/>
      <c r="G36" s="382"/>
      <c r="H36" s="382"/>
      <c r="I36" s="382"/>
      <c r="J36" s="11"/>
      <c r="K36" s="11"/>
      <c r="L36" s="405"/>
      <c r="M36" s="13"/>
      <c r="N36" s="13"/>
      <c r="O36" s="13"/>
      <c r="P36" s="13"/>
      <c r="Q36" s="13"/>
      <c r="R36" s="13"/>
      <c r="S36" s="13"/>
      <c r="T36" s="13"/>
      <c r="U36" s="409"/>
      <c r="V36" s="11"/>
    </row>
    <row r="37" spans="1:22">
      <c r="A37" s="11"/>
      <c r="B37" s="11"/>
      <c r="C37" s="11"/>
      <c r="D37" s="11"/>
      <c r="E37" s="11"/>
      <c r="F37" s="11"/>
      <c r="G37" s="11"/>
      <c r="H37" s="11"/>
      <c r="I37" s="11"/>
      <c r="J37" s="11"/>
      <c r="K37" s="11"/>
      <c r="L37" s="405"/>
      <c r="M37" s="13"/>
      <c r="N37" s="13"/>
      <c r="O37" s="13"/>
      <c r="P37" s="13"/>
      <c r="Q37" s="13"/>
      <c r="R37" s="13"/>
      <c r="S37" s="13"/>
      <c r="T37" s="13"/>
      <c r="U37" s="409"/>
      <c r="V37" s="11"/>
    </row>
    <row r="38" spans="1:22">
      <c r="A38" s="11"/>
      <c r="B38" s="11"/>
      <c r="C38" s="11"/>
      <c r="D38" s="11"/>
      <c r="E38" s="11"/>
      <c r="F38" s="11"/>
      <c r="G38" s="11"/>
      <c r="H38" s="11"/>
      <c r="I38" s="11"/>
      <c r="J38" s="11"/>
      <c r="K38" s="11"/>
      <c r="L38" s="405"/>
      <c r="M38" s="13"/>
      <c r="N38" s="13"/>
      <c r="O38" s="13"/>
      <c r="P38" s="13"/>
      <c r="Q38" s="13"/>
      <c r="R38" s="13"/>
      <c r="S38" s="13"/>
      <c r="T38" s="13"/>
      <c r="U38" s="409"/>
      <c r="V38" s="11"/>
    </row>
    <row r="39" spans="1:22">
      <c r="A39" s="11"/>
      <c r="B39" s="11"/>
      <c r="C39" s="11"/>
      <c r="D39" s="11"/>
      <c r="E39" s="11"/>
      <c r="F39" s="11"/>
      <c r="G39" s="11"/>
      <c r="H39" s="11"/>
      <c r="I39" s="11"/>
      <c r="J39" s="11"/>
      <c r="K39" s="11"/>
      <c r="L39" s="406"/>
      <c r="M39" s="407"/>
      <c r="N39" s="407"/>
      <c r="O39" s="407"/>
      <c r="P39" s="407"/>
      <c r="Q39" s="407"/>
      <c r="R39" s="407"/>
      <c r="S39" s="407"/>
      <c r="T39" s="407"/>
      <c r="U39" s="410"/>
      <c r="V39" s="11"/>
    </row>
    <row r="40" spans="1:22">
      <c r="A40" s="11"/>
      <c r="B40" s="11"/>
      <c r="C40" s="11"/>
      <c r="D40" s="11"/>
      <c r="E40" s="11"/>
      <c r="F40" s="11"/>
      <c r="G40" s="11"/>
      <c r="H40" s="11"/>
      <c r="I40" s="11"/>
      <c r="J40" s="11"/>
      <c r="K40" s="11"/>
      <c r="L40" s="11"/>
      <c r="M40" s="11"/>
      <c r="N40" s="11"/>
      <c r="O40" s="11"/>
      <c r="P40" s="11"/>
      <c r="Q40" s="11"/>
      <c r="R40" s="11"/>
      <c r="S40" s="11"/>
      <c r="T40" s="11"/>
      <c r="U40" s="11"/>
      <c r="V40" s="11"/>
    </row>
  </sheetData>
  <sheetProtection algorithmName="SHA-512" hashValue="rvu4HmdLxet1kBUyQ76Gs4kNMWGGJwMSCVq6G+IAgCB3U9DNlVz38RlJbDx6zrk4IRUeixVheSxQh2RV+ZFa0g==" saltValue="51NsnPRx1WMy2N8YFcKQ5A==" spinCount="100000" sheet="1" objects="1"/>
  <mergeCells count="21">
    <mergeCell ref="B1:H1"/>
    <mergeCell ref="B2:I2"/>
    <mergeCell ref="L2:O2"/>
    <mergeCell ref="Q2:T2"/>
    <mergeCell ref="F21:F22"/>
    <mergeCell ref="G21:G22"/>
    <mergeCell ref="P3:P12"/>
    <mergeCell ref="L25:U39"/>
    <mergeCell ref="F17:G20"/>
    <mergeCell ref="F3:I9"/>
    <mergeCell ref="F13:G15"/>
    <mergeCell ref="H13:I15"/>
    <mergeCell ref="H18:I20"/>
    <mergeCell ref="F11:G12"/>
    <mergeCell ref="H11:I12"/>
    <mergeCell ref="B20:C22"/>
    <mergeCell ref="D20:E22"/>
    <mergeCell ref="B24:I36"/>
    <mergeCell ref="Q3:T12"/>
    <mergeCell ref="B3:E19"/>
    <mergeCell ref="L3:O12"/>
  </mergeCells>
  <pageMargins left="0.7" right="0.7" top="0.75" bottom="0.75" header="0.3" footer="0.3"/>
  <pageSetup paperSize="8" scale="93"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Q30"/>
  <sheetViews>
    <sheetView tabSelected="1" view="pageBreakPreview" zoomScaleNormal="100" workbookViewId="0">
      <selection activeCell="N9" sqref="N9"/>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5.8571428571429" customWidth="1"/>
    <col min="13" max="13" width="10.7142857142857" customWidth="1"/>
    <col min="14" max="14" width="11.8571428571429" customWidth="1"/>
    <col min="15" max="15" width="10.8571428571429" customWidth="1"/>
    <col min="16" max="16" width="8.42857142857143" customWidth="1"/>
  </cols>
  <sheetData>
    <row r="1" spans="1:17">
      <c r="A1" s="11">
        <f>スタート!C1</f>
        <v>0</v>
      </c>
      <c r="B1" s="11"/>
      <c r="C1" s="11"/>
      <c r="D1" s="11"/>
      <c r="E1" s="11"/>
      <c r="F1" s="11"/>
      <c r="G1" s="11"/>
      <c r="H1" s="11"/>
      <c r="I1" s="11"/>
      <c r="J1" s="11"/>
      <c r="K1" s="11"/>
      <c r="L1" s="11"/>
      <c r="M1" s="11"/>
      <c r="N1" s="11"/>
      <c r="O1" s="11"/>
      <c r="P1" s="11"/>
      <c r="Q1" s="11"/>
    </row>
    <row r="2" ht="45" customHeight="1" spans="1:17">
      <c r="A2" s="290" t="s">
        <v>227</v>
      </c>
      <c r="B2" s="290"/>
      <c r="C2" s="290"/>
      <c r="D2" s="290"/>
      <c r="E2" s="290"/>
      <c r="F2" s="290"/>
      <c r="G2" s="290"/>
      <c r="H2" s="290"/>
      <c r="I2" s="290"/>
      <c r="J2" s="290"/>
      <c r="K2" s="290"/>
      <c r="L2" s="290"/>
      <c r="M2" s="189" t="s">
        <v>228</v>
      </c>
      <c r="N2" s="190">
        <f>SUM(E14,J14,O14)</f>
        <v>0</v>
      </c>
      <c r="O2" s="191"/>
      <c r="P2" s="245"/>
      <c r="Q2" s="11"/>
    </row>
    <row r="3" spans="1:17">
      <c r="A3" s="11"/>
      <c r="B3" s="11"/>
      <c r="C3" s="11"/>
      <c r="D3" s="11"/>
      <c r="E3" s="11" t="s">
        <v>5</v>
      </c>
      <c r="F3" s="11"/>
      <c r="G3" s="11"/>
      <c r="H3" s="11"/>
      <c r="I3" s="11"/>
      <c r="J3" s="11" t="s">
        <v>5</v>
      </c>
      <c r="K3" s="11"/>
      <c r="L3" s="11"/>
      <c r="M3" s="11"/>
      <c r="N3" s="11"/>
      <c r="O3" s="11" t="s">
        <v>5</v>
      </c>
      <c r="P3" s="11"/>
      <c r="Q3" s="11"/>
    </row>
    <row r="4" ht="27" customHeight="1" spans="1:17">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row>
    <row r="5" ht="27" customHeight="1" spans="1:17">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row>
    <row r="6" ht="27" customHeight="1" spans="1:17">
      <c r="A6" s="11"/>
      <c r="B6" s="297"/>
      <c r="C6" s="298"/>
      <c r="D6" s="299"/>
      <c r="E6" s="300">
        <f>C6*D6</f>
        <v>0</v>
      </c>
      <c r="F6" s="11"/>
      <c r="G6" s="297"/>
      <c r="H6" s="298"/>
      <c r="I6" s="299"/>
      <c r="J6" s="300">
        <f>H6*I6</f>
        <v>0</v>
      </c>
      <c r="K6" s="11"/>
      <c r="L6" s="317"/>
      <c r="M6" s="318"/>
      <c r="N6" s="319"/>
      <c r="O6" s="320">
        <f>M6*N6</f>
        <v>0</v>
      </c>
      <c r="P6" s="11"/>
      <c r="Q6" s="11"/>
    </row>
    <row r="7" ht="27" customHeight="1" spans="1:17">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row>
    <row r="8" ht="27" customHeight="1" spans="1:17">
      <c r="A8" s="11"/>
      <c r="B8" s="78"/>
      <c r="C8" s="301"/>
      <c r="D8" s="302"/>
      <c r="E8" s="303">
        <f t="shared" si="0"/>
        <v>0</v>
      </c>
      <c r="F8" s="11"/>
      <c r="G8" s="78"/>
      <c r="H8" s="301"/>
      <c r="I8" s="302"/>
      <c r="J8" s="303">
        <f t="shared" si="1"/>
        <v>0</v>
      </c>
      <c r="K8" s="11"/>
      <c r="L8" s="317"/>
      <c r="M8" s="301"/>
      <c r="N8" s="302"/>
      <c r="O8" s="320">
        <f t="shared" si="2"/>
        <v>0</v>
      </c>
      <c r="P8" s="11"/>
      <c r="Q8" s="11"/>
    </row>
    <row r="9" ht="27" customHeight="1" spans="1:17">
      <c r="A9" s="11"/>
      <c r="B9" s="78"/>
      <c r="C9" s="301"/>
      <c r="D9" s="302"/>
      <c r="E9" s="303">
        <f t="shared" si="0"/>
        <v>0</v>
      </c>
      <c r="F9" s="11"/>
      <c r="G9" s="78"/>
      <c r="H9" s="301"/>
      <c r="I9" s="302"/>
      <c r="J9" s="303">
        <f t="shared" si="1"/>
        <v>0</v>
      </c>
      <c r="K9" s="11"/>
      <c r="L9" s="317"/>
      <c r="M9" s="318"/>
      <c r="N9" s="319"/>
      <c r="O9" s="320">
        <f t="shared" si="2"/>
        <v>0</v>
      </c>
      <c r="P9" s="11"/>
      <c r="Q9" s="11"/>
    </row>
    <row r="10" ht="27" customHeight="1" spans="1:17">
      <c r="A10" s="11"/>
      <c r="B10" s="78"/>
      <c r="C10" s="301"/>
      <c r="D10" s="302"/>
      <c r="E10" s="303">
        <f t="shared" si="0"/>
        <v>0</v>
      </c>
      <c r="F10" s="11"/>
      <c r="G10" s="78"/>
      <c r="H10" s="301"/>
      <c r="I10" s="302"/>
      <c r="J10" s="303">
        <f t="shared" si="1"/>
        <v>0</v>
      </c>
      <c r="K10" s="11"/>
      <c r="L10" s="317"/>
      <c r="M10" s="318"/>
      <c r="N10" s="319"/>
      <c r="O10" s="320">
        <f t="shared" si="2"/>
        <v>0</v>
      </c>
      <c r="P10" s="11"/>
      <c r="Q10" s="11"/>
    </row>
    <row r="11" ht="27" customHeight="1" spans="1:17">
      <c r="A11" s="11"/>
      <c r="B11" s="78"/>
      <c r="C11" s="301"/>
      <c r="D11" s="302"/>
      <c r="E11" s="303">
        <f t="shared" si="0"/>
        <v>0</v>
      </c>
      <c r="F11" s="11"/>
      <c r="G11" s="304"/>
      <c r="H11" s="301"/>
      <c r="I11" s="302"/>
      <c r="J11" s="303">
        <f t="shared" si="1"/>
        <v>0</v>
      </c>
      <c r="K11" s="11"/>
      <c r="L11" s="317"/>
      <c r="M11" s="318"/>
      <c r="N11" s="319"/>
      <c r="O11" s="320">
        <f t="shared" si="2"/>
        <v>0</v>
      </c>
      <c r="P11" s="11"/>
      <c r="Q11" s="11"/>
    </row>
    <row r="12" ht="27" customHeight="1" spans="1:17">
      <c r="A12" s="11"/>
      <c r="B12" s="78"/>
      <c r="C12" s="301"/>
      <c r="D12" s="302"/>
      <c r="E12" s="303">
        <f t="shared" si="0"/>
        <v>0</v>
      </c>
      <c r="F12" s="11"/>
      <c r="G12" s="304"/>
      <c r="H12" s="301"/>
      <c r="I12" s="302"/>
      <c r="J12" s="303">
        <f t="shared" si="1"/>
        <v>0</v>
      </c>
      <c r="K12" s="11"/>
      <c r="L12" s="317"/>
      <c r="M12" s="318"/>
      <c r="N12" s="319"/>
      <c r="O12" s="320">
        <f t="shared" si="2"/>
        <v>0</v>
      </c>
      <c r="P12" s="11"/>
      <c r="Q12" s="11"/>
    </row>
    <row r="13" ht="27" customHeight="1" spans="1:17">
      <c r="A13" s="11"/>
      <c r="B13" s="78"/>
      <c r="C13" s="301"/>
      <c r="D13" s="302"/>
      <c r="E13" s="303">
        <f t="shared" si="0"/>
        <v>0</v>
      </c>
      <c r="F13" s="11"/>
      <c r="G13" s="304"/>
      <c r="H13" s="301"/>
      <c r="I13" s="302"/>
      <c r="J13" s="321">
        <f t="shared" si="1"/>
        <v>0</v>
      </c>
      <c r="K13" s="11"/>
      <c r="L13" s="317"/>
      <c r="M13" s="301"/>
      <c r="N13" s="302"/>
      <c r="O13" s="320">
        <f t="shared" si="2"/>
        <v>0</v>
      </c>
      <c r="P13" s="11"/>
      <c r="Q13" s="11"/>
    </row>
    <row r="14" ht="27" customHeight="1" spans="1:17">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row>
    <row r="15" ht="34.95" customHeight="1" spans="1:17">
      <c r="A15" s="11"/>
      <c r="B15" s="305" t="s">
        <v>238</v>
      </c>
      <c r="C15" s="309" t="s">
        <v>237</v>
      </c>
      <c r="D15" s="310"/>
      <c r="E15" s="311">
        <f>スタート!C12</f>
        <v>0</v>
      </c>
      <c r="F15" s="11"/>
      <c r="G15" s="305" t="s">
        <v>239</v>
      </c>
      <c r="H15" s="309" t="s">
        <v>237</v>
      </c>
      <c r="I15" s="310"/>
      <c r="J15" s="311">
        <f>スタート!C16</f>
        <v>0</v>
      </c>
      <c r="K15" s="11"/>
      <c r="L15" s="347" t="s">
        <v>240</v>
      </c>
      <c r="M15" s="309" t="s">
        <v>237</v>
      </c>
      <c r="N15" s="310"/>
      <c r="O15" s="311">
        <f>スタート!C17+スタート!C18</f>
        <v>0</v>
      </c>
      <c r="P15" s="11"/>
      <c r="Q15" s="11"/>
    </row>
    <row r="16" spans="1:17">
      <c r="A16" s="11"/>
      <c r="B16" s="11"/>
      <c r="C16" s="11"/>
      <c r="D16" s="11"/>
      <c r="E16" s="11"/>
      <c r="F16" s="11"/>
      <c r="G16" s="11"/>
      <c r="H16" s="11"/>
      <c r="I16" s="11"/>
      <c r="J16" s="11"/>
      <c r="K16" s="11"/>
      <c r="L16" s="11"/>
      <c r="M16" s="11"/>
      <c r="N16" s="11"/>
      <c r="O16" s="11"/>
      <c r="P16" s="11"/>
      <c r="Q16" s="11"/>
    </row>
    <row r="17" ht="27.6" customHeight="1" spans="1:17">
      <c r="A17" s="11"/>
      <c r="B17" s="346" t="s">
        <v>241</v>
      </c>
      <c r="C17" s="312"/>
      <c r="D17" s="312"/>
      <c r="E17" s="313" t="s">
        <v>242</v>
      </c>
      <c r="F17" s="11"/>
      <c r="G17" s="11"/>
      <c r="H17" s="11"/>
      <c r="I17" s="11"/>
      <c r="J17" s="11"/>
      <c r="K17" s="11"/>
      <c r="L17" s="11"/>
      <c r="M17" s="11"/>
      <c r="N17" s="11"/>
      <c r="O17" s="11"/>
      <c r="P17" s="11"/>
      <c r="Q17" s="11"/>
    </row>
    <row r="18" ht="27.6" customHeight="1" spans="1:17">
      <c r="A18" s="11"/>
      <c r="B18" s="312" t="s">
        <v>243</v>
      </c>
      <c r="C18" s="314" t="e">
        <f>(E14+J14+O14)/(D14+I14+N14)</f>
        <v>#DIV/0!</v>
      </c>
      <c r="D18" s="312" t="s">
        <v>218</v>
      </c>
      <c r="E18" s="315" t="e">
        <f>C18/C19</f>
        <v>#DIV/0!</v>
      </c>
      <c r="F18" s="11"/>
      <c r="G18" s="11"/>
      <c r="H18" s="11"/>
      <c r="I18" s="11"/>
      <c r="J18" s="11"/>
      <c r="K18" s="11"/>
      <c r="L18" s="11"/>
      <c r="M18" s="11"/>
      <c r="N18" s="11"/>
      <c r="O18" s="11"/>
      <c r="P18" s="11"/>
      <c r="Q18" s="11"/>
    </row>
    <row r="19" ht="27.6" customHeight="1" spans="1:17">
      <c r="A19" s="11"/>
      <c r="B19" s="312" t="s">
        <v>244</v>
      </c>
      <c r="C19" s="316" t="str">
        <f>IFERROR((E15+J15+O15)/(N15+I15+D15),"0")</f>
        <v>0</v>
      </c>
      <c r="D19" s="312" t="s">
        <v>218</v>
      </c>
      <c r="E19" s="315"/>
      <c r="F19" s="11"/>
      <c r="G19" s="11"/>
      <c r="H19" s="11"/>
      <c r="I19" s="11"/>
      <c r="J19" s="11"/>
      <c r="K19" s="11"/>
      <c r="L19" s="11"/>
      <c r="M19" s="11"/>
      <c r="N19" s="11"/>
      <c r="O19" s="11"/>
      <c r="P19" s="11"/>
      <c r="Q19" s="11"/>
    </row>
    <row r="20" spans="1:17">
      <c r="A20" s="11"/>
      <c r="B20" s="11"/>
      <c r="C20" s="11"/>
      <c r="D20" s="11"/>
      <c r="E20" s="11"/>
      <c r="F20" s="11"/>
      <c r="G20" s="11"/>
      <c r="H20" s="11"/>
      <c r="I20" s="11"/>
      <c r="J20" s="11"/>
      <c r="K20" s="11"/>
      <c r="L20" s="11"/>
      <c r="M20" s="11"/>
      <c r="N20" s="11"/>
      <c r="O20" s="11"/>
      <c r="P20" s="11"/>
      <c r="Q20" s="11"/>
    </row>
    <row r="21" spans="1:17">
      <c r="A21" s="11"/>
      <c r="B21" s="11"/>
      <c r="C21" s="11"/>
      <c r="D21" s="11"/>
      <c r="E21" s="11"/>
      <c r="F21" s="11"/>
      <c r="G21" s="11"/>
      <c r="H21" s="11"/>
      <c r="I21" s="11"/>
      <c r="J21" s="11"/>
      <c r="K21" s="11"/>
      <c r="L21" s="11"/>
      <c r="M21" s="11"/>
      <c r="N21" s="11"/>
      <c r="O21" s="11"/>
      <c r="P21" s="11"/>
      <c r="Q21" s="11"/>
    </row>
    <row r="22" spans="1:17">
      <c r="A22" s="11"/>
      <c r="B22" s="11"/>
      <c r="C22" s="11"/>
      <c r="D22" s="11"/>
      <c r="E22" s="11"/>
      <c r="F22" s="11"/>
      <c r="G22" s="11"/>
      <c r="H22" s="11"/>
      <c r="I22" s="11"/>
      <c r="J22" s="11"/>
      <c r="K22" s="11"/>
      <c r="L22" s="11"/>
      <c r="M22" s="11"/>
      <c r="N22" s="11"/>
      <c r="O22" s="11"/>
      <c r="P22" s="11"/>
      <c r="Q22" s="11"/>
    </row>
    <row r="23" spans="1:17">
      <c r="A23" s="11"/>
      <c r="B23" s="11"/>
      <c r="C23" s="11"/>
      <c r="D23" s="11"/>
      <c r="E23" s="11"/>
      <c r="F23" s="11"/>
      <c r="G23" s="11"/>
      <c r="H23" s="11"/>
      <c r="I23" s="11"/>
      <c r="J23" s="11"/>
      <c r="K23" s="11"/>
      <c r="L23" s="11"/>
      <c r="M23" s="11"/>
      <c r="N23" s="11"/>
      <c r="O23" s="11"/>
      <c r="P23" s="11"/>
      <c r="Q23" s="11"/>
    </row>
    <row r="24" spans="1:17">
      <c r="A24" s="11"/>
      <c r="B24" s="11"/>
      <c r="C24" s="11"/>
      <c r="D24" s="11"/>
      <c r="E24" s="11"/>
      <c r="F24" s="11"/>
      <c r="G24" s="11"/>
      <c r="H24" s="11"/>
      <c r="I24" s="11"/>
      <c r="J24" s="11"/>
      <c r="K24" s="11"/>
      <c r="L24" s="11"/>
      <c r="M24" s="11"/>
      <c r="N24" s="11"/>
      <c r="O24" s="11"/>
      <c r="P24" s="11"/>
      <c r="Q24" s="11"/>
    </row>
    <row r="25" spans="1:17">
      <c r="A25" s="11"/>
      <c r="B25" s="11"/>
      <c r="C25" s="11"/>
      <c r="D25" s="11"/>
      <c r="E25" s="11"/>
      <c r="F25" s="11"/>
      <c r="G25" s="11"/>
      <c r="H25" s="11"/>
      <c r="I25" s="11"/>
      <c r="J25" s="11"/>
      <c r="K25" s="11"/>
      <c r="L25" s="11"/>
      <c r="M25" s="11"/>
      <c r="N25" s="11"/>
      <c r="O25" s="11"/>
      <c r="P25" s="11"/>
      <c r="Q25" s="11"/>
    </row>
    <row r="26" spans="1:17">
      <c r="A26" s="11"/>
      <c r="B26" s="11"/>
      <c r="C26" s="11"/>
      <c r="D26" s="11"/>
      <c r="E26" s="11"/>
      <c r="F26" s="11"/>
      <c r="G26" s="11"/>
      <c r="H26" s="11"/>
      <c r="I26" s="11"/>
      <c r="J26" s="11"/>
      <c r="K26" s="11"/>
      <c r="L26" s="11"/>
      <c r="M26" s="11"/>
      <c r="N26" s="11"/>
      <c r="O26" s="11"/>
      <c r="P26" s="11"/>
      <c r="Q26" s="11"/>
    </row>
    <row r="27" spans="1:17">
      <c r="A27" s="11"/>
      <c r="B27" s="11"/>
      <c r="C27" s="11"/>
      <c r="D27" s="11"/>
      <c r="E27" s="11"/>
      <c r="F27" s="11"/>
      <c r="G27" s="11"/>
      <c r="H27" s="11"/>
      <c r="I27" s="11"/>
      <c r="J27" s="11"/>
      <c r="K27" s="11"/>
      <c r="L27" s="11"/>
      <c r="M27" s="11"/>
      <c r="N27" s="11"/>
      <c r="O27" s="11"/>
      <c r="P27" s="11"/>
      <c r="Q27" s="11"/>
    </row>
    <row r="28" spans="1:17">
      <c r="A28" s="11"/>
      <c r="B28" s="11"/>
      <c r="C28" s="11"/>
      <c r="D28" s="11"/>
      <c r="E28" s="11"/>
      <c r="F28" s="11"/>
      <c r="G28" s="11"/>
      <c r="H28" s="11"/>
      <c r="I28" s="11"/>
      <c r="J28" s="11"/>
      <c r="K28" s="11"/>
      <c r="L28" s="11"/>
      <c r="M28" s="11"/>
      <c r="N28" s="11"/>
      <c r="O28" s="11"/>
      <c r="P28" s="11"/>
      <c r="Q28" s="11"/>
    </row>
    <row r="29" spans="1:17">
      <c r="A29" s="11"/>
      <c r="B29" s="11"/>
      <c r="C29" s="11"/>
      <c r="D29" s="11"/>
      <c r="E29" s="11"/>
      <c r="F29" s="11"/>
      <c r="G29" s="11"/>
      <c r="H29" s="11"/>
      <c r="I29" s="11"/>
      <c r="J29" s="11"/>
      <c r="K29" s="11"/>
      <c r="L29" s="11"/>
      <c r="M29" s="11"/>
      <c r="N29" s="11"/>
      <c r="O29" s="11"/>
      <c r="P29" s="11"/>
      <c r="Q29" s="11"/>
    </row>
    <row r="30" spans="1:17">
      <c r="A30" s="11"/>
      <c r="B30" s="11"/>
      <c r="C30" s="11"/>
      <c r="D30" s="11"/>
      <c r="E30" s="11"/>
      <c r="F30" s="11"/>
      <c r="G30" s="11"/>
      <c r="H30" s="11"/>
      <c r="I30" s="11"/>
      <c r="J30" s="11"/>
      <c r="K30" s="11"/>
      <c r="L30" s="11"/>
      <c r="M30" s="11"/>
      <c r="N30" s="11"/>
      <c r="O30" s="11"/>
      <c r="P30" s="11"/>
      <c r="Q30" s="11"/>
    </row>
  </sheetData>
  <sheetProtection algorithmName="SHA-512" hashValue="OZrku1EfXIV1kyOS+qYmL3/f6LEpyc/qKBoLBleFe4AGd4P/JmL0F8p1P0ZPNhYupQ5lIykadeSvk80lklXVZQ==" saltValue="NGf6oKKHPVPH587oJSlNgg==" spinCount="100000" sheet="1" objects="1"/>
  <mergeCells count="2">
    <mergeCell ref="A1:G1"/>
    <mergeCell ref="N2:P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9"/>
  <sheetViews>
    <sheetView view="pageBreakPreview" zoomScale="90" zoomScaleNormal="90" workbookViewId="0">
      <selection activeCell="I5" sqref="I5"/>
    </sheetView>
  </sheetViews>
  <sheetFormatPr defaultColWidth="9" defaultRowHeight="15"/>
  <cols>
    <col min="2" max="2" width="15.6952380952381" customWidth="1"/>
    <col min="3" max="3" width="9.2" customWidth="1"/>
    <col min="5" max="5" width="15" customWidth="1"/>
    <col min="8" max="8" width="18.5619047619048" customWidth="1"/>
    <col min="11" max="11" width="15.6952380952381" customWidth="1"/>
    <col min="13" max="13" width="29.0952380952381" customWidth="1"/>
  </cols>
  <sheetData>
    <row r="1" ht="34.95" customHeight="1" spans="1:13">
      <c r="A1" s="11">
        <f>スタート!C1</f>
        <v>0</v>
      </c>
      <c r="B1" s="11"/>
      <c r="C1" s="11"/>
      <c r="D1" s="11"/>
      <c r="E1" s="11"/>
      <c r="F1" s="11"/>
      <c r="G1" s="11"/>
      <c r="H1" s="11"/>
      <c r="I1" s="11"/>
      <c r="J1" s="11"/>
      <c r="K1" s="11"/>
      <c r="L1" s="11"/>
      <c r="M1" s="11"/>
    </row>
    <row r="2" ht="47.25" spans="1:15">
      <c r="A2" s="188" t="s">
        <v>245</v>
      </c>
      <c r="B2" s="11"/>
      <c r="C2" s="11"/>
      <c r="D2" s="11"/>
      <c r="E2" s="11"/>
      <c r="F2" s="11"/>
      <c r="G2" s="11"/>
      <c r="H2" s="11"/>
      <c r="I2" s="268">
        <f>L16+I24+F13+C43</f>
        <v>0</v>
      </c>
      <c r="J2" s="269"/>
      <c r="K2" s="269"/>
      <c r="L2" s="270"/>
      <c r="M2" s="11"/>
      <c r="N2" s="328"/>
      <c r="O2" s="328"/>
    </row>
    <row r="3" ht="21" spans="1:14">
      <c r="A3" s="11"/>
      <c r="B3" s="322" t="s">
        <v>246</v>
      </c>
      <c r="C3" s="323" t="s">
        <v>231</v>
      </c>
      <c r="D3" s="250"/>
      <c r="E3" s="251" t="s">
        <v>75</v>
      </c>
      <c r="F3" s="252" t="s">
        <v>231</v>
      </c>
      <c r="G3" s="11"/>
      <c r="H3" s="69" t="s">
        <v>247</v>
      </c>
      <c r="I3" s="70" t="s">
        <v>231</v>
      </c>
      <c r="J3" s="272"/>
      <c r="K3" s="69" t="s">
        <v>248</v>
      </c>
      <c r="L3" s="329" t="s">
        <v>231</v>
      </c>
      <c r="M3" s="330"/>
      <c r="N3" s="331"/>
    </row>
    <row r="4" ht="21" spans="1:14">
      <c r="A4" s="11"/>
      <c r="B4" s="101" t="s">
        <v>249</v>
      </c>
      <c r="C4" s="253" t="s">
        <v>236</v>
      </c>
      <c r="D4" s="250"/>
      <c r="E4" s="254"/>
      <c r="F4" s="255"/>
      <c r="G4" s="11"/>
      <c r="H4" s="277" t="s">
        <v>249</v>
      </c>
      <c r="I4" s="276" t="s">
        <v>236</v>
      </c>
      <c r="J4" s="272"/>
      <c r="K4" s="277" t="s">
        <v>249</v>
      </c>
      <c r="L4" s="332" t="s">
        <v>236</v>
      </c>
      <c r="M4" s="330"/>
      <c r="N4" s="333"/>
    </row>
    <row r="5" ht="25.2" customHeight="1" spans="1:14">
      <c r="A5" s="11"/>
      <c r="B5" s="257"/>
      <c r="C5" s="258"/>
      <c r="D5" s="250"/>
      <c r="E5" s="254"/>
      <c r="F5" s="259"/>
      <c r="G5" s="11"/>
      <c r="H5" s="324" t="s">
        <v>18</v>
      </c>
      <c r="I5" s="334">
        <f>③給料!E14</f>
        <v>0</v>
      </c>
      <c r="J5" s="272"/>
      <c r="K5" s="282"/>
      <c r="L5" s="255"/>
      <c r="M5" s="335"/>
      <c r="N5" s="336"/>
    </row>
    <row r="6" ht="25.2" customHeight="1" spans="1:14">
      <c r="A6" s="11"/>
      <c r="B6" s="257"/>
      <c r="C6" s="258"/>
      <c r="D6" s="250"/>
      <c r="E6" s="261"/>
      <c r="F6" s="259"/>
      <c r="G6" s="11"/>
      <c r="H6" s="325" t="s">
        <v>26</v>
      </c>
      <c r="I6" s="337">
        <f>③給料!J14</f>
        <v>0</v>
      </c>
      <c r="J6" s="272"/>
      <c r="K6" s="282"/>
      <c r="L6" s="259"/>
      <c r="M6" s="335"/>
      <c r="N6" s="336"/>
    </row>
    <row r="7" ht="25.2" customHeight="1" spans="1:14">
      <c r="A7" s="11"/>
      <c r="B7" s="257"/>
      <c r="C7" s="258"/>
      <c r="D7" s="250"/>
      <c r="E7" s="261"/>
      <c r="F7" s="263"/>
      <c r="G7" s="11"/>
      <c r="H7" s="325" t="s">
        <v>28</v>
      </c>
      <c r="I7" s="337">
        <f>③給料!O14</f>
        <v>0</v>
      </c>
      <c r="J7" s="272"/>
      <c r="K7" s="282"/>
      <c r="L7" s="259"/>
      <c r="M7" s="335"/>
      <c r="N7" s="336"/>
    </row>
    <row r="8" ht="25.2" customHeight="1" spans="1:14">
      <c r="A8" s="11"/>
      <c r="B8" s="257"/>
      <c r="C8" s="258"/>
      <c r="D8" s="250"/>
      <c r="E8" s="261"/>
      <c r="F8" s="263"/>
      <c r="G8" s="11"/>
      <c r="H8" s="282"/>
      <c r="I8" s="119"/>
      <c r="J8" s="272"/>
      <c r="K8" s="282"/>
      <c r="L8" s="259"/>
      <c r="M8" s="335"/>
      <c r="N8" s="169"/>
    </row>
    <row r="9" ht="25.2" customHeight="1" spans="1:14">
      <c r="A9" s="11"/>
      <c r="B9" s="257"/>
      <c r="C9" s="258"/>
      <c r="D9" s="250"/>
      <c r="E9" s="261"/>
      <c r="F9" s="263"/>
      <c r="G9" s="11"/>
      <c r="H9" s="282"/>
      <c r="I9" s="119"/>
      <c r="J9" s="272"/>
      <c r="K9" s="282"/>
      <c r="L9" s="259"/>
      <c r="M9" s="335"/>
      <c r="N9" s="169"/>
    </row>
    <row r="10" ht="25.2" customHeight="1" spans="1:14">
      <c r="A10" s="11"/>
      <c r="B10" s="257"/>
      <c r="C10" s="258"/>
      <c r="D10" s="250"/>
      <c r="E10" s="261"/>
      <c r="F10" s="263"/>
      <c r="G10" s="11"/>
      <c r="H10" s="282"/>
      <c r="I10" s="119"/>
      <c r="J10" s="272"/>
      <c r="K10" s="282"/>
      <c r="L10" s="259"/>
      <c r="M10" s="335"/>
      <c r="N10" s="169"/>
    </row>
    <row r="11" ht="25.2" customHeight="1" spans="1:14">
      <c r="A11" s="11"/>
      <c r="B11" s="257"/>
      <c r="C11" s="258"/>
      <c r="D11" s="250"/>
      <c r="E11" s="261"/>
      <c r="F11" s="263"/>
      <c r="G11" s="11"/>
      <c r="H11" s="282"/>
      <c r="I11" s="119"/>
      <c r="J11" s="272"/>
      <c r="K11" s="282"/>
      <c r="L11" s="259"/>
      <c r="M11" s="335"/>
      <c r="N11" s="169"/>
    </row>
    <row r="12" ht="25.2" customHeight="1" spans="1:14">
      <c r="A12" s="11"/>
      <c r="B12" s="257"/>
      <c r="C12" s="258"/>
      <c r="D12" s="250"/>
      <c r="E12" s="261"/>
      <c r="F12" s="263"/>
      <c r="G12" s="11"/>
      <c r="H12" s="282"/>
      <c r="I12" s="283"/>
      <c r="J12" s="272"/>
      <c r="K12" s="282"/>
      <c r="L12" s="263"/>
      <c r="M12" s="335"/>
      <c r="N12" s="169"/>
    </row>
    <row r="13" ht="25.2" customHeight="1" spans="1:14">
      <c r="A13" s="11"/>
      <c r="B13" s="257"/>
      <c r="C13" s="258"/>
      <c r="D13" s="250"/>
      <c r="E13" s="120" t="s">
        <v>237</v>
      </c>
      <c r="F13" s="264">
        <f>SUM(F4:F12)</f>
        <v>0</v>
      </c>
      <c r="G13" s="11"/>
      <c r="H13" s="282"/>
      <c r="I13" s="283"/>
      <c r="J13" s="272"/>
      <c r="K13" s="338"/>
      <c r="L13" s="339"/>
      <c r="M13" s="335"/>
      <c r="N13" s="169"/>
    </row>
    <row r="14" ht="25.2" customHeight="1" spans="1:14">
      <c r="A14" s="11"/>
      <c r="B14" s="257"/>
      <c r="C14" s="258"/>
      <c r="D14" s="250"/>
      <c r="E14" s="120" t="s">
        <v>250</v>
      </c>
      <c r="F14" s="264">
        <f>SUM(スタート!C37:C42)</f>
        <v>0</v>
      </c>
      <c r="G14" s="11"/>
      <c r="H14" s="286"/>
      <c r="I14" s="283"/>
      <c r="J14" s="272"/>
      <c r="K14" s="338"/>
      <c r="L14" s="339"/>
      <c r="M14" s="335"/>
      <c r="N14" s="336"/>
    </row>
    <row r="15" ht="25.2" customHeight="1" spans="1:13">
      <c r="A15" s="11"/>
      <c r="B15" s="257"/>
      <c r="C15" s="258"/>
      <c r="D15" s="250"/>
      <c r="E15" s="250"/>
      <c r="F15" s="250"/>
      <c r="G15" s="11"/>
      <c r="H15" s="282"/>
      <c r="I15" s="283"/>
      <c r="J15" s="272"/>
      <c r="K15" s="340"/>
      <c r="L15" s="341"/>
      <c r="M15" s="335"/>
    </row>
    <row r="16" ht="25.2" customHeight="1" spans="1:13">
      <c r="A16" s="11"/>
      <c r="B16" s="257"/>
      <c r="C16" s="258"/>
      <c r="D16" s="250"/>
      <c r="E16" s="250"/>
      <c r="F16" s="250"/>
      <c r="G16" s="11"/>
      <c r="H16" s="282"/>
      <c r="I16" s="259"/>
      <c r="J16" s="284"/>
      <c r="K16" s="91" t="s">
        <v>237</v>
      </c>
      <c r="L16" s="264">
        <f>SUM(L5:L15)</f>
        <v>0</v>
      </c>
      <c r="M16" s="335"/>
    </row>
    <row r="17" ht="25.2" customHeight="1" spans="1:13">
      <c r="A17" s="11"/>
      <c r="B17" s="257"/>
      <c r="C17" s="258"/>
      <c r="D17" s="250"/>
      <c r="E17" s="250"/>
      <c r="F17" s="250"/>
      <c r="G17" s="11"/>
      <c r="H17" s="282"/>
      <c r="I17" s="263"/>
      <c r="J17" s="284"/>
      <c r="K17" s="120" t="s">
        <v>250</v>
      </c>
      <c r="L17" s="264">
        <f>SUM(スタート!C29:C34)</f>
        <v>0</v>
      </c>
      <c r="M17" s="335"/>
    </row>
    <row r="18" ht="25.2" customHeight="1" spans="1:13">
      <c r="A18" s="11"/>
      <c r="B18" s="257"/>
      <c r="C18" s="258"/>
      <c r="D18" s="11"/>
      <c r="E18" s="11"/>
      <c r="F18" s="11"/>
      <c r="G18" s="11"/>
      <c r="H18" s="282"/>
      <c r="I18" s="259"/>
      <c r="J18" s="284"/>
      <c r="K18" s="285"/>
      <c r="L18" s="11"/>
      <c r="M18" s="335"/>
    </row>
    <row r="19" ht="25.2" customHeight="1" spans="1:13">
      <c r="A19" s="11"/>
      <c r="B19" s="257"/>
      <c r="C19" s="258"/>
      <c r="D19" s="11"/>
      <c r="E19" s="11"/>
      <c r="F19" s="11"/>
      <c r="G19" s="11"/>
      <c r="H19" s="282"/>
      <c r="I19" s="342"/>
      <c r="J19" s="284"/>
      <c r="K19" s="285"/>
      <c r="L19" s="11"/>
      <c r="M19" s="335"/>
    </row>
    <row r="20" ht="25.2" customHeight="1" spans="1:13">
      <c r="A20" s="11"/>
      <c r="B20" s="257"/>
      <c r="C20" s="258"/>
      <c r="D20" s="11"/>
      <c r="E20" s="11"/>
      <c r="F20" s="11"/>
      <c r="G20" s="11"/>
      <c r="H20" s="282"/>
      <c r="I20" s="342"/>
      <c r="J20" s="284"/>
      <c r="K20" s="285"/>
      <c r="L20" s="11"/>
      <c r="M20" s="335"/>
    </row>
    <row r="21" ht="25.2" customHeight="1" spans="1:13">
      <c r="A21" s="11"/>
      <c r="B21" s="257"/>
      <c r="C21" s="258"/>
      <c r="D21" s="11"/>
      <c r="E21" s="11"/>
      <c r="F21" s="11"/>
      <c r="G21" s="11"/>
      <c r="H21" s="282"/>
      <c r="I21" s="342"/>
      <c r="J21" s="284"/>
      <c r="K21" s="285"/>
      <c r="L21" s="11"/>
      <c r="M21" s="335"/>
    </row>
    <row r="22" ht="25.2" customHeight="1" spans="1:13">
      <c r="A22" s="11"/>
      <c r="B22" s="257"/>
      <c r="C22" s="258"/>
      <c r="D22" s="11"/>
      <c r="E22" s="11"/>
      <c r="F22" s="11"/>
      <c r="G22" s="11"/>
      <c r="H22" s="282"/>
      <c r="I22" s="342"/>
      <c r="J22" s="284"/>
      <c r="K22" s="285"/>
      <c r="L22" s="11"/>
      <c r="M22" s="335"/>
    </row>
    <row r="23" ht="25.2" customHeight="1" spans="1:13">
      <c r="A23" s="11"/>
      <c r="B23" s="257"/>
      <c r="C23" s="258"/>
      <c r="D23" s="11"/>
      <c r="E23" s="11"/>
      <c r="F23" s="11"/>
      <c r="G23" s="11"/>
      <c r="H23" s="286"/>
      <c r="I23" s="343"/>
      <c r="J23" s="284"/>
      <c r="K23" s="285"/>
      <c r="L23" s="11"/>
      <c r="M23" s="335"/>
    </row>
    <row r="24" ht="25.2" customHeight="1" spans="1:13">
      <c r="A24" s="11"/>
      <c r="B24" s="257"/>
      <c r="C24" s="258"/>
      <c r="D24" s="11"/>
      <c r="E24" s="11"/>
      <c r="F24" s="11"/>
      <c r="G24" s="11"/>
      <c r="H24" s="326" t="s">
        <v>237</v>
      </c>
      <c r="I24" s="344">
        <f>SUM(I5:I23)</f>
        <v>0</v>
      </c>
      <c r="J24" s="284"/>
      <c r="K24" s="285"/>
      <c r="L24" s="11"/>
      <c r="M24" s="335"/>
    </row>
    <row r="25" ht="25.2" customHeight="1" spans="1:13">
      <c r="A25" s="11"/>
      <c r="B25" s="257"/>
      <c r="C25" s="258"/>
      <c r="D25" s="11"/>
      <c r="E25" s="11"/>
      <c r="F25" s="11"/>
      <c r="G25" s="11"/>
      <c r="H25" s="327" t="s">
        <v>250</v>
      </c>
      <c r="I25" s="345">
        <f>SUM(スタート!C12:C28)</f>
        <v>0</v>
      </c>
      <c r="J25" s="284"/>
      <c r="K25" s="285"/>
      <c r="L25" s="11"/>
      <c r="M25" s="335"/>
    </row>
    <row r="26" ht="25.2" customHeight="1" spans="1:13">
      <c r="A26" s="11"/>
      <c r="B26" s="257"/>
      <c r="C26" s="258"/>
      <c r="D26" s="11"/>
      <c r="E26" s="11"/>
      <c r="F26" s="11"/>
      <c r="G26" s="11"/>
      <c r="H26" s="11"/>
      <c r="I26" s="285"/>
      <c r="J26" s="284"/>
      <c r="K26" s="285"/>
      <c r="L26" s="11"/>
      <c r="M26" s="335"/>
    </row>
    <row r="27" ht="25.2" customHeight="1" spans="1:13">
      <c r="A27" s="11"/>
      <c r="B27" s="257"/>
      <c r="C27" s="258"/>
      <c r="D27" s="11"/>
      <c r="E27" s="11"/>
      <c r="F27" s="11"/>
      <c r="G27" s="11"/>
      <c r="H27" s="11"/>
      <c r="I27" s="285"/>
      <c r="J27" s="284"/>
      <c r="K27" s="285"/>
      <c r="L27" s="11"/>
      <c r="M27" s="335"/>
    </row>
    <row r="28" ht="25.2" customHeight="1" spans="1:13">
      <c r="A28" s="11"/>
      <c r="B28" s="257"/>
      <c r="C28" s="258"/>
      <c r="D28" s="11"/>
      <c r="E28" s="11"/>
      <c r="F28" s="11"/>
      <c r="G28" s="11"/>
      <c r="H28" s="11"/>
      <c r="I28" s="285"/>
      <c r="J28" s="284"/>
      <c r="K28" s="285"/>
      <c r="L28" s="11"/>
      <c r="M28" s="335"/>
    </row>
    <row r="29" ht="25.2" customHeight="1" spans="1:13">
      <c r="A29" s="11"/>
      <c r="B29" s="257"/>
      <c r="C29" s="258"/>
      <c r="D29" s="11"/>
      <c r="E29" s="11"/>
      <c r="F29" s="11"/>
      <c r="G29" s="11"/>
      <c r="H29" s="11"/>
      <c r="I29" s="285"/>
      <c r="J29" s="284"/>
      <c r="K29" s="285"/>
      <c r="L29" s="11"/>
      <c r="M29" s="335"/>
    </row>
    <row r="30" ht="25.2" customHeight="1" spans="1:13">
      <c r="A30" s="11"/>
      <c r="B30" s="257"/>
      <c r="C30" s="258"/>
      <c r="D30" s="11"/>
      <c r="E30" s="11"/>
      <c r="F30" s="11"/>
      <c r="G30" s="11"/>
      <c r="H30" s="11"/>
      <c r="I30" s="285"/>
      <c r="J30" s="284"/>
      <c r="K30" s="285"/>
      <c r="L30" s="11"/>
      <c r="M30" s="335"/>
    </row>
    <row r="31" ht="25.2" customHeight="1" spans="1:13">
      <c r="A31" s="11"/>
      <c r="B31" s="257"/>
      <c r="C31" s="258"/>
      <c r="D31" s="11"/>
      <c r="E31" s="11"/>
      <c r="F31" s="11"/>
      <c r="G31" s="11"/>
      <c r="H31" s="11"/>
      <c r="I31" s="285"/>
      <c r="J31" s="284"/>
      <c r="K31" s="285"/>
      <c r="L31" s="11"/>
      <c r="M31" s="335"/>
    </row>
    <row r="32" ht="25.2" customHeight="1" spans="1:13">
      <c r="A32" s="11"/>
      <c r="B32" s="257"/>
      <c r="C32" s="258"/>
      <c r="D32" s="11"/>
      <c r="E32" s="11"/>
      <c r="F32" s="11"/>
      <c r="G32" s="11"/>
      <c r="H32" s="11"/>
      <c r="I32" s="285"/>
      <c r="J32" s="284"/>
      <c r="K32" s="285"/>
      <c r="L32" s="11"/>
      <c r="M32" s="11"/>
    </row>
    <row r="33" ht="25.2" customHeight="1" spans="1:13">
      <c r="A33" s="11"/>
      <c r="B33" s="257"/>
      <c r="C33" s="258"/>
      <c r="D33" s="11"/>
      <c r="E33" s="11"/>
      <c r="F33" s="11"/>
      <c r="G33" s="11"/>
      <c r="H33" s="11"/>
      <c r="I33" s="285"/>
      <c r="J33" s="284"/>
      <c r="K33" s="285"/>
      <c r="L33" s="11"/>
      <c r="M33" s="11"/>
    </row>
    <row r="34" ht="25.2" customHeight="1" spans="1:13">
      <c r="A34" s="11"/>
      <c r="B34" s="257"/>
      <c r="C34" s="258"/>
      <c r="D34" s="11"/>
      <c r="E34" s="11"/>
      <c r="F34" s="11"/>
      <c r="G34" s="11"/>
      <c r="H34" s="11"/>
      <c r="I34" s="11"/>
      <c r="J34" s="284"/>
      <c r="K34" s="285"/>
      <c r="L34" s="11"/>
      <c r="M34" s="11"/>
    </row>
    <row r="35" ht="25.2" customHeight="1" spans="1:13">
      <c r="A35" s="11"/>
      <c r="B35" s="257"/>
      <c r="C35" s="258"/>
      <c r="D35" s="11"/>
      <c r="E35" s="11"/>
      <c r="F35" s="11"/>
      <c r="G35" s="11"/>
      <c r="H35" s="11"/>
      <c r="I35" s="11"/>
      <c r="J35" s="284"/>
      <c r="K35" s="285"/>
      <c r="L35" s="11"/>
      <c r="M35" s="11"/>
    </row>
    <row r="36" ht="25.2" customHeight="1" spans="1:13">
      <c r="A36" s="11"/>
      <c r="B36" s="257"/>
      <c r="C36" s="258"/>
      <c r="D36" s="11"/>
      <c r="E36" s="11"/>
      <c r="F36" s="11"/>
      <c r="G36" s="11"/>
      <c r="H36" s="11"/>
      <c r="I36" s="11"/>
      <c r="J36" s="284"/>
      <c r="K36" s="285"/>
      <c r="L36" s="11"/>
      <c r="M36" s="11"/>
    </row>
    <row r="37" ht="25.2" customHeight="1" spans="1:13">
      <c r="A37" s="11"/>
      <c r="B37" s="257"/>
      <c r="C37" s="258"/>
      <c r="D37" s="11"/>
      <c r="E37" s="11"/>
      <c r="F37" s="11"/>
      <c r="G37" s="11"/>
      <c r="H37" s="11"/>
      <c r="I37" s="11"/>
      <c r="J37" s="284"/>
      <c r="K37" s="285"/>
      <c r="L37" s="11"/>
      <c r="M37" s="11"/>
    </row>
    <row r="38" ht="25.2" customHeight="1" spans="1:13">
      <c r="A38" s="11"/>
      <c r="B38" s="257"/>
      <c r="C38" s="258"/>
      <c r="D38" s="11"/>
      <c r="E38" s="11"/>
      <c r="F38" s="11"/>
      <c r="G38" s="11"/>
      <c r="H38" s="11"/>
      <c r="I38" s="11"/>
      <c r="J38" s="284"/>
      <c r="K38" s="285"/>
      <c r="L38" s="11"/>
      <c r="M38" s="11"/>
    </row>
    <row r="39" ht="25.2" customHeight="1" spans="1:13">
      <c r="A39" s="11"/>
      <c r="B39" s="257"/>
      <c r="C39" s="258"/>
      <c r="D39" s="11"/>
      <c r="E39" s="11"/>
      <c r="F39" s="11"/>
      <c r="G39" s="11"/>
      <c r="H39" s="11"/>
      <c r="I39" s="11"/>
      <c r="J39" s="284"/>
      <c r="K39" s="285"/>
      <c r="L39" s="11"/>
      <c r="M39" s="11"/>
    </row>
    <row r="40" ht="25.2" customHeight="1" spans="1:13">
      <c r="A40" s="11"/>
      <c r="B40" s="257"/>
      <c r="C40" s="258"/>
      <c r="D40" s="11"/>
      <c r="E40" s="11"/>
      <c r="F40" s="11"/>
      <c r="G40" s="11"/>
      <c r="H40" s="11"/>
      <c r="I40" s="11"/>
      <c r="J40" s="284"/>
      <c r="K40" s="285"/>
      <c r="L40" s="11"/>
      <c r="M40" s="11"/>
    </row>
    <row r="41" ht="25.2" customHeight="1" spans="1:13">
      <c r="A41" s="11"/>
      <c r="B41" s="257"/>
      <c r="C41" s="258"/>
      <c r="D41" s="11"/>
      <c r="E41" s="11"/>
      <c r="F41" s="11"/>
      <c r="G41" s="11"/>
      <c r="H41" s="11"/>
      <c r="I41" s="11"/>
      <c r="J41" s="11"/>
      <c r="K41" s="11"/>
      <c r="L41" s="11"/>
      <c r="M41" s="11"/>
    </row>
    <row r="42" ht="25.2" customHeight="1" spans="1:13">
      <c r="A42" s="11"/>
      <c r="B42" s="257"/>
      <c r="C42" s="258"/>
      <c r="D42" s="11"/>
      <c r="E42" s="11"/>
      <c r="F42" s="11"/>
      <c r="G42" s="11"/>
      <c r="H42" s="11"/>
      <c r="I42" s="11"/>
      <c r="J42" s="11"/>
      <c r="K42" s="11"/>
      <c r="L42" s="11"/>
      <c r="M42" s="11"/>
    </row>
    <row r="43" ht="40.2" customHeight="1" spans="1:13">
      <c r="A43" s="11"/>
      <c r="B43" s="266" t="s">
        <v>237</v>
      </c>
      <c r="C43" s="267">
        <f>SUM(C5:C42)</f>
        <v>0</v>
      </c>
      <c r="D43" s="11"/>
      <c r="E43" s="11"/>
      <c r="F43" s="11"/>
      <c r="G43" s="11"/>
      <c r="H43" s="11"/>
      <c r="I43" s="11"/>
      <c r="J43" s="11"/>
      <c r="K43" s="11"/>
      <c r="L43" s="11"/>
      <c r="M43" s="11"/>
    </row>
    <row r="44" ht="33.6" customHeight="1" spans="1:13">
      <c r="A44" s="11"/>
      <c r="B44" s="266" t="s">
        <v>250</v>
      </c>
      <c r="C44" s="267">
        <f>SUM(スタート!C63:C100)</f>
        <v>0</v>
      </c>
      <c r="D44" s="11"/>
      <c r="E44" s="11"/>
      <c r="F44" s="11"/>
      <c r="G44" s="11"/>
      <c r="H44" s="11"/>
      <c r="I44" s="11"/>
      <c r="J44" s="11"/>
      <c r="K44" s="11"/>
      <c r="L44" s="11"/>
      <c r="M44" s="11"/>
    </row>
    <row r="45" spans="1:13">
      <c r="A45" s="11"/>
      <c r="B45" s="11"/>
      <c r="C45" s="11"/>
      <c r="D45" s="11"/>
      <c r="E45" s="11"/>
      <c r="F45" s="11"/>
      <c r="G45" s="11"/>
      <c r="H45" s="11"/>
      <c r="I45" s="11"/>
      <c r="J45" s="11"/>
      <c r="K45" s="11"/>
      <c r="L45" s="11"/>
      <c r="M45" s="11"/>
    </row>
    <row r="46" spans="1:13">
      <c r="A46" s="11"/>
      <c r="B46" s="11"/>
      <c r="C46" s="11"/>
      <c r="D46" s="11"/>
      <c r="E46" s="11"/>
      <c r="F46" s="11"/>
      <c r="G46" s="11"/>
      <c r="H46" s="11"/>
      <c r="I46" s="11"/>
      <c r="J46" s="11"/>
      <c r="K46" s="11"/>
      <c r="L46" s="11"/>
      <c r="M46" s="11"/>
    </row>
    <row r="47" spans="1:13">
      <c r="A47" s="11"/>
      <c r="B47" s="11"/>
      <c r="C47" s="11"/>
      <c r="D47" s="11"/>
      <c r="E47" s="11"/>
      <c r="F47" s="11"/>
      <c r="G47" s="11"/>
      <c r="H47" s="11"/>
      <c r="I47" s="11"/>
      <c r="J47" s="11"/>
      <c r="K47" s="11"/>
      <c r="L47" s="11"/>
      <c r="M47" s="11"/>
    </row>
    <row r="48" spans="1:13">
      <c r="A48" s="11"/>
      <c r="B48" s="11"/>
      <c r="C48" s="11"/>
      <c r="D48" s="11"/>
      <c r="E48" s="11"/>
      <c r="F48" s="11"/>
      <c r="G48" s="11"/>
      <c r="H48" s="11"/>
      <c r="I48" s="11"/>
      <c r="J48" s="11"/>
      <c r="K48" s="11"/>
      <c r="L48" s="11"/>
      <c r="M48" s="11"/>
    </row>
    <row r="49" spans="1:13">
      <c r="A49" s="11"/>
      <c r="B49" s="11"/>
      <c r="C49" s="11"/>
      <c r="D49" s="11"/>
      <c r="E49" s="11"/>
      <c r="F49" s="11"/>
      <c r="G49" s="11"/>
      <c r="H49" s="11"/>
      <c r="I49" s="11"/>
      <c r="J49" s="11"/>
      <c r="K49" s="11"/>
      <c r="L49" s="11"/>
      <c r="M49" s="11"/>
    </row>
  </sheetData>
  <sheetProtection algorithmName="SHA-512" hashValue="fzT0NLqSO7p0fHGj6S2LWviE5KOlgTyzWNBnXmVLrNt0GeerXY3G8UzM/gKqAKKOtsNJhCoSakFBX90pl1IITA==" saltValue="Vaw5wFUMJdRFRNYURk5J8Q==" spinCount="100000" sheet="1" objects="1"/>
  <mergeCells count="3">
    <mergeCell ref="A1:F1"/>
    <mergeCell ref="A2:H2"/>
    <mergeCell ref="I2:L2"/>
  </mergeCells>
  <pageMargins left="0.7" right="0.7" top="0.75" bottom="0.75" header="0.3" footer="0.3"/>
  <pageSetup paperSize="8" scale="95"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R32"/>
  <sheetViews>
    <sheetView view="pageBreakPreview" zoomScaleNormal="100" topLeftCell="A2" workbookViewId="0">
      <selection activeCell="J14" sqref="J14"/>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 min="13" max="13" width="10.5714285714286" customWidth="1"/>
  </cols>
  <sheetData>
    <row r="1" spans="1:18">
      <c r="A1" s="11">
        <f>スタート!C1</f>
        <v>0</v>
      </c>
      <c r="B1" s="11"/>
      <c r="C1" s="11"/>
      <c r="D1" s="11"/>
      <c r="E1" s="11"/>
      <c r="F1" s="11"/>
      <c r="G1" s="11"/>
      <c r="H1" s="11"/>
      <c r="I1" s="11"/>
      <c r="J1" s="11"/>
      <c r="K1" s="11"/>
      <c r="L1" s="11"/>
      <c r="M1" s="11"/>
      <c r="N1" s="11"/>
      <c r="O1" s="11"/>
      <c r="P1" s="11"/>
      <c r="Q1" s="11"/>
      <c r="R1" s="11"/>
    </row>
    <row r="2" ht="66" customHeight="1" spans="1:18">
      <c r="A2" s="290" t="s">
        <v>251</v>
      </c>
      <c r="B2" s="290"/>
      <c r="C2" s="290"/>
      <c r="D2" s="290"/>
      <c r="E2" s="290"/>
      <c r="F2" s="290"/>
      <c r="G2" s="290"/>
      <c r="H2" s="290"/>
      <c r="I2" s="290"/>
      <c r="J2" s="290"/>
      <c r="K2" s="290"/>
      <c r="L2" s="290"/>
      <c r="M2" s="189" t="s">
        <v>228</v>
      </c>
      <c r="N2" s="190">
        <f>SUM(E14,J14,O14)</f>
        <v>0</v>
      </c>
      <c r="O2" s="191"/>
      <c r="P2" s="245"/>
      <c r="Q2" s="11"/>
      <c r="R2" s="11"/>
    </row>
    <row r="3" spans="1:18">
      <c r="A3" s="11"/>
      <c r="B3" s="11"/>
      <c r="C3" s="11"/>
      <c r="D3" s="11"/>
      <c r="E3" s="11" t="s">
        <v>5</v>
      </c>
      <c r="F3" s="11"/>
      <c r="G3" s="11"/>
      <c r="H3" s="11"/>
      <c r="I3" s="11"/>
      <c r="J3" s="11" t="s">
        <v>5</v>
      </c>
      <c r="K3" s="11"/>
      <c r="L3" s="11"/>
      <c r="M3" s="11"/>
      <c r="N3" s="11"/>
      <c r="O3" s="11" t="s">
        <v>5</v>
      </c>
      <c r="P3" s="11"/>
      <c r="Q3" s="11"/>
      <c r="R3" s="11"/>
    </row>
    <row r="4" ht="27" customHeight="1" spans="1:18">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c r="R4" s="11"/>
    </row>
    <row r="5" ht="27" customHeight="1" spans="1:18">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c r="R5" s="11"/>
    </row>
    <row r="6" ht="27" customHeight="1" spans="1:18">
      <c r="A6" s="11"/>
      <c r="B6" s="297"/>
      <c r="C6" s="298"/>
      <c r="D6" s="299"/>
      <c r="E6" s="300">
        <f>C6*D6</f>
        <v>0</v>
      </c>
      <c r="F6" s="11"/>
      <c r="G6" s="297"/>
      <c r="H6" s="298"/>
      <c r="I6" s="299"/>
      <c r="J6" s="300">
        <f>H6*I6</f>
        <v>0</v>
      </c>
      <c r="K6" s="11"/>
      <c r="L6" s="317"/>
      <c r="M6" s="318"/>
      <c r="N6" s="319"/>
      <c r="O6" s="320">
        <f>M6*N6</f>
        <v>0</v>
      </c>
      <c r="P6" s="11"/>
      <c r="Q6" s="11"/>
      <c r="R6" s="11"/>
    </row>
    <row r="7" ht="27" customHeight="1" spans="1:18">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c r="R7" s="11"/>
    </row>
    <row r="8" ht="27" customHeight="1" spans="1:18">
      <c r="A8" s="11"/>
      <c r="B8" s="78"/>
      <c r="C8" s="301"/>
      <c r="D8" s="302"/>
      <c r="E8" s="303">
        <f t="shared" si="0"/>
        <v>0</v>
      </c>
      <c r="F8" s="11"/>
      <c r="G8" s="78"/>
      <c r="H8" s="301"/>
      <c r="I8" s="302"/>
      <c r="J8" s="303">
        <f t="shared" si="1"/>
        <v>0</v>
      </c>
      <c r="K8" s="11"/>
      <c r="L8" s="317"/>
      <c r="M8" s="301"/>
      <c r="N8" s="302"/>
      <c r="O8" s="320">
        <f t="shared" si="2"/>
        <v>0</v>
      </c>
      <c r="P8" s="11"/>
      <c r="Q8" s="11"/>
      <c r="R8" s="11"/>
    </row>
    <row r="9" ht="27" customHeight="1" spans="1:18">
      <c r="A9" s="11"/>
      <c r="B9" s="78"/>
      <c r="C9" s="301"/>
      <c r="D9" s="302"/>
      <c r="E9" s="303">
        <f t="shared" si="0"/>
        <v>0</v>
      </c>
      <c r="F9" s="11"/>
      <c r="G9" s="78"/>
      <c r="H9" s="301"/>
      <c r="I9" s="302"/>
      <c r="J9" s="303">
        <f t="shared" si="1"/>
        <v>0</v>
      </c>
      <c r="K9" s="11"/>
      <c r="L9" s="317"/>
      <c r="M9" s="318"/>
      <c r="N9" s="319"/>
      <c r="O9" s="320">
        <f t="shared" si="2"/>
        <v>0</v>
      </c>
      <c r="P9" s="11"/>
      <c r="Q9" s="11"/>
      <c r="R9" s="11"/>
    </row>
    <row r="10" ht="27" customHeight="1" spans="1:18">
      <c r="A10" s="11"/>
      <c r="B10" s="78"/>
      <c r="C10" s="301"/>
      <c r="D10" s="302"/>
      <c r="E10" s="303">
        <f t="shared" si="0"/>
        <v>0</v>
      </c>
      <c r="F10" s="11"/>
      <c r="G10" s="78"/>
      <c r="H10" s="301"/>
      <c r="I10" s="302"/>
      <c r="J10" s="303">
        <f t="shared" si="1"/>
        <v>0</v>
      </c>
      <c r="K10" s="11"/>
      <c r="L10" s="317"/>
      <c r="M10" s="318"/>
      <c r="N10" s="319"/>
      <c r="O10" s="320">
        <f t="shared" si="2"/>
        <v>0</v>
      </c>
      <c r="P10" s="11"/>
      <c r="Q10" s="11"/>
      <c r="R10" s="11"/>
    </row>
    <row r="11" ht="27" customHeight="1" spans="1:18">
      <c r="A11" s="11"/>
      <c r="B11" s="78"/>
      <c r="C11" s="301"/>
      <c r="D11" s="302"/>
      <c r="E11" s="303">
        <f t="shared" si="0"/>
        <v>0</v>
      </c>
      <c r="F11" s="11"/>
      <c r="G11" s="304"/>
      <c r="H11" s="301"/>
      <c r="I11" s="302"/>
      <c r="J11" s="303">
        <f t="shared" si="1"/>
        <v>0</v>
      </c>
      <c r="K11" s="11"/>
      <c r="L11" s="317"/>
      <c r="M11" s="318"/>
      <c r="N11" s="319"/>
      <c r="O11" s="320">
        <f t="shared" si="2"/>
        <v>0</v>
      </c>
      <c r="P11" s="11"/>
      <c r="Q11" s="11"/>
      <c r="R11" s="11"/>
    </row>
    <row r="12" ht="27" customHeight="1" spans="1:18">
      <c r="A12" s="11"/>
      <c r="B12" s="78"/>
      <c r="C12" s="301"/>
      <c r="D12" s="302"/>
      <c r="E12" s="303">
        <f t="shared" si="0"/>
        <v>0</v>
      </c>
      <c r="F12" s="11"/>
      <c r="G12" s="304"/>
      <c r="H12" s="301"/>
      <c r="I12" s="302"/>
      <c r="J12" s="303">
        <f t="shared" si="1"/>
        <v>0</v>
      </c>
      <c r="K12" s="11"/>
      <c r="L12" s="317"/>
      <c r="M12" s="318"/>
      <c r="N12" s="319"/>
      <c r="O12" s="320">
        <f t="shared" si="2"/>
        <v>0</v>
      </c>
      <c r="P12" s="11"/>
      <c r="Q12" s="11"/>
      <c r="R12" s="11"/>
    </row>
    <row r="13" ht="27" customHeight="1" spans="1:18">
      <c r="A13" s="11"/>
      <c r="B13" s="78"/>
      <c r="C13" s="301"/>
      <c r="D13" s="302"/>
      <c r="E13" s="303">
        <f t="shared" si="0"/>
        <v>0</v>
      </c>
      <c r="F13" s="11"/>
      <c r="G13" s="304"/>
      <c r="H13" s="301"/>
      <c r="I13" s="302"/>
      <c r="J13" s="321">
        <f t="shared" si="1"/>
        <v>0</v>
      </c>
      <c r="K13" s="11"/>
      <c r="L13" s="317"/>
      <c r="M13" s="301"/>
      <c r="N13" s="302"/>
      <c r="O13" s="320">
        <f t="shared" si="2"/>
        <v>0</v>
      </c>
      <c r="P13" s="11"/>
      <c r="Q13" s="11"/>
      <c r="R13" s="11"/>
    </row>
    <row r="14" ht="27" customHeight="1" spans="1:18">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c r="R14" s="11"/>
    </row>
    <row r="15" ht="34.95" customHeight="1" spans="1:18">
      <c r="A15" s="11"/>
      <c r="B15" s="305" t="s">
        <v>238</v>
      </c>
      <c r="C15" s="309" t="s">
        <v>237</v>
      </c>
      <c r="D15" s="310"/>
      <c r="E15" s="311">
        <f>スタート!D60</f>
        <v>0</v>
      </c>
      <c r="F15" s="11"/>
      <c r="G15" s="305" t="s">
        <v>238</v>
      </c>
      <c r="H15" s="309" t="s">
        <v>237</v>
      </c>
      <c r="I15" s="310"/>
      <c r="J15" s="311">
        <f>スタート!D61</f>
        <v>0</v>
      </c>
      <c r="K15" s="11"/>
      <c r="L15" s="305" t="s">
        <v>238</v>
      </c>
      <c r="M15" s="309" t="s">
        <v>237</v>
      </c>
      <c r="N15" s="310"/>
      <c r="O15" s="311">
        <f>スタート!D62</f>
        <v>0</v>
      </c>
      <c r="P15" s="11"/>
      <c r="Q15" s="11"/>
      <c r="R15" s="11"/>
    </row>
    <row r="16" spans="1:18">
      <c r="A16" s="11"/>
      <c r="B16" s="11"/>
      <c r="C16" s="11"/>
      <c r="D16" s="11"/>
      <c r="E16" s="11"/>
      <c r="F16" s="11"/>
      <c r="G16" s="11"/>
      <c r="H16" s="11"/>
      <c r="I16" s="11"/>
      <c r="J16" s="11"/>
      <c r="K16" s="11"/>
      <c r="L16" s="11"/>
      <c r="M16" s="11"/>
      <c r="N16" s="11"/>
      <c r="O16" s="11"/>
      <c r="P16" s="11"/>
      <c r="Q16" s="11"/>
      <c r="R16" s="11"/>
    </row>
    <row r="17" ht="27" customHeight="1" spans="1:18">
      <c r="A17" s="11"/>
      <c r="B17" s="312" t="s">
        <v>241</v>
      </c>
      <c r="C17" s="312"/>
      <c r="D17" s="312"/>
      <c r="E17" s="313" t="s">
        <v>242</v>
      </c>
      <c r="F17" s="11"/>
      <c r="G17" s="11"/>
      <c r="H17" s="11"/>
      <c r="I17" s="11"/>
      <c r="J17" s="11"/>
      <c r="K17" s="11"/>
      <c r="L17" s="11"/>
      <c r="M17" s="11"/>
      <c r="N17" s="11"/>
      <c r="O17" s="11"/>
      <c r="P17" s="11"/>
      <c r="Q17" s="11"/>
      <c r="R17" s="11"/>
    </row>
    <row r="18" ht="27" customHeight="1" spans="1:18">
      <c r="A18" s="11"/>
      <c r="B18" s="312" t="s">
        <v>243</v>
      </c>
      <c r="C18" s="314" t="e">
        <f>(E14+J14+O14)/(D14+I14+N14)</f>
        <v>#DIV/0!</v>
      </c>
      <c r="D18" s="312" t="s">
        <v>218</v>
      </c>
      <c r="E18" s="315" t="e">
        <f>C18/C19</f>
        <v>#DIV/0!</v>
      </c>
      <c r="F18" s="11"/>
      <c r="G18" s="11"/>
      <c r="H18" s="11"/>
      <c r="I18" s="11"/>
      <c r="J18" s="11"/>
      <c r="K18" s="11"/>
      <c r="L18" s="11"/>
      <c r="M18" s="11"/>
      <c r="N18" s="11"/>
      <c r="O18" s="11"/>
      <c r="P18" s="11"/>
      <c r="Q18" s="11"/>
      <c r="R18" s="11"/>
    </row>
    <row r="19" ht="27" customHeight="1" spans="1:18">
      <c r="A19" s="11"/>
      <c r="B19" s="312" t="s">
        <v>244</v>
      </c>
      <c r="C19" s="316" t="str">
        <f>IFERROR((E15+J15+O15)/(N15+I15+D15),"0")</f>
        <v>0</v>
      </c>
      <c r="D19" s="312" t="s">
        <v>218</v>
      </c>
      <c r="E19" s="315"/>
      <c r="F19" s="11"/>
      <c r="G19" s="11"/>
      <c r="H19" s="11"/>
      <c r="I19" s="11"/>
      <c r="J19" s="11"/>
      <c r="K19" s="11"/>
      <c r="L19" s="11"/>
      <c r="M19" s="11"/>
      <c r="N19" s="11"/>
      <c r="O19" s="11"/>
      <c r="P19" s="11"/>
      <c r="Q19" s="11"/>
      <c r="R19" s="11"/>
    </row>
    <row r="20" spans="1:18">
      <c r="A20" s="11"/>
      <c r="B20" s="11"/>
      <c r="C20" s="11"/>
      <c r="D20" s="11"/>
      <c r="E20" s="11"/>
      <c r="F20" s="11"/>
      <c r="G20" s="11"/>
      <c r="H20" s="11"/>
      <c r="I20" s="11"/>
      <c r="J20" s="11"/>
      <c r="K20" s="11"/>
      <c r="L20" s="11"/>
      <c r="M20" s="11"/>
      <c r="N20" s="11"/>
      <c r="O20" s="11"/>
      <c r="P20" s="11"/>
      <c r="Q20" s="11"/>
      <c r="R20" s="11"/>
    </row>
    <row r="21" spans="1:18">
      <c r="A21" s="11"/>
      <c r="B21" s="11"/>
      <c r="C21" s="11"/>
      <c r="D21" s="11"/>
      <c r="E21" s="11"/>
      <c r="F21" s="11"/>
      <c r="G21" s="11"/>
      <c r="H21" s="11"/>
      <c r="I21" s="11"/>
      <c r="J21" s="11"/>
      <c r="K21" s="11"/>
      <c r="L21" s="11"/>
      <c r="M21" s="11"/>
      <c r="N21" s="11"/>
      <c r="O21" s="11"/>
      <c r="P21" s="11"/>
      <c r="Q21" s="11"/>
      <c r="R21" s="11"/>
    </row>
    <row r="22" spans="1:18">
      <c r="A22" s="11"/>
      <c r="B22" s="11"/>
      <c r="C22" s="11"/>
      <c r="D22" s="11"/>
      <c r="E22" s="11"/>
      <c r="F22" s="11"/>
      <c r="G22" s="11"/>
      <c r="H22" s="11"/>
      <c r="I22" s="11"/>
      <c r="J22" s="11"/>
      <c r="K22" s="11"/>
      <c r="L22" s="11"/>
      <c r="M22" s="11"/>
      <c r="N22" s="11"/>
      <c r="O22" s="11"/>
      <c r="P22" s="11"/>
      <c r="Q22" s="11"/>
      <c r="R22" s="11"/>
    </row>
    <row r="23" spans="1:18">
      <c r="A23" s="11"/>
      <c r="B23" s="11"/>
      <c r="C23" s="11"/>
      <c r="D23" s="11"/>
      <c r="E23" s="11"/>
      <c r="F23" s="11"/>
      <c r="G23" s="11"/>
      <c r="H23" s="11"/>
      <c r="I23" s="11"/>
      <c r="J23" s="11"/>
      <c r="K23" s="11"/>
      <c r="L23" s="11"/>
      <c r="M23" s="11"/>
      <c r="N23" s="11"/>
      <c r="O23" s="11"/>
      <c r="P23" s="11"/>
      <c r="Q23" s="11"/>
      <c r="R23" s="11"/>
    </row>
    <row r="24" spans="1:18">
      <c r="A24" s="11"/>
      <c r="B24" s="11"/>
      <c r="C24" s="11"/>
      <c r="D24" s="11"/>
      <c r="E24" s="11"/>
      <c r="F24" s="11"/>
      <c r="G24" s="11"/>
      <c r="H24" s="11"/>
      <c r="I24" s="11"/>
      <c r="J24" s="11"/>
      <c r="K24" s="11"/>
      <c r="L24" s="11"/>
      <c r="M24" s="11"/>
      <c r="N24" s="11"/>
      <c r="O24" s="11"/>
      <c r="P24" s="11"/>
      <c r="Q24" s="11"/>
      <c r="R24" s="11"/>
    </row>
    <row r="25" spans="1:18">
      <c r="A25" s="11"/>
      <c r="B25" s="11"/>
      <c r="C25" s="11"/>
      <c r="D25" s="11"/>
      <c r="E25" s="11"/>
      <c r="F25" s="11"/>
      <c r="G25" s="11"/>
      <c r="H25" s="11"/>
      <c r="I25" s="11"/>
      <c r="J25" s="11"/>
      <c r="K25" s="11"/>
      <c r="L25" s="11"/>
      <c r="M25" s="11"/>
      <c r="N25" s="11"/>
      <c r="O25" s="11"/>
      <c r="P25" s="11"/>
      <c r="Q25" s="11"/>
      <c r="R25" s="11"/>
    </row>
    <row r="26" spans="1:18">
      <c r="A26" s="11"/>
      <c r="B26" s="11"/>
      <c r="C26" s="11"/>
      <c r="D26" s="11"/>
      <c r="E26" s="11"/>
      <c r="F26" s="11"/>
      <c r="G26" s="11"/>
      <c r="H26" s="11"/>
      <c r="I26" s="11"/>
      <c r="J26" s="11"/>
      <c r="K26" s="11"/>
      <c r="L26" s="11"/>
      <c r="M26" s="11"/>
      <c r="N26" s="11"/>
      <c r="O26" s="11"/>
      <c r="P26" s="11"/>
      <c r="Q26" s="11"/>
      <c r="R26" s="11"/>
    </row>
    <row r="27" spans="1:18">
      <c r="A27" s="11"/>
      <c r="B27" s="11"/>
      <c r="C27" s="11"/>
      <c r="D27" s="11"/>
      <c r="E27" s="11"/>
      <c r="F27" s="11"/>
      <c r="G27" s="11"/>
      <c r="H27" s="11"/>
      <c r="I27" s="11"/>
      <c r="J27" s="11"/>
      <c r="K27" s="11"/>
      <c r="L27" s="11"/>
      <c r="M27" s="11"/>
      <c r="N27" s="11"/>
      <c r="O27" s="11"/>
      <c r="P27" s="11"/>
      <c r="Q27" s="11"/>
      <c r="R27" s="11"/>
    </row>
    <row r="28" spans="1:18">
      <c r="A28" s="11"/>
      <c r="B28" s="11"/>
      <c r="C28" s="11"/>
      <c r="D28" s="11"/>
      <c r="E28" s="11"/>
      <c r="F28" s="11"/>
      <c r="G28" s="11"/>
      <c r="H28" s="11"/>
      <c r="I28" s="11"/>
      <c r="J28" s="11"/>
      <c r="K28" s="11"/>
      <c r="L28" s="11"/>
      <c r="M28" s="11"/>
      <c r="N28" s="11"/>
      <c r="O28" s="11"/>
      <c r="P28" s="11"/>
      <c r="Q28" s="11"/>
      <c r="R28" s="11"/>
    </row>
    <row r="29" spans="1:18">
      <c r="A29" s="11"/>
      <c r="B29" s="11"/>
      <c r="C29" s="11"/>
      <c r="D29" s="11"/>
      <c r="E29" s="11"/>
      <c r="F29" s="11"/>
      <c r="G29" s="11"/>
      <c r="H29" s="11"/>
      <c r="I29" s="11"/>
      <c r="J29" s="11"/>
      <c r="K29" s="11"/>
      <c r="L29" s="11"/>
      <c r="M29" s="11"/>
      <c r="N29" s="11"/>
      <c r="O29" s="11"/>
      <c r="P29" s="11"/>
      <c r="Q29" s="11"/>
      <c r="R29" s="11"/>
    </row>
    <row r="30" spans="1:18">
      <c r="A30" s="11"/>
      <c r="B30" s="11"/>
      <c r="C30" s="11"/>
      <c r="D30" s="11"/>
      <c r="E30" s="11"/>
      <c r="F30" s="11"/>
      <c r="G30" s="11"/>
      <c r="H30" s="11"/>
      <c r="I30" s="11"/>
      <c r="J30" s="11"/>
      <c r="K30" s="11"/>
      <c r="L30" s="11"/>
      <c r="M30" s="11"/>
      <c r="N30" s="11"/>
      <c r="O30" s="11"/>
      <c r="P30" s="11"/>
      <c r="Q30" s="11"/>
      <c r="R30" s="11"/>
    </row>
    <row r="31" spans="1:18">
      <c r="A31" s="11"/>
      <c r="B31" s="11"/>
      <c r="C31" s="11"/>
      <c r="D31" s="11"/>
      <c r="E31" s="11"/>
      <c r="F31" s="11"/>
      <c r="G31" s="11"/>
      <c r="H31" s="11"/>
      <c r="I31" s="11"/>
      <c r="J31" s="11"/>
      <c r="K31" s="11"/>
      <c r="L31" s="11"/>
      <c r="M31" s="11"/>
      <c r="N31" s="11"/>
      <c r="O31" s="11"/>
      <c r="P31" s="11"/>
      <c r="Q31" s="11"/>
      <c r="R31" s="11"/>
    </row>
    <row r="32" spans="1:18">
      <c r="A32" s="11"/>
      <c r="B32" s="11"/>
      <c r="C32" s="11"/>
      <c r="D32" s="11"/>
      <c r="E32" s="11"/>
      <c r="F32" s="11"/>
      <c r="G32" s="11"/>
      <c r="H32" s="11"/>
      <c r="I32" s="11"/>
      <c r="J32" s="11"/>
      <c r="K32" s="11"/>
      <c r="L32" s="11"/>
      <c r="M32" s="11"/>
      <c r="N32" s="11"/>
      <c r="O32" s="11"/>
      <c r="P32" s="11"/>
      <c r="Q32" s="11"/>
      <c r="R32" s="11"/>
    </row>
  </sheetData>
  <sheetProtection algorithmName="SHA-512" hashValue="XkYp19lYupFIzhFC5BaWwI82sHmMfkLmROZ9N8BZCpLWfZ+cJHHgfptDIgx5U6Q9BxQCCls/zFaF0OpSU+u7fQ==" saltValue="64KF9LLHOXSyjYGvCpyw5g==" spinCount="100000" sheet="1" objects="1"/>
  <mergeCells count="2">
    <mergeCell ref="A1:H1"/>
    <mergeCell ref="N2:P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N47"/>
  <sheetViews>
    <sheetView view="pageBreakPreview" zoomScale="90" zoomScaleNormal="90" workbookViewId="0">
      <selection activeCell="I7" sqref="I7"/>
    </sheetView>
  </sheetViews>
  <sheetFormatPr defaultColWidth="9" defaultRowHeight="15"/>
  <cols>
    <col min="2" max="2" width="15.6952380952381" customWidth="1"/>
    <col min="3" max="3" width="9.2" customWidth="1"/>
    <col min="5" max="5" width="15" customWidth="1"/>
    <col min="8" max="8" width="19.3619047619048" customWidth="1"/>
    <col min="11" max="11" width="15.6952380952381" customWidth="1"/>
    <col min="15" max="15" width="14.8" customWidth="1"/>
  </cols>
  <sheetData>
    <row r="1" ht="25.2" customHeight="1" spans="1:14">
      <c r="A1" s="11">
        <f>スタート!C1</f>
        <v>0</v>
      </c>
      <c r="B1" s="11"/>
      <c r="C1" s="11"/>
      <c r="D1" s="11"/>
      <c r="E1" s="11"/>
      <c r="F1" s="11"/>
      <c r="G1" s="11"/>
      <c r="H1" s="11"/>
      <c r="I1" s="11"/>
      <c r="J1" s="11"/>
      <c r="K1" s="11"/>
      <c r="L1" s="11"/>
      <c r="M1" s="11"/>
      <c r="N1" s="11"/>
    </row>
    <row r="2" ht="47.25" spans="1:14">
      <c r="A2" s="188" t="s">
        <v>252</v>
      </c>
      <c r="B2" s="11"/>
      <c r="C2" s="11"/>
      <c r="D2" s="11"/>
      <c r="E2" s="11"/>
      <c r="F2" s="11"/>
      <c r="G2" s="11"/>
      <c r="H2" s="11"/>
      <c r="I2" s="268">
        <f>L20+I16+F13+C43</f>
        <v>0</v>
      </c>
      <c r="J2" s="269"/>
      <c r="K2" s="269"/>
      <c r="L2" s="270"/>
      <c r="M2" s="188"/>
      <c r="N2" s="188"/>
    </row>
    <row r="3" ht="21" spans="1:14">
      <c r="A3" s="11"/>
      <c r="B3" s="132" t="s">
        <v>246</v>
      </c>
      <c r="C3" s="249" t="s">
        <v>231</v>
      </c>
      <c r="D3" s="250"/>
      <c r="E3" s="251" t="s">
        <v>75</v>
      </c>
      <c r="F3" s="252" t="s">
        <v>231</v>
      </c>
      <c r="G3" s="11"/>
      <c r="H3" s="69" t="s">
        <v>247</v>
      </c>
      <c r="I3" s="271" t="s">
        <v>231</v>
      </c>
      <c r="J3" s="272"/>
      <c r="K3" s="273" t="s">
        <v>248</v>
      </c>
      <c r="L3" s="271" t="s">
        <v>231</v>
      </c>
      <c r="M3" s="274"/>
      <c r="N3" s="275"/>
    </row>
    <row r="4" ht="21" spans="1:14">
      <c r="A4" s="11"/>
      <c r="B4" s="101" t="s">
        <v>249</v>
      </c>
      <c r="C4" s="253" t="s">
        <v>236</v>
      </c>
      <c r="D4" s="250"/>
      <c r="E4" s="254"/>
      <c r="F4" s="255"/>
      <c r="G4" s="11"/>
      <c r="H4" s="256" t="s">
        <v>249</v>
      </c>
      <c r="I4" s="276" t="s">
        <v>236</v>
      </c>
      <c r="J4" s="272"/>
      <c r="K4" s="277" t="s">
        <v>249</v>
      </c>
      <c r="L4" s="276" t="s">
        <v>236</v>
      </c>
      <c r="M4" s="278"/>
      <c r="N4" s="279"/>
    </row>
    <row r="5" ht="25.2" customHeight="1" spans="1:14">
      <c r="A5" s="11"/>
      <c r="B5" s="257"/>
      <c r="C5" s="258"/>
      <c r="D5" s="250"/>
      <c r="E5" s="254"/>
      <c r="F5" s="259"/>
      <c r="G5" s="11"/>
      <c r="H5" s="260" t="s">
        <v>18</v>
      </c>
      <c r="I5" s="81">
        <f>'⑤製造原価 (人）'!E14</f>
        <v>0</v>
      </c>
      <c r="J5" s="272"/>
      <c r="K5" s="280"/>
      <c r="L5" s="137"/>
      <c r="M5" s="274"/>
      <c r="N5" s="140"/>
    </row>
    <row r="6" ht="25.2" customHeight="1" spans="1:14">
      <c r="A6" s="11"/>
      <c r="B6" s="257"/>
      <c r="C6" s="258"/>
      <c r="D6" s="250"/>
      <c r="E6" s="261"/>
      <c r="F6" s="259"/>
      <c r="G6" s="11"/>
      <c r="H6" s="262" t="s">
        <v>26</v>
      </c>
      <c r="I6" s="281">
        <f>'⑤製造原価 (人）'!J14</f>
        <v>0</v>
      </c>
      <c r="J6" s="272"/>
      <c r="K6" s="282"/>
      <c r="L6" s="119"/>
      <c r="M6" s="274"/>
      <c r="N6" s="140"/>
    </row>
    <row r="7" ht="25.2" customHeight="1" spans="1:14">
      <c r="A7" s="11"/>
      <c r="B7" s="257"/>
      <c r="C7" s="258"/>
      <c r="D7" s="250"/>
      <c r="E7" s="261"/>
      <c r="F7" s="263"/>
      <c r="G7" s="11"/>
      <c r="H7" s="262" t="s">
        <v>28</v>
      </c>
      <c r="I7" s="281">
        <f>'⑤製造原価 (人）'!O14</f>
        <v>0</v>
      </c>
      <c r="J7" s="272"/>
      <c r="K7" s="282"/>
      <c r="L7" s="119"/>
      <c r="M7" s="274"/>
      <c r="N7" s="131"/>
    </row>
    <row r="8" ht="25.2" customHeight="1" spans="1:14">
      <c r="A8" s="11"/>
      <c r="B8" s="257"/>
      <c r="C8" s="258"/>
      <c r="D8" s="250"/>
      <c r="E8" s="261"/>
      <c r="F8" s="263"/>
      <c r="G8" s="11"/>
      <c r="H8" s="254"/>
      <c r="I8" s="119"/>
      <c r="J8" s="272"/>
      <c r="K8" s="282"/>
      <c r="L8" s="119"/>
      <c r="M8" s="274"/>
      <c r="N8" s="131"/>
    </row>
    <row r="9" ht="25.2" customHeight="1" spans="1:14">
      <c r="A9" s="11"/>
      <c r="B9" s="257"/>
      <c r="C9" s="258"/>
      <c r="D9" s="250"/>
      <c r="E9" s="261"/>
      <c r="F9" s="263"/>
      <c r="G9" s="11"/>
      <c r="H9" s="254"/>
      <c r="I9" s="119"/>
      <c r="J9" s="272"/>
      <c r="K9" s="282"/>
      <c r="L9" s="119"/>
      <c r="M9" s="274"/>
      <c r="N9" s="131"/>
    </row>
    <row r="10" ht="25.2" customHeight="1" spans="1:14">
      <c r="A10" s="11"/>
      <c r="B10" s="257"/>
      <c r="C10" s="258"/>
      <c r="D10" s="250"/>
      <c r="E10" s="261"/>
      <c r="F10" s="263"/>
      <c r="G10" s="11"/>
      <c r="H10" s="254"/>
      <c r="I10" s="119"/>
      <c r="J10" s="272"/>
      <c r="K10" s="282"/>
      <c r="L10" s="119"/>
      <c r="M10" s="274"/>
      <c r="N10" s="131"/>
    </row>
    <row r="11" ht="25.2" customHeight="1" spans="1:14">
      <c r="A11" s="11"/>
      <c r="B11" s="257"/>
      <c r="C11" s="258"/>
      <c r="D11" s="250"/>
      <c r="E11" s="261"/>
      <c r="F11" s="263"/>
      <c r="G11" s="11"/>
      <c r="H11" s="254"/>
      <c r="I11" s="119"/>
      <c r="J11" s="272"/>
      <c r="K11" s="282"/>
      <c r="L11" s="119"/>
      <c r="M11" s="274"/>
      <c r="N11" s="131"/>
    </row>
    <row r="12" ht="25.2" customHeight="1" spans="1:14">
      <c r="A12" s="11"/>
      <c r="B12" s="257"/>
      <c r="C12" s="258"/>
      <c r="D12" s="250"/>
      <c r="E12" s="261"/>
      <c r="F12" s="263"/>
      <c r="G12" s="11"/>
      <c r="H12" s="254"/>
      <c r="I12" s="283"/>
      <c r="J12" s="272"/>
      <c r="K12" s="282"/>
      <c r="L12" s="283"/>
      <c r="M12" s="274"/>
      <c r="N12" s="131"/>
    </row>
    <row r="13" ht="25.2" customHeight="1" spans="1:14">
      <c r="A13" s="11"/>
      <c r="B13" s="257"/>
      <c r="C13" s="258"/>
      <c r="D13" s="250"/>
      <c r="E13" s="120" t="s">
        <v>237</v>
      </c>
      <c r="F13" s="264">
        <f>SUM(F4:F12)</f>
        <v>0</v>
      </c>
      <c r="G13" s="11"/>
      <c r="H13" s="254"/>
      <c r="I13" s="283"/>
      <c r="J13" s="272"/>
      <c r="K13" s="282"/>
      <c r="L13" s="283"/>
      <c r="M13" s="274"/>
      <c r="N13" s="131"/>
    </row>
    <row r="14" ht="25.2" customHeight="1" spans="1:14">
      <c r="A14" s="11"/>
      <c r="B14" s="257"/>
      <c r="C14" s="258"/>
      <c r="D14" s="250"/>
      <c r="E14" s="120" t="s">
        <v>250</v>
      </c>
      <c r="F14" s="264">
        <f>SUM(スタート!D35:D42)</f>
        <v>0</v>
      </c>
      <c r="G14" s="11"/>
      <c r="H14" s="254"/>
      <c r="I14" s="283"/>
      <c r="J14" s="272"/>
      <c r="K14" s="282"/>
      <c r="L14" s="283"/>
      <c r="M14" s="274"/>
      <c r="N14" s="140"/>
    </row>
    <row r="15" ht="25.2" customHeight="1" spans="1:14">
      <c r="A15" s="11"/>
      <c r="B15" s="257"/>
      <c r="C15" s="258"/>
      <c r="D15" s="250"/>
      <c r="E15" s="250"/>
      <c r="F15" s="250"/>
      <c r="G15" s="11"/>
      <c r="H15" s="265"/>
      <c r="I15" s="283"/>
      <c r="J15" s="272"/>
      <c r="K15" s="282"/>
      <c r="L15" s="283"/>
      <c r="M15" s="274"/>
      <c r="N15" s="11"/>
    </row>
    <row r="16" ht="25.2" customHeight="1" spans="1:14">
      <c r="A16" s="11"/>
      <c r="B16" s="257"/>
      <c r="C16" s="258"/>
      <c r="D16" s="250"/>
      <c r="E16" s="250"/>
      <c r="F16" s="250"/>
      <c r="G16" s="11"/>
      <c r="H16" s="120" t="s">
        <v>237</v>
      </c>
      <c r="I16" s="264">
        <f>SUM(I5:I15)</f>
        <v>0</v>
      </c>
      <c r="J16" s="284"/>
      <c r="K16" s="282"/>
      <c r="L16" s="263"/>
      <c r="M16" s="11"/>
      <c r="N16" s="11"/>
    </row>
    <row r="17" ht="25.2" customHeight="1" spans="1:14">
      <c r="A17" s="11"/>
      <c r="B17" s="257"/>
      <c r="C17" s="258"/>
      <c r="D17" s="250"/>
      <c r="E17" s="250"/>
      <c r="F17" s="250"/>
      <c r="G17" s="11"/>
      <c r="H17" s="120" t="s">
        <v>253</v>
      </c>
      <c r="I17" s="264">
        <f>SUM(スタート!D13:D28)+SUM(スタート!D60:D62)</f>
        <v>0</v>
      </c>
      <c r="J17" s="284"/>
      <c r="K17" s="282"/>
      <c r="L17" s="263"/>
      <c r="M17" s="11"/>
      <c r="N17" s="11"/>
    </row>
    <row r="18" ht="25.2" customHeight="1" spans="1:14">
      <c r="A18" s="11"/>
      <c r="B18" s="257"/>
      <c r="C18" s="258"/>
      <c r="D18" s="11"/>
      <c r="E18" s="11"/>
      <c r="F18" s="11"/>
      <c r="G18" s="11"/>
      <c r="H18" s="11"/>
      <c r="I18" s="285"/>
      <c r="J18" s="284"/>
      <c r="K18" s="282"/>
      <c r="L18" s="263"/>
      <c r="M18" s="11"/>
      <c r="N18" s="11"/>
    </row>
    <row r="19" ht="25.2" customHeight="1" spans="1:14">
      <c r="A19" s="11"/>
      <c r="B19" s="257"/>
      <c r="C19" s="258"/>
      <c r="D19" s="11"/>
      <c r="E19" s="11"/>
      <c r="F19" s="11"/>
      <c r="G19" s="11"/>
      <c r="H19" s="11"/>
      <c r="I19" s="285"/>
      <c r="J19" s="284"/>
      <c r="K19" s="286"/>
      <c r="L19" s="263"/>
      <c r="M19" s="11"/>
      <c r="N19" s="11"/>
    </row>
    <row r="20" ht="25.2" customHeight="1" spans="1:14">
      <c r="A20" s="11"/>
      <c r="B20" s="257"/>
      <c r="C20" s="258"/>
      <c r="D20" s="11"/>
      <c r="E20" s="11"/>
      <c r="F20" s="11"/>
      <c r="G20" s="11"/>
      <c r="H20" s="11"/>
      <c r="I20" s="285"/>
      <c r="J20" s="284"/>
      <c r="K20" s="287" t="s">
        <v>237</v>
      </c>
      <c r="L20" s="288">
        <f>SUM(L5:L19)</f>
        <v>0</v>
      </c>
      <c r="M20" s="11"/>
      <c r="N20" s="11"/>
    </row>
    <row r="21" ht="25.2" customHeight="1" spans="1:14">
      <c r="A21" s="11"/>
      <c r="B21" s="257"/>
      <c r="C21" s="258"/>
      <c r="D21" s="11"/>
      <c r="E21" s="11"/>
      <c r="F21" s="11"/>
      <c r="G21" s="11"/>
      <c r="H21" s="11"/>
      <c r="I21" s="285"/>
      <c r="J21" s="284"/>
      <c r="K21" s="289" t="s">
        <v>253</v>
      </c>
      <c r="L21" s="288">
        <f>SUM(スタート!D43:D56)</f>
        <v>0</v>
      </c>
      <c r="M21" s="11"/>
      <c r="N21" s="11"/>
    </row>
    <row r="22" ht="25.2" customHeight="1" spans="1:14">
      <c r="A22" s="11"/>
      <c r="B22" s="257"/>
      <c r="C22" s="258"/>
      <c r="D22" s="11"/>
      <c r="E22" s="11"/>
      <c r="F22" s="11"/>
      <c r="G22" s="11"/>
      <c r="H22" s="11"/>
      <c r="I22" s="285"/>
      <c r="J22" s="284"/>
      <c r="K22" s="285"/>
      <c r="L22" s="11"/>
      <c r="M22" s="11"/>
      <c r="N22" s="11"/>
    </row>
    <row r="23" ht="25.2" customHeight="1" spans="1:14">
      <c r="A23" s="11"/>
      <c r="B23" s="257"/>
      <c r="C23" s="258"/>
      <c r="D23" s="11"/>
      <c r="E23" s="11"/>
      <c r="F23" s="11"/>
      <c r="G23" s="11"/>
      <c r="H23" s="11"/>
      <c r="I23" s="285"/>
      <c r="J23" s="284"/>
      <c r="K23" s="285"/>
      <c r="L23" s="11"/>
      <c r="M23" s="11"/>
      <c r="N23" s="11"/>
    </row>
    <row r="24" ht="25.2" customHeight="1" spans="1:14">
      <c r="A24" s="11"/>
      <c r="B24" s="257"/>
      <c r="C24" s="258"/>
      <c r="D24" s="11"/>
      <c r="E24" s="11"/>
      <c r="F24" s="11"/>
      <c r="G24" s="11"/>
      <c r="H24" s="11"/>
      <c r="I24" s="285"/>
      <c r="J24" s="284"/>
      <c r="K24" s="285"/>
      <c r="L24" s="11"/>
      <c r="M24" s="11"/>
      <c r="N24" s="11"/>
    </row>
    <row r="25" ht="25.2" customHeight="1" spans="1:14">
      <c r="A25" s="11"/>
      <c r="B25" s="257"/>
      <c r="C25" s="258"/>
      <c r="D25" s="11"/>
      <c r="E25" s="11"/>
      <c r="F25" s="11"/>
      <c r="G25" s="11"/>
      <c r="H25" s="11"/>
      <c r="I25" s="285"/>
      <c r="J25" s="284"/>
      <c r="K25" s="285"/>
      <c r="L25" s="11"/>
      <c r="M25" s="11"/>
      <c r="N25" s="11"/>
    </row>
    <row r="26" ht="25.2" customHeight="1" spans="1:14">
      <c r="A26" s="11"/>
      <c r="B26" s="257"/>
      <c r="C26" s="258"/>
      <c r="D26" s="11"/>
      <c r="E26" s="11"/>
      <c r="F26" s="11"/>
      <c r="G26" s="11"/>
      <c r="H26" s="11"/>
      <c r="I26" s="285"/>
      <c r="J26" s="284"/>
      <c r="K26" s="285"/>
      <c r="L26" s="11"/>
      <c r="M26" s="11"/>
      <c r="N26" s="11"/>
    </row>
    <row r="27" ht="25.2" customHeight="1" spans="1:14">
      <c r="A27" s="11"/>
      <c r="B27" s="257"/>
      <c r="C27" s="258"/>
      <c r="D27" s="11"/>
      <c r="E27" s="11"/>
      <c r="F27" s="11"/>
      <c r="G27" s="11"/>
      <c r="H27" s="11"/>
      <c r="I27" s="285"/>
      <c r="J27" s="284"/>
      <c r="K27" s="285"/>
      <c r="L27" s="11"/>
      <c r="M27" s="11"/>
      <c r="N27" s="11"/>
    </row>
    <row r="28" ht="25.2" customHeight="1" spans="1:14">
      <c r="A28" s="11"/>
      <c r="B28" s="257"/>
      <c r="C28" s="258"/>
      <c r="D28" s="11"/>
      <c r="E28" s="11"/>
      <c r="F28" s="11"/>
      <c r="G28" s="11"/>
      <c r="H28" s="11"/>
      <c r="I28" s="285"/>
      <c r="J28" s="284"/>
      <c r="K28" s="285"/>
      <c r="L28" s="11"/>
      <c r="M28" s="11"/>
      <c r="N28" s="11"/>
    </row>
    <row r="29" ht="25.2" customHeight="1" spans="1:14">
      <c r="A29" s="11"/>
      <c r="B29" s="257"/>
      <c r="C29" s="258"/>
      <c r="D29" s="11"/>
      <c r="E29" s="11"/>
      <c r="F29" s="11"/>
      <c r="G29" s="11"/>
      <c r="H29" s="11"/>
      <c r="I29" s="285"/>
      <c r="J29" s="284"/>
      <c r="K29" s="285"/>
      <c r="L29" s="11"/>
      <c r="M29" s="11"/>
      <c r="N29" s="11"/>
    </row>
    <row r="30" ht="25.2" customHeight="1" spans="1:14">
      <c r="A30" s="11"/>
      <c r="B30" s="257"/>
      <c r="C30" s="258"/>
      <c r="D30" s="11"/>
      <c r="E30" s="11"/>
      <c r="F30" s="11"/>
      <c r="G30" s="11"/>
      <c r="H30" s="11"/>
      <c r="I30" s="285"/>
      <c r="J30" s="284"/>
      <c r="K30" s="285"/>
      <c r="L30" s="11"/>
      <c r="M30" s="11"/>
      <c r="N30" s="11"/>
    </row>
    <row r="31" ht="25.2" customHeight="1" spans="1:14">
      <c r="A31" s="11"/>
      <c r="B31" s="257"/>
      <c r="C31" s="258"/>
      <c r="D31" s="11"/>
      <c r="E31" s="11"/>
      <c r="F31" s="11"/>
      <c r="G31" s="11"/>
      <c r="H31" s="11"/>
      <c r="I31" s="285"/>
      <c r="J31" s="284"/>
      <c r="K31" s="285"/>
      <c r="L31" s="11"/>
      <c r="M31" s="11"/>
      <c r="N31" s="11"/>
    </row>
    <row r="32" ht="25.2" customHeight="1" spans="1:14">
      <c r="A32" s="11"/>
      <c r="B32" s="257"/>
      <c r="C32" s="258"/>
      <c r="D32" s="11"/>
      <c r="E32" s="11"/>
      <c r="F32" s="11"/>
      <c r="G32" s="11"/>
      <c r="H32" s="11"/>
      <c r="I32" s="285"/>
      <c r="J32" s="284"/>
      <c r="K32" s="285"/>
      <c r="L32" s="11"/>
      <c r="M32" s="11"/>
      <c r="N32" s="11"/>
    </row>
    <row r="33" ht="25.2" customHeight="1" spans="1:14">
      <c r="A33" s="11"/>
      <c r="B33" s="257"/>
      <c r="C33" s="258"/>
      <c r="D33" s="11"/>
      <c r="E33" s="11"/>
      <c r="F33" s="11"/>
      <c r="G33" s="11"/>
      <c r="H33" s="11"/>
      <c r="I33" s="285"/>
      <c r="J33" s="284"/>
      <c r="K33" s="285"/>
      <c r="L33" s="11"/>
      <c r="M33" s="11"/>
      <c r="N33" s="11"/>
    </row>
    <row r="34" ht="25.2" customHeight="1" spans="1:14">
      <c r="A34" s="11"/>
      <c r="B34" s="257"/>
      <c r="C34" s="258"/>
      <c r="D34" s="11"/>
      <c r="E34" s="11"/>
      <c r="F34" s="11"/>
      <c r="G34" s="11"/>
      <c r="H34" s="11"/>
      <c r="I34" s="11"/>
      <c r="J34" s="284"/>
      <c r="K34" s="285"/>
      <c r="L34" s="11"/>
      <c r="M34" s="11"/>
      <c r="N34" s="11"/>
    </row>
    <row r="35" ht="25.2" customHeight="1" spans="1:14">
      <c r="A35" s="11"/>
      <c r="B35" s="257"/>
      <c r="C35" s="258"/>
      <c r="D35" s="11"/>
      <c r="E35" s="11"/>
      <c r="F35" s="11"/>
      <c r="G35" s="11"/>
      <c r="H35" s="11"/>
      <c r="I35" s="11"/>
      <c r="J35" s="284"/>
      <c r="K35" s="285"/>
      <c r="L35" s="11"/>
      <c r="M35" s="11"/>
      <c r="N35" s="11"/>
    </row>
    <row r="36" ht="25.2" customHeight="1" spans="1:14">
      <c r="A36" s="11"/>
      <c r="B36" s="257"/>
      <c r="C36" s="258"/>
      <c r="D36" s="11"/>
      <c r="E36" s="11"/>
      <c r="F36" s="11"/>
      <c r="G36" s="11"/>
      <c r="H36" s="11"/>
      <c r="I36" s="11"/>
      <c r="J36" s="284"/>
      <c r="K36" s="285"/>
      <c r="L36" s="11"/>
      <c r="M36" s="11"/>
      <c r="N36" s="11"/>
    </row>
    <row r="37" ht="25.2" customHeight="1" spans="1:14">
      <c r="A37" s="11"/>
      <c r="B37" s="257"/>
      <c r="C37" s="258"/>
      <c r="D37" s="11"/>
      <c r="E37" s="11"/>
      <c r="F37" s="11"/>
      <c r="G37" s="11"/>
      <c r="H37" s="11"/>
      <c r="I37" s="11"/>
      <c r="J37" s="284"/>
      <c r="K37" s="285"/>
      <c r="L37" s="11"/>
      <c r="M37" s="11"/>
      <c r="N37" s="11"/>
    </row>
    <row r="38" ht="25.2" customHeight="1" spans="1:14">
      <c r="A38" s="11"/>
      <c r="B38" s="257"/>
      <c r="C38" s="258"/>
      <c r="D38" s="11"/>
      <c r="E38" s="11"/>
      <c r="F38" s="11"/>
      <c r="G38" s="11"/>
      <c r="H38" s="11"/>
      <c r="I38" s="11"/>
      <c r="J38" s="284"/>
      <c r="K38" s="285"/>
      <c r="L38" s="11"/>
      <c r="M38" s="11"/>
      <c r="N38" s="11"/>
    </row>
    <row r="39" ht="25.2" customHeight="1" spans="1:14">
      <c r="A39" s="11"/>
      <c r="B39" s="257"/>
      <c r="C39" s="258"/>
      <c r="D39" s="11"/>
      <c r="E39" s="11"/>
      <c r="F39" s="11"/>
      <c r="G39" s="11"/>
      <c r="H39" s="11"/>
      <c r="I39" s="11"/>
      <c r="J39" s="284"/>
      <c r="K39" s="285"/>
      <c r="L39" s="11"/>
      <c r="M39" s="11"/>
      <c r="N39" s="11"/>
    </row>
    <row r="40" ht="25.2" customHeight="1" spans="1:14">
      <c r="A40" s="11"/>
      <c r="B40" s="257"/>
      <c r="C40" s="258"/>
      <c r="D40" s="11"/>
      <c r="E40" s="11"/>
      <c r="F40" s="11"/>
      <c r="G40" s="11"/>
      <c r="H40" s="11"/>
      <c r="I40" s="11"/>
      <c r="J40" s="284"/>
      <c r="K40" s="285"/>
      <c r="L40" s="11"/>
      <c r="M40" s="11"/>
      <c r="N40" s="11"/>
    </row>
    <row r="41" ht="25.2" customHeight="1" spans="1:14">
      <c r="A41" s="11"/>
      <c r="B41" s="257"/>
      <c r="C41" s="258"/>
      <c r="D41" s="11"/>
      <c r="E41" s="11"/>
      <c r="F41" s="11"/>
      <c r="G41" s="11"/>
      <c r="H41" s="11"/>
      <c r="I41" s="11"/>
      <c r="J41" s="11"/>
      <c r="K41" s="11"/>
      <c r="L41" s="11"/>
      <c r="M41" s="11"/>
      <c r="N41" s="11"/>
    </row>
    <row r="42" ht="25.2" customHeight="1" spans="1:14">
      <c r="A42" s="11"/>
      <c r="B42" s="257"/>
      <c r="C42" s="258"/>
      <c r="D42" s="11"/>
      <c r="E42" s="11"/>
      <c r="F42" s="11"/>
      <c r="G42" s="11"/>
      <c r="H42" s="11"/>
      <c r="I42" s="11"/>
      <c r="J42" s="11"/>
      <c r="K42" s="11"/>
      <c r="L42" s="11"/>
      <c r="M42" s="11"/>
      <c r="N42" s="11"/>
    </row>
    <row r="43" ht="27.6" customHeight="1" spans="1:14">
      <c r="A43" s="11"/>
      <c r="B43" s="266" t="s">
        <v>237</v>
      </c>
      <c r="C43" s="267">
        <f>SUM(C5:C42)</f>
        <v>0</v>
      </c>
      <c r="D43" s="11"/>
      <c r="E43" s="11"/>
      <c r="F43" s="11"/>
      <c r="G43" s="11"/>
      <c r="H43" s="11"/>
      <c r="I43" s="11"/>
      <c r="J43" s="11"/>
      <c r="K43" s="11"/>
      <c r="L43" s="11"/>
      <c r="M43" s="11"/>
      <c r="N43" s="11"/>
    </row>
    <row r="44" ht="27.6" customHeight="1" spans="1:14">
      <c r="A44" s="11"/>
      <c r="B44" s="266" t="s">
        <v>250</v>
      </c>
      <c r="C44" s="267">
        <f>SUM(スタート!D63:D100)</f>
        <v>0</v>
      </c>
      <c r="D44" s="11"/>
      <c r="E44" s="11"/>
      <c r="F44" s="11"/>
      <c r="G44" s="11"/>
      <c r="H44" s="11"/>
      <c r="I44" s="11"/>
      <c r="J44" s="11"/>
      <c r="K44" s="11"/>
      <c r="L44" s="11"/>
      <c r="M44" s="11"/>
      <c r="N44" s="11"/>
    </row>
    <row r="45" spans="1:14">
      <c r="A45" s="11"/>
      <c r="B45" s="11"/>
      <c r="C45" s="11"/>
      <c r="D45" s="11"/>
      <c r="E45" s="11"/>
      <c r="F45" s="11"/>
      <c r="G45" s="11"/>
      <c r="H45" s="11"/>
      <c r="I45" s="11"/>
      <c r="J45" s="11"/>
      <c r="K45" s="11"/>
      <c r="L45" s="11"/>
      <c r="M45" s="11"/>
      <c r="N45" s="11"/>
    </row>
    <row r="46" spans="1:14">
      <c r="A46" s="11"/>
      <c r="B46" s="11"/>
      <c r="C46" s="11"/>
      <c r="D46" s="11"/>
      <c r="E46" s="11"/>
      <c r="F46" s="11"/>
      <c r="G46" s="11"/>
      <c r="H46" s="11"/>
      <c r="I46" s="11"/>
      <c r="J46" s="11"/>
      <c r="K46" s="11"/>
      <c r="L46" s="11"/>
      <c r="M46" s="11"/>
      <c r="N46" s="11"/>
    </row>
    <row r="47" spans="1:14">
      <c r="A47" s="11"/>
      <c r="B47" s="11"/>
      <c r="C47" s="11"/>
      <c r="D47" s="11"/>
      <c r="E47" s="11"/>
      <c r="F47" s="11"/>
      <c r="G47" s="11"/>
      <c r="H47" s="11"/>
      <c r="I47" s="11"/>
      <c r="J47" s="11"/>
      <c r="K47" s="11"/>
      <c r="L47" s="11"/>
      <c r="M47" s="11"/>
      <c r="N47" s="11"/>
    </row>
  </sheetData>
  <sheetProtection algorithmName="SHA-512" hashValue="tMjea2mKKCp7EHj/llV6dKoiR2OaangRaZxnxXbVd/kNkJXJEnBYL9sgPgzE6wwbBk98rn0jV/Y9eaVwfzg2aw==" saltValue="uzFtr6m4TRqdjOIY/pKdnA==" spinCount="100000" sheet="1" objects="1"/>
  <mergeCells count="3">
    <mergeCell ref="A1:F1"/>
    <mergeCell ref="A2:H2"/>
    <mergeCell ref="I2:L2"/>
  </mergeCells>
  <pageMargins left="0.7" right="0.7" top="0.75" bottom="0.75" header="0.3" footer="0.3"/>
  <pageSetup paperSize="8" scale="84"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42"/>
  <sheetViews>
    <sheetView view="pageBreakPreview" zoomScale="90" zoomScaleNormal="100" workbookViewId="0">
      <selection activeCell="A1" sqref="A1:K42"/>
    </sheetView>
  </sheetViews>
  <sheetFormatPr defaultColWidth="8.69523809523809" defaultRowHeight="15"/>
  <cols>
    <col min="1" max="1" width="17.6952380952381" style="186" customWidth="1"/>
    <col min="2" max="3" width="14.5047619047619" style="186" customWidth="1"/>
    <col min="4" max="4" width="21.5904761904762" style="186" customWidth="1"/>
    <col min="5" max="7" width="14.5047619047619" style="186" customWidth="1"/>
    <col min="8" max="8" width="8.8952380952381" style="186" customWidth="1"/>
    <col min="9" max="16384" width="8.69523809523809" style="186"/>
  </cols>
  <sheetData>
    <row r="1" spans="1:11">
      <c r="A1" s="187">
        <f>スタート!C1</f>
        <v>0</v>
      </c>
      <c r="B1" s="11"/>
      <c r="C1" s="11"/>
      <c r="D1" s="11"/>
      <c r="E1" s="11"/>
      <c r="F1" s="187"/>
      <c r="G1" s="187"/>
      <c r="H1" s="187"/>
      <c r="I1" s="187"/>
      <c r="J1" s="187"/>
      <c r="K1" s="187"/>
    </row>
    <row r="2" ht="46.5" spans="1:12">
      <c r="A2" s="188" t="s">
        <v>254</v>
      </c>
      <c r="B2" s="11"/>
      <c r="C2" s="11"/>
      <c r="D2" s="11"/>
      <c r="E2" s="11" t="s">
        <v>255</v>
      </c>
      <c r="F2" s="189" t="s">
        <v>228</v>
      </c>
      <c r="G2" s="190">
        <f>F31</f>
        <v>0</v>
      </c>
      <c r="H2" s="191"/>
      <c r="I2" s="245"/>
      <c r="J2" s="246"/>
      <c r="K2" s="11"/>
      <c r="L2" s="247"/>
    </row>
    <row r="3" spans="1:11">
      <c r="A3" s="187"/>
      <c r="B3" s="187"/>
      <c r="C3" s="187"/>
      <c r="D3" s="187"/>
      <c r="E3" s="187"/>
      <c r="F3" s="187"/>
      <c r="G3" s="187"/>
      <c r="H3" s="187"/>
      <c r="I3" s="187"/>
      <c r="J3" s="187"/>
      <c r="K3" s="187"/>
    </row>
    <row r="4" spans="1:11">
      <c r="A4" s="187"/>
      <c r="B4" s="187"/>
      <c r="C4" s="192" t="s">
        <v>256</v>
      </c>
      <c r="D4" s="193"/>
      <c r="E4" s="193"/>
      <c r="F4" s="187"/>
      <c r="G4" s="187"/>
      <c r="H4" s="187"/>
      <c r="I4" s="187"/>
      <c r="J4" s="187"/>
      <c r="K4" s="187"/>
    </row>
    <row r="5" spans="1:11">
      <c r="A5" s="194" t="s">
        <v>257</v>
      </c>
      <c r="B5" s="195"/>
      <c r="C5" s="194" t="s">
        <v>258</v>
      </c>
      <c r="D5" s="194" t="s">
        <v>259</v>
      </c>
      <c r="E5" s="194" t="s">
        <v>260</v>
      </c>
      <c r="F5" s="195"/>
      <c r="G5" s="195"/>
      <c r="H5" s="187"/>
      <c r="I5" s="187"/>
      <c r="J5" s="187"/>
      <c r="K5" s="187"/>
    </row>
    <row r="6" spans="1:11">
      <c r="A6" s="196" t="s">
        <v>231</v>
      </c>
      <c r="B6" s="196" t="s">
        <v>261</v>
      </c>
      <c r="C6" s="196" t="s">
        <v>262</v>
      </c>
      <c r="D6" s="196" t="s">
        <v>263</v>
      </c>
      <c r="E6" s="196" t="s">
        <v>234</v>
      </c>
      <c r="F6" s="196" t="s">
        <v>11</v>
      </c>
      <c r="G6" s="196" t="s">
        <v>264</v>
      </c>
      <c r="H6" s="187"/>
      <c r="I6" s="187"/>
      <c r="J6" s="187"/>
      <c r="K6" s="187"/>
    </row>
    <row r="7" spans="1:11">
      <c r="A7" s="197" t="s">
        <v>265</v>
      </c>
      <c r="B7" s="198" t="s">
        <v>266</v>
      </c>
      <c r="C7" s="198" t="s">
        <v>267</v>
      </c>
      <c r="D7" s="198" t="s">
        <v>268</v>
      </c>
      <c r="E7" s="198" t="s">
        <v>267</v>
      </c>
      <c r="F7" s="198" t="s">
        <v>266</v>
      </c>
      <c r="G7" s="197" t="s">
        <v>231</v>
      </c>
      <c r="H7" s="187"/>
      <c r="I7" s="187"/>
      <c r="J7" s="187"/>
      <c r="K7" s="187"/>
    </row>
    <row r="8" spans="1:11">
      <c r="A8" s="199" t="s">
        <v>269</v>
      </c>
      <c r="B8" s="200">
        <f>D8*C8</f>
        <v>0</v>
      </c>
      <c r="C8" s="201"/>
      <c r="D8" s="202"/>
      <c r="E8" s="203"/>
      <c r="F8" s="204">
        <f>D8*E8</f>
        <v>0</v>
      </c>
      <c r="G8" s="205" t="str">
        <f>IFERROR(C8/E8,"0")</f>
        <v>0</v>
      </c>
      <c r="H8" s="187"/>
      <c r="I8" s="187"/>
      <c r="J8" s="187"/>
      <c r="K8" s="187"/>
    </row>
    <row r="9" spans="1:11">
      <c r="A9" s="199" t="s">
        <v>269</v>
      </c>
      <c r="B9" s="206">
        <f t="shared" ref="B9:B29" si="0">D9*C9</f>
        <v>0</v>
      </c>
      <c r="C9" s="207"/>
      <c r="D9" s="208"/>
      <c r="E9" s="209"/>
      <c r="F9" s="210">
        <f t="shared" ref="F9:F29" si="1">D9*E9</f>
        <v>0</v>
      </c>
      <c r="G9" s="205" t="str">
        <f t="shared" ref="G9:G29" si="2">IFERROR(C9/E9,"0")</f>
        <v>0</v>
      </c>
      <c r="H9" s="187"/>
      <c r="I9" s="187"/>
      <c r="J9" s="187"/>
      <c r="K9" s="187"/>
    </row>
    <row r="10" spans="1:11">
      <c r="A10" s="199" t="s">
        <v>269</v>
      </c>
      <c r="B10" s="206">
        <f t="shared" si="0"/>
        <v>0</v>
      </c>
      <c r="C10" s="207"/>
      <c r="D10" s="208"/>
      <c r="E10" s="209"/>
      <c r="F10" s="210">
        <f t="shared" si="1"/>
        <v>0</v>
      </c>
      <c r="G10" s="205" t="str">
        <f t="shared" si="2"/>
        <v>0</v>
      </c>
      <c r="H10" s="187"/>
      <c r="I10" s="187"/>
      <c r="J10" s="187"/>
      <c r="K10" s="187"/>
    </row>
    <row r="11" spans="1:11">
      <c r="A11" s="199" t="s">
        <v>269</v>
      </c>
      <c r="B11" s="206">
        <f t="shared" si="0"/>
        <v>0</v>
      </c>
      <c r="C11" s="207"/>
      <c r="D11" s="208"/>
      <c r="E11" s="209"/>
      <c r="F11" s="210">
        <f t="shared" si="1"/>
        <v>0</v>
      </c>
      <c r="G11" s="205" t="str">
        <f t="shared" si="2"/>
        <v>0</v>
      </c>
      <c r="H11" s="187"/>
      <c r="I11" s="187"/>
      <c r="J11" s="187"/>
      <c r="K11" s="187"/>
    </row>
    <row r="12" spans="1:11">
      <c r="A12" s="199" t="s">
        <v>269</v>
      </c>
      <c r="B12" s="206">
        <f t="shared" si="0"/>
        <v>0</v>
      </c>
      <c r="C12" s="207"/>
      <c r="D12" s="208"/>
      <c r="E12" s="209"/>
      <c r="F12" s="210">
        <f t="shared" si="1"/>
        <v>0</v>
      </c>
      <c r="G12" s="205" t="str">
        <f t="shared" si="2"/>
        <v>0</v>
      </c>
      <c r="H12" s="187"/>
      <c r="I12" s="187"/>
      <c r="J12" s="187"/>
      <c r="K12" s="187"/>
    </row>
    <row r="13" spans="1:11">
      <c r="A13" s="199" t="s">
        <v>269</v>
      </c>
      <c r="B13" s="206">
        <f t="shared" si="0"/>
        <v>0</v>
      </c>
      <c r="C13" s="207"/>
      <c r="D13" s="208"/>
      <c r="E13" s="209"/>
      <c r="F13" s="210">
        <f t="shared" si="1"/>
        <v>0</v>
      </c>
      <c r="G13" s="205" t="str">
        <f t="shared" si="2"/>
        <v>0</v>
      </c>
      <c r="H13" s="187"/>
      <c r="I13" s="187"/>
      <c r="J13" s="187"/>
      <c r="K13" s="187"/>
    </row>
    <row r="14" spans="1:11">
      <c r="A14" s="199" t="s">
        <v>269</v>
      </c>
      <c r="B14" s="206">
        <f t="shared" si="0"/>
        <v>0</v>
      </c>
      <c r="C14" s="211"/>
      <c r="D14" s="208"/>
      <c r="E14" s="209"/>
      <c r="F14" s="210">
        <f t="shared" si="1"/>
        <v>0</v>
      </c>
      <c r="G14" s="205" t="str">
        <f t="shared" si="2"/>
        <v>0</v>
      </c>
      <c r="H14" s="187"/>
      <c r="I14" s="187"/>
      <c r="J14" s="187"/>
      <c r="K14" s="187"/>
    </row>
    <row r="15" spans="1:11">
      <c r="A15" s="199" t="s">
        <v>269</v>
      </c>
      <c r="B15" s="206">
        <f t="shared" si="0"/>
        <v>0</v>
      </c>
      <c r="C15" s="211"/>
      <c r="D15" s="208"/>
      <c r="E15" s="209"/>
      <c r="F15" s="210">
        <f t="shared" si="1"/>
        <v>0</v>
      </c>
      <c r="G15" s="205" t="str">
        <f t="shared" si="2"/>
        <v>0</v>
      </c>
      <c r="H15" s="187"/>
      <c r="I15" s="187"/>
      <c r="J15" s="187"/>
      <c r="K15" s="187"/>
    </row>
    <row r="16" spans="1:11">
      <c r="A16" s="199" t="s">
        <v>269</v>
      </c>
      <c r="B16" s="206">
        <f t="shared" si="0"/>
        <v>0</v>
      </c>
      <c r="C16" s="211"/>
      <c r="D16" s="208"/>
      <c r="E16" s="209"/>
      <c r="F16" s="210">
        <f t="shared" si="1"/>
        <v>0</v>
      </c>
      <c r="G16" s="205" t="str">
        <f t="shared" si="2"/>
        <v>0</v>
      </c>
      <c r="H16" s="187"/>
      <c r="I16" s="187"/>
      <c r="J16" s="187"/>
      <c r="K16" s="187"/>
    </row>
    <row r="17" spans="1:11">
      <c r="A17" s="199" t="s">
        <v>269</v>
      </c>
      <c r="B17" s="206">
        <f t="shared" si="0"/>
        <v>0</v>
      </c>
      <c r="C17" s="211"/>
      <c r="D17" s="208"/>
      <c r="E17" s="209"/>
      <c r="F17" s="210">
        <f t="shared" si="1"/>
        <v>0</v>
      </c>
      <c r="G17" s="205" t="str">
        <f t="shared" si="2"/>
        <v>0</v>
      </c>
      <c r="H17" s="187"/>
      <c r="I17" s="187"/>
      <c r="J17" s="187"/>
      <c r="K17" s="187"/>
    </row>
    <row r="18" spans="1:11">
      <c r="A18" s="199" t="s">
        <v>269</v>
      </c>
      <c r="B18" s="206">
        <f t="shared" si="0"/>
        <v>0</v>
      </c>
      <c r="C18" s="211"/>
      <c r="D18" s="208"/>
      <c r="E18" s="209"/>
      <c r="F18" s="210">
        <f t="shared" si="1"/>
        <v>0</v>
      </c>
      <c r="G18" s="205" t="str">
        <f t="shared" si="2"/>
        <v>0</v>
      </c>
      <c r="H18" s="187"/>
      <c r="I18" s="187"/>
      <c r="J18" s="187"/>
      <c r="K18" s="187"/>
    </row>
    <row r="19" spans="1:11">
      <c r="A19" s="199" t="s">
        <v>269</v>
      </c>
      <c r="B19" s="206">
        <f t="shared" si="0"/>
        <v>0</v>
      </c>
      <c r="C19" s="211"/>
      <c r="D19" s="208"/>
      <c r="E19" s="209"/>
      <c r="F19" s="210">
        <f t="shared" si="1"/>
        <v>0</v>
      </c>
      <c r="G19" s="205" t="str">
        <f t="shared" si="2"/>
        <v>0</v>
      </c>
      <c r="H19" s="187"/>
      <c r="I19" s="187"/>
      <c r="J19" s="187"/>
      <c r="K19" s="187"/>
    </row>
    <row r="20" spans="1:11">
      <c r="A20" s="199" t="s">
        <v>269</v>
      </c>
      <c r="B20" s="206">
        <f t="shared" si="0"/>
        <v>0</v>
      </c>
      <c r="C20" s="211"/>
      <c r="D20" s="208"/>
      <c r="E20" s="209"/>
      <c r="F20" s="210">
        <f t="shared" si="1"/>
        <v>0</v>
      </c>
      <c r="G20" s="205" t="str">
        <f t="shared" si="2"/>
        <v>0</v>
      </c>
      <c r="H20" s="187"/>
      <c r="I20" s="187"/>
      <c r="J20" s="187"/>
      <c r="K20" s="187"/>
    </row>
    <row r="21" spans="1:11">
      <c r="A21" s="199" t="s">
        <v>269</v>
      </c>
      <c r="B21" s="206">
        <f t="shared" si="0"/>
        <v>0</v>
      </c>
      <c r="C21" s="211"/>
      <c r="D21" s="208"/>
      <c r="E21" s="209"/>
      <c r="F21" s="210">
        <f t="shared" si="1"/>
        <v>0</v>
      </c>
      <c r="G21" s="205" t="str">
        <f t="shared" si="2"/>
        <v>0</v>
      </c>
      <c r="H21" s="187"/>
      <c r="I21" s="187"/>
      <c r="J21" s="187"/>
      <c r="K21" s="187"/>
    </row>
    <row r="22" spans="1:11">
      <c r="A22" s="199" t="s">
        <v>269</v>
      </c>
      <c r="B22" s="206">
        <f t="shared" si="0"/>
        <v>0</v>
      </c>
      <c r="C22" s="211"/>
      <c r="D22" s="208"/>
      <c r="E22" s="209"/>
      <c r="F22" s="210">
        <f t="shared" si="1"/>
        <v>0</v>
      </c>
      <c r="G22" s="205" t="str">
        <f t="shared" si="2"/>
        <v>0</v>
      </c>
      <c r="H22" s="187"/>
      <c r="I22" s="187"/>
      <c r="J22" s="187"/>
      <c r="K22" s="187"/>
    </row>
    <row r="23" spans="1:11">
      <c r="A23" s="199" t="s">
        <v>269</v>
      </c>
      <c r="B23" s="206">
        <f t="shared" si="0"/>
        <v>0</v>
      </c>
      <c r="C23" s="211"/>
      <c r="D23" s="208"/>
      <c r="E23" s="209"/>
      <c r="F23" s="210">
        <f t="shared" si="1"/>
        <v>0</v>
      </c>
      <c r="G23" s="205" t="str">
        <f t="shared" si="2"/>
        <v>0</v>
      </c>
      <c r="H23" s="187"/>
      <c r="I23" s="187"/>
      <c r="J23" s="187"/>
      <c r="K23" s="187"/>
    </row>
    <row r="24" spans="1:11">
      <c r="A24" s="199" t="s">
        <v>269</v>
      </c>
      <c r="B24" s="206">
        <f t="shared" si="0"/>
        <v>0</v>
      </c>
      <c r="C24" s="211"/>
      <c r="D24" s="208"/>
      <c r="E24" s="209"/>
      <c r="F24" s="210">
        <f t="shared" si="1"/>
        <v>0</v>
      </c>
      <c r="G24" s="205" t="str">
        <f t="shared" si="2"/>
        <v>0</v>
      </c>
      <c r="H24" s="187"/>
      <c r="I24" s="187"/>
      <c r="J24" s="187"/>
      <c r="K24" s="187"/>
    </row>
    <row r="25" spans="1:11">
      <c r="A25" s="199" t="s">
        <v>269</v>
      </c>
      <c r="B25" s="206">
        <f t="shared" si="0"/>
        <v>0</v>
      </c>
      <c r="C25" s="211"/>
      <c r="D25" s="208"/>
      <c r="E25" s="209"/>
      <c r="F25" s="210">
        <f t="shared" si="1"/>
        <v>0</v>
      </c>
      <c r="G25" s="205" t="str">
        <f t="shared" si="2"/>
        <v>0</v>
      </c>
      <c r="H25" s="187"/>
      <c r="I25" s="187"/>
      <c r="J25" s="187"/>
      <c r="K25" s="187"/>
    </row>
    <row r="26" spans="1:11">
      <c r="A26" s="199" t="s">
        <v>269</v>
      </c>
      <c r="B26" s="206">
        <f t="shared" si="0"/>
        <v>0</v>
      </c>
      <c r="C26" s="211"/>
      <c r="D26" s="208"/>
      <c r="E26" s="209"/>
      <c r="F26" s="210">
        <f t="shared" si="1"/>
        <v>0</v>
      </c>
      <c r="G26" s="205" t="str">
        <f t="shared" si="2"/>
        <v>0</v>
      </c>
      <c r="H26" s="187"/>
      <c r="I26" s="187"/>
      <c r="J26" s="187"/>
      <c r="K26" s="187"/>
    </row>
    <row r="27" spans="1:11">
      <c r="A27" s="199" t="s">
        <v>269</v>
      </c>
      <c r="B27" s="206">
        <f t="shared" si="0"/>
        <v>0</v>
      </c>
      <c r="C27" s="211"/>
      <c r="D27" s="208"/>
      <c r="E27" s="209"/>
      <c r="F27" s="210">
        <f t="shared" si="1"/>
        <v>0</v>
      </c>
      <c r="G27" s="205" t="str">
        <f t="shared" si="2"/>
        <v>0</v>
      </c>
      <c r="H27" s="187"/>
      <c r="I27" s="187"/>
      <c r="J27" s="187"/>
      <c r="K27" s="187"/>
    </row>
    <row r="28" spans="1:11">
      <c r="A28" s="199" t="s">
        <v>269</v>
      </c>
      <c r="B28" s="206">
        <f t="shared" si="0"/>
        <v>0</v>
      </c>
      <c r="C28" s="211"/>
      <c r="D28" s="208"/>
      <c r="E28" s="209"/>
      <c r="F28" s="210">
        <f t="shared" si="1"/>
        <v>0</v>
      </c>
      <c r="G28" s="205" t="str">
        <f t="shared" si="2"/>
        <v>0</v>
      </c>
      <c r="H28" s="187"/>
      <c r="I28" s="187"/>
      <c r="J28" s="187"/>
      <c r="K28" s="187"/>
    </row>
    <row r="29" spans="1:11">
      <c r="A29" s="199" t="s">
        <v>269</v>
      </c>
      <c r="B29" s="212">
        <f t="shared" si="0"/>
        <v>0</v>
      </c>
      <c r="C29" s="213"/>
      <c r="D29" s="214"/>
      <c r="E29" s="215"/>
      <c r="F29" s="216">
        <f t="shared" si="1"/>
        <v>0</v>
      </c>
      <c r="G29" s="205" t="str">
        <f t="shared" si="2"/>
        <v>0</v>
      </c>
      <c r="H29" s="187"/>
      <c r="I29" s="187"/>
      <c r="J29" s="187"/>
      <c r="K29" s="187"/>
    </row>
    <row r="30" spans="1:11">
      <c r="A30" s="217"/>
      <c r="B30" s="218" t="s">
        <v>270</v>
      </c>
      <c r="C30" s="219" t="s">
        <v>271</v>
      </c>
      <c r="D30" s="220" t="s">
        <v>272</v>
      </c>
      <c r="E30" s="219" t="s">
        <v>273</v>
      </c>
      <c r="F30" s="220" t="s">
        <v>274</v>
      </c>
      <c r="G30" s="221" t="s">
        <v>275</v>
      </c>
      <c r="H30" s="187"/>
      <c r="I30" s="187"/>
      <c r="J30" s="187"/>
      <c r="K30" s="187"/>
    </row>
    <row r="31" spans="1:11">
      <c r="A31" s="196" t="s">
        <v>276</v>
      </c>
      <c r="B31" s="222">
        <f>SUM(B8:B29)</f>
        <v>0</v>
      </c>
      <c r="C31" s="222">
        <f>AVERAGE(C8:C29,"0")</f>
        <v>0</v>
      </c>
      <c r="D31" s="222">
        <f>SUM(D8:D29)</f>
        <v>0</v>
      </c>
      <c r="E31" s="222" t="str">
        <f>IFERROR(F31/D31,"")</f>
        <v/>
      </c>
      <c r="F31" s="222">
        <f>SUM(F8:F29)</f>
        <v>0</v>
      </c>
      <c r="G31" s="223" t="e">
        <f>AVERAGE(G8:G29)</f>
        <v>#DIV/0!</v>
      </c>
      <c r="H31" s="187"/>
      <c r="I31" s="187"/>
      <c r="J31" s="187"/>
      <c r="K31" s="187"/>
    </row>
    <row r="32" spans="1:11">
      <c r="A32" s="224"/>
      <c r="B32" s="225"/>
      <c r="C32" s="226" t="s">
        <v>231</v>
      </c>
      <c r="D32" s="226" t="s">
        <v>231</v>
      </c>
      <c r="E32" s="225"/>
      <c r="F32" s="225"/>
      <c r="G32" s="224"/>
      <c r="H32" s="187"/>
      <c r="I32" s="248"/>
      <c r="J32" s="187"/>
      <c r="K32" s="187"/>
    </row>
    <row r="33" spans="1:11">
      <c r="A33" s="227" t="s">
        <v>277</v>
      </c>
      <c r="B33" s="228" t="s">
        <v>231</v>
      </c>
      <c r="C33" s="229" t="s">
        <v>278</v>
      </c>
      <c r="D33" s="230" t="s">
        <v>279</v>
      </c>
      <c r="E33" s="230" t="s">
        <v>280</v>
      </c>
      <c r="F33" s="231" t="s">
        <v>281</v>
      </c>
      <c r="G33" s="232">
        <f>③給料!D14+③給料!I14+③給料!N14+'⑤製造原価 (人）'!D14+'⑤製造原価 (人）'!I14+'⑤製造原価 (人）'!N14</f>
        <v>0</v>
      </c>
      <c r="H33" s="187"/>
      <c r="I33" s="187"/>
      <c r="J33" s="187"/>
      <c r="K33" s="187"/>
    </row>
    <row r="34" ht="21" spans="1:11">
      <c r="A34" s="233" t="s">
        <v>282</v>
      </c>
      <c r="B34" s="234">
        <f>'②⑧MQ（未来）'!F17*1000</f>
        <v>0</v>
      </c>
      <c r="C34" s="235" t="str">
        <f>IFERROR(B31/F31,"")</f>
        <v/>
      </c>
      <c r="D34" s="236"/>
      <c r="E34" s="236" t="s">
        <v>231</v>
      </c>
      <c r="F34" s="237" t="s">
        <v>283</v>
      </c>
      <c r="G34" s="238" t="s">
        <v>284</v>
      </c>
      <c r="H34" s="187"/>
      <c r="I34" s="187"/>
      <c r="J34" s="187"/>
      <c r="K34" s="187"/>
    </row>
    <row r="35" spans="1:11">
      <c r="A35" s="196"/>
      <c r="B35" s="196" t="s">
        <v>231</v>
      </c>
      <c r="C35" s="239" t="s">
        <v>285</v>
      </c>
      <c r="D35" s="230" t="s">
        <v>286</v>
      </c>
      <c r="E35" s="230" t="s">
        <v>287</v>
      </c>
      <c r="F35" s="240" t="s">
        <v>231</v>
      </c>
      <c r="G35" s="241"/>
      <c r="H35" s="187"/>
      <c r="I35" s="187"/>
      <c r="J35" s="187"/>
      <c r="K35" s="187"/>
    </row>
    <row r="36" spans="1:11">
      <c r="A36" s="197" t="s">
        <v>261</v>
      </c>
      <c r="B36" s="197">
        <f>B31</f>
        <v>0</v>
      </c>
      <c r="C36" s="236">
        <v>0</v>
      </c>
      <c r="D36" s="236" t="s">
        <v>231</v>
      </c>
      <c r="E36" s="236">
        <v>0</v>
      </c>
      <c r="F36" s="242" t="e">
        <f>B36/G33</f>
        <v>#DIV/0!</v>
      </c>
      <c r="G36" s="243" t="e">
        <f>F31/G33</f>
        <v>#DIV/0!</v>
      </c>
      <c r="H36" s="187"/>
      <c r="I36" s="187"/>
      <c r="J36" s="187"/>
      <c r="K36" s="187"/>
    </row>
    <row r="37" spans="1:11">
      <c r="A37" s="244"/>
      <c r="B37" s="244"/>
      <c r="C37" s="244"/>
      <c r="D37" s="244"/>
      <c r="E37" s="244"/>
      <c r="F37" s="244"/>
      <c r="G37" s="244"/>
      <c r="H37" s="187"/>
      <c r="I37" s="187"/>
      <c r="J37" s="187"/>
      <c r="K37" s="187"/>
    </row>
    <row r="38" spans="1:11">
      <c r="A38" s="187"/>
      <c r="B38" s="187"/>
      <c r="C38" s="187"/>
      <c r="D38" s="187"/>
      <c r="E38" s="187"/>
      <c r="F38" s="187"/>
      <c r="G38" s="187"/>
      <c r="H38" s="187"/>
      <c r="I38" s="187"/>
      <c r="J38" s="187"/>
      <c r="K38" s="187"/>
    </row>
    <row r="39" spans="1:11">
      <c r="A39" s="187"/>
      <c r="B39" s="187"/>
      <c r="C39" s="187"/>
      <c r="D39" s="187"/>
      <c r="E39" s="187"/>
      <c r="F39" s="187"/>
      <c r="G39" s="187"/>
      <c r="H39" s="187"/>
      <c r="I39" s="187"/>
      <c r="J39" s="187"/>
      <c r="K39" s="187"/>
    </row>
    <row r="40" spans="1:11">
      <c r="A40" s="187"/>
      <c r="B40" s="187"/>
      <c r="C40" s="187"/>
      <c r="D40" s="187"/>
      <c r="E40" s="187"/>
      <c r="F40" s="187"/>
      <c r="G40" s="187"/>
      <c r="H40" s="187"/>
      <c r="I40" s="187"/>
      <c r="J40" s="187"/>
      <c r="K40" s="187"/>
    </row>
    <row r="41" spans="1:11">
      <c r="A41" s="187"/>
      <c r="B41" s="187"/>
      <c r="C41" s="187"/>
      <c r="D41" s="187"/>
      <c r="E41" s="187"/>
      <c r="F41" s="187"/>
      <c r="G41" s="187"/>
      <c r="H41" s="187"/>
      <c r="I41" s="187"/>
      <c r="J41" s="187"/>
      <c r="K41" s="187"/>
    </row>
    <row r="42" spans="1:11">
      <c r="A42" s="187"/>
      <c r="B42" s="187"/>
      <c r="C42" s="187"/>
      <c r="D42" s="187"/>
      <c r="E42" s="187"/>
      <c r="F42" s="187"/>
      <c r="G42" s="187"/>
      <c r="H42" s="187"/>
      <c r="I42" s="187"/>
      <c r="J42" s="187"/>
      <c r="K42" s="187"/>
    </row>
  </sheetData>
  <sheetProtection algorithmName="SHA-512" hashValue="HwpyOKNkMi9h0z6va0HA1W4Sl0RhIDfg3QtyTIfIWBo9uFqB96mDRJ/Uh2UGOa2LzT5F40M1u8m/k29SbXiF8g==" saltValue="5hLfIgHQl3CfCetNEm/VnQ==" spinCount="100000" sheet="1" object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S38"/>
  <sheetViews>
    <sheetView view="pageBreakPreview" zoomScale="80" zoomScaleNormal="100" workbookViewId="0">
      <selection activeCell="A1" sqref="A1:S38"/>
    </sheetView>
  </sheetViews>
  <sheetFormatPr defaultColWidth="8.69523809523809" defaultRowHeight="15"/>
  <cols>
    <col min="1" max="1" width="31.5047619047619" style="170" customWidth="1"/>
    <col min="2" max="2" width="16.2" style="170" customWidth="1"/>
    <col min="3" max="3" width="12.6" style="170" customWidth="1"/>
    <col min="4" max="4" width="29.6" style="170" customWidth="1"/>
    <col min="5" max="5" width="16.8" style="170" customWidth="1"/>
    <col min="6" max="7" width="8.69523809523809" style="170"/>
    <col min="8" max="8" width="14.2" style="170" customWidth="1"/>
    <col min="9" max="9" width="14.8952380952381" style="170" customWidth="1"/>
    <col min="10" max="10" width="11.2" style="170" customWidth="1"/>
    <col min="11" max="11" width="8.69523809523809" style="170"/>
    <col min="12" max="12" width="10.2" style="170" customWidth="1"/>
    <col min="13" max="16384" width="8.69523809523809" style="170"/>
  </cols>
  <sheetData>
    <row r="1" ht="15.75" spans="1:19">
      <c r="A1" s="171" t="s">
        <v>288</v>
      </c>
      <c r="B1" s="172"/>
      <c r="C1" s="173"/>
      <c r="D1" s="171" t="s">
        <v>244</v>
      </c>
      <c r="E1" s="172"/>
      <c r="F1" s="173"/>
      <c r="G1" s="173"/>
      <c r="H1" s="173"/>
      <c r="I1" s="173"/>
      <c r="J1" s="173"/>
      <c r="K1" s="173"/>
      <c r="L1" s="173"/>
      <c r="M1" s="173"/>
      <c r="N1" s="173"/>
      <c r="O1" s="173"/>
      <c r="P1" s="173"/>
      <c r="Q1" s="173"/>
      <c r="R1" s="173"/>
      <c r="S1" s="173"/>
    </row>
    <row r="2" ht="15.75" spans="1:19">
      <c r="A2" s="174" t="s">
        <v>289</v>
      </c>
      <c r="B2" s="175">
        <f>⑦原価詳細!F31</f>
        <v>0</v>
      </c>
      <c r="C2" s="176"/>
      <c r="D2" s="174" t="s">
        <v>289</v>
      </c>
      <c r="E2" s="175">
        <f>スタート!C6*1000000</f>
        <v>0</v>
      </c>
      <c r="F2" s="173"/>
      <c r="G2" s="173"/>
      <c r="H2" s="173" t="s">
        <v>289</v>
      </c>
      <c r="I2" s="173" t="s">
        <v>290</v>
      </c>
      <c r="J2" s="173" t="s">
        <v>291</v>
      </c>
      <c r="K2" s="173" t="s">
        <v>291</v>
      </c>
      <c r="L2" s="173" t="s">
        <v>292</v>
      </c>
      <c r="M2" s="173"/>
      <c r="N2" s="173" t="s">
        <v>289</v>
      </c>
      <c r="O2" s="173" t="s">
        <v>290</v>
      </c>
      <c r="P2" s="173" t="s">
        <v>291</v>
      </c>
      <c r="Q2" s="173" t="s">
        <v>291</v>
      </c>
      <c r="R2" s="173" t="s">
        <v>292</v>
      </c>
      <c r="S2" s="173"/>
    </row>
    <row r="3" ht="15.75" spans="1:19">
      <c r="A3" s="174" t="s">
        <v>293</v>
      </c>
      <c r="B3" s="175">
        <f>'⑥製造（経費)'!I2*1000000</f>
        <v>0</v>
      </c>
      <c r="C3" s="176"/>
      <c r="D3" s="174" t="s">
        <v>293</v>
      </c>
      <c r="E3" s="175">
        <f>スタート!G102*1000000</f>
        <v>0</v>
      </c>
      <c r="F3" s="173"/>
      <c r="G3" s="173"/>
      <c r="H3" s="173">
        <v>0</v>
      </c>
      <c r="I3" s="184">
        <f>B4</f>
        <v>0</v>
      </c>
      <c r="J3" s="185">
        <f>H3-I3</f>
        <v>0</v>
      </c>
      <c r="K3" s="173" t="e">
        <f>IF(J3&gt;0,J3,NA())</f>
        <v>#N/A</v>
      </c>
      <c r="L3" s="173" t="e">
        <f>IF(J3&lt;0,J3,NA())</f>
        <v>#N/A</v>
      </c>
      <c r="M3" s="173"/>
      <c r="N3" s="173">
        <v>0</v>
      </c>
      <c r="O3" s="184">
        <f>E4</f>
        <v>0</v>
      </c>
      <c r="P3" s="185">
        <f>N3-O3</f>
        <v>0</v>
      </c>
      <c r="Q3" s="173" t="e">
        <f>IF(P3&gt;0,P3,NA())</f>
        <v>#N/A</v>
      </c>
      <c r="R3" s="173" t="e">
        <f>IF(P3&lt;0,P3,NA())</f>
        <v>#N/A</v>
      </c>
      <c r="S3" s="173"/>
    </row>
    <row r="4" ht="15.75" spans="1:19">
      <c r="A4" s="174" t="s">
        <v>294</v>
      </c>
      <c r="B4" s="175">
        <f>④経費!I2*1000000</f>
        <v>0</v>
      </c>
      <c r="C4" s="176"/>
      <c r="D4" s="174" t="s">
        <v>294</v>
      </c>
      <c r="E4" s="175">
        <f>スタート!G103*1000000</f>
        <v>0</v>
      </c>
      <c r="F4" s="173"/>
      <c r="G4" s="173"/>
      <c r="H4" s="173">
        <f>B2/6</f>
        <v>0</v>
      </c>
      <c r="I4" s="184" t="e">
        <f>(B4+(B3/B2)*H4)</f>
        <v>#DIV/0!</v>
      </c>
      <c r="J4" s="185" t="e">
        <f t="shared" ref="J4:J9" si="0">H4-I4</f>
        <v>#DIV/0!</v>
      </c>
      <c r="K4" s="173" t="e">
        <f t="shared" ref="K4:K9" si="1">IF(J4&gt;0,J4,NA())</f>
        <v>#DIV/0!</v>
      </c>
      <c r="L4" s="173" t="e">
        <f t="shared" ref="L4:L9" si="2">IF(J4&lt;0,J4,NA())</f>
        <v>#DIV/0!</v>
      </c>
      <c r="M4" s="173"/>
      <c r="N4" s="173">
        <f>E2/6</f>
        <v>0</v>
      </c>
      <c r="O4" s="184" t="e">
        <f>(E4+(E3/E2)*N4)</f>
        <v>#DIV/0!</v>
      </c>
      <c r="P4" s="185" t="e">
        <f t="shared" ref="P4:P9" si="3">N4-O4</f>
        <v>#DIV/0!</v>
      </c>
      <c r="Q4" s="173" t="e">
        <f t="shared" ref="Q4:Q9" si="4">IF(P4&gt;0,P4,NA())</f>
        <v>#DIV/0!</v>
      </c>
      <c r="R4" s="173" t="e">
        <f t="shared" ref="R4:R9" si="5">IF(P4&lt;0,P4,NA())</f>
        <v>#DIV/0!</v>
      </c>
      <c r="S4" s="173"/>
    </row>
    <row r="5" spans="1:19">
      <c r="A5" s="177" t="s">
        <v>295</v>
      </c>
      <c r="B5" s="178" t="e">
        <f>B3/B2</f>
        <v>#DIV/0!</v>
      </c>
      <c r="C5" s="178"/>
      <c r="D5" s="177" t="s">
        <v>295</v>
      </c>
      <c r="E5" s="178" t="e">
        <f>E3/E2</f>
        <v>#DIV/0!</v>
      </c>
      <c r="F5" s="173"/>
      <c r="G5" s="173"/>
      <c r="H5" s="173">
        <f>B2/3</f>
        <v>0</v>
      </c>
      <c r="I5" s="184" t="e">
        <f>(B4+(B3/B2)*H5)</f>
        <v>#DIV/0!</v>
      </c>
      <c r="J5" s="185" t="e">
        <f t="shared" si="0"/>
        <v>#DIV/0!</v>
      </c>
      <c r="K5" s="173" t="e">
        <f t="shared" si="1"/>
        <v>#DIV/0!</v>
      </c>
      <c r="L5" s="173" t="e">
        <f t="shared" si="2"/>
        <v>#DIV/0!</v>
      </c>
      <c r="M5" s="173"/>
      <c r="N5" s="173">
        <f>E2/3</f>
        <v>0</v>
      </c>
      <c r="O5" s="184" t="e">
        <f>(E4+(E3/E2)*N5)</f>
        <v>#DIV/0!</v>
      </c>
      <c r="P5" s="185" t="e">
        <f t="shared" si="3"/>
        <v>#DIV/0!</v>
      </c>
      <c r="Q5" s="173" t="e">
        <f t="shared" si="4"/>
        <v>#DIV/0!</v>
      </c>
      <c r="R5" s="173" t="e">
        <f t="shared" si="5"/>
        <v>#DIV/0!</v>
      </c>
      <c r="S5" s="173"/>
    </row>
    <row r="6" ht="30" customHeight="1" spans="1:19">
      <c r="A6" s="179" t="s">
        <v>296</v>
      </c>
      <c r="B6" s="180" t="e">
        <f>B4/(1-B3/B2)</f>
        <v>#DIV/0!</v>
      </c>
      <c r="C6" s="181"/>
      <c r="D6" s="179" t="s">
        <v>296</v>
      </c>
      <c r="E6" s="182" t="e">
        <f>E4/(1-E3/E2)</f>
        <v>#DIV/0!</v>
      </c>
      <c r="F6" s="173"/>
      <c r="G6" s="173"/>
      <c r="H6" s="173">
        <f>B2/2</f>
        <v>0</v>
      </c>
      <c r="I6" s="184" t="e">
        <f>(B4+(B3/B2)*H6)</f>
        <v>#DIV/0!</v>
      </c>
      <c r="J6" s="185" t="e">
        <f t="shared" si="0"/>
        <v>#DIV/0!</v>
      </c>
      <c r="K6" s="173" t="e">
        <f t="shared" si="1"/>
        <v>#DIV/0!</v>
      </c>
      <c r="L6" s="173" t="e">
        <f t="shared" si="2"/>
        <v>#DIV/0!</v>
      </c>
      <c r="M6" s="173"/>
      <c r="N6" s="173">
        <f>E2/2</f>
        <v>0</v>
      </c>
      <c r="O6" s="184" t="e">
        <f>(E4+(E3/E2)*N6)</f>
        <v>#DIV/0!</v>
      </c>
      <c r="P6" s="185" t="e">
        <f t="shared" si="3"/>
        <v>#DIV/0!</v>
      </c>
      <c r="Q6" s="173" t="e">
        <f t="shared" si="4"/>
        <v>#DIV/0!</v>
      </c>
      <c r="R6" s="173" t="e">
        <f t="shared" si="5"/>
        <v>#DIV/0!</v>
      </c>
      <c r="S6" s="173"/>
    </row>
    <row r="7" spans="1:19">
      <c r="A7" s="173"/>
      <c r="B7" s="173"/>
      <c r="C7" s="173"/>
      <c r="D7" s="173"/>
      <c r="E7" s="173"/>
      <c r="F7" s="173"/>
      <c r="G7" s="173"/>
      <c r="H7" s="173">
        <f>2*B2/3</f>
        <v>0</v>
      </c>
      <c r="I7" s="184" t="e">
        <f>(B4+(B3/B2)*H7)</f>
        <v>#DIV/0!</v>
      </c>
      <c r="J7" s="185" t="e">
        <f t="shared" si="0"/>
        <v>#DIV/0!</v>
      </c>
      <c r="K7" s="173" t="e">
        <f t="shared" si="1"/>
        <v>#DIV/0!</v>
      </c>
      <c r="L7" s="173" t="e">
        <f t="shared" si="2"/>
        <v>#DIV/0!</v>
      </c>
      <c r="M7" s="173"/>
      <c r="N7" s="173">
        <f>2*E2/3</f>
        <v>0</v>
      </c>
      <c r="O7" s="184" t="e">
        <f>(E4+(E3/E2)*N7)</f>
        <v>#DIV/0!</v>
      </c>
      <c r="P7" s="185" t="e">
        <f t="shared" si="3"/>
        <v>#DIV/0!</v>
      </c>
      <c r="Q7" s="173" t="e">
        <f t="shared" si="4"/>
        <v>#DIV/0!</v>
      </c>
      <c r="R7" s="173" t="e">
        <f t="shared" si="5"/>
        <v>#DIV/0!</v>
      </c>
      <c r="S7" s="173"/>
    </row>
    <row r="8" spans="1:19">
      <c r="A8" s="173"/>
      <c r="B8" s="173"/>
      <c r="C8" s="173"/>
      <c r="D8" s="173"/>
      <c r="E8" s="173"/>
      <c r="F8" s="173"/>
      <c r="G8" s="173"/>
      <c r="H8" s="173">
        <f>5*B2/6</f>
        <v>0</v>
      </c>
      <c r="I8" s="184" t="e">
        <f>(B4+(B3/B2)*H8)</f>
        <v>#DIV/0!</v>
      </c>
      <c r="J8" s="185" t="e">
        <f t="shared" si="0"/>
        <v>#DIV/0!</v>
      </c>
      <c r="K8" s="173" t="e">
        <f t="shared" si="1"/>
        <v>#DIV/0!</v>
      </c>
      <c r="L8" s="173" t="e">
        <f t="shared" si="2"/>
        <v>#DIV/0!</v>
      </c>
      <c r="M8" s="173"/>
      <c r="N8" s="173">
        <f>5*E2/6</f>
        <v>0</v>
      </c>
      <c r="O8" s="184" t="e">
        <f>(E4+(E3/E2)*N8)</f>
        <v>#DIV/0!</v>
      </c>
      <c r="P8" s="185" t="e">
        <f t="shared" si="3"/>
        <v>#DIV/0!</v>
      </c>
      <c r="Q8" s="173" t="e">
        <f t="shared" si="4"/>
        <v>#DIV/0!</v>
      </c>
      <c r="R8" s="173" t="e">
        <f t="shared" si="5"/>
        <v>#DIV/0!</v>
      </c>
      <c r="S8" s="173"/>
    </row>
    <row r="9" spans="1:19">
      <c r="A9" s="173"/>
      <c r="B9" s="173"/>
      <c r="C9" s="173"/>
      <c r="D9" s="173"/>
      <c r="E9" s="173"/>
      <c r="F9" s="173"/>
      <c r="G9" s="173"/>
      <c r="H9" s="173">
        <f>B2</f>
        <v>0</v>
      </c>
      <c r="I9" s="184" t="e">
        <f>(B4+(B3/B2)*H9)</f>
        <v>#DIV/0!</v>
      </c>
      <c r="J9" s="185" t="e">
        <f t="shared" si="0"/>
        <v>#DIV/0!</v>
      </c>
      <c r="K9" s="173" t="e">
        <f t="shared" si="1"/>
        <v>#DIV/0!</v>
      </c>
      <c r="L9" s="173" t="e">
        <f t="shared" si="2"/>
        <v>#DIV/0!</v>
      </c>
      <c r="M9" s="173"/>
      <c r="N9" s="173">
        <f>E2</f>
        <v>0</v>
      </c>
      <c r="O9" s="184" t="e">
        <f>(E4+(E3/E2)*N9)</f>
        <v>#DIV/0!</v>
      </c>
      <c r="P9" s="185" t="e">
        <f t="shared" si="3"/>
        <v>#DIV/0!</v>
      </c>
      <c r="Q9" s="173" t="e">
        <f t="shared" si="4"/>
        <v>#DIV/0!</v>
      </c>
      <c r="R9" s="173" t="e">
        <f t="shared" si="5"/>
        <v>#DIV/0!</v>
      </c>
      <c r="S9" s="173"/>
    </row>
    <row r="10" spans="1:19">
      <c r="A10" s="173"/>
      <c r="B10" s="173"/>
      <c r="C10" s="173"/>
      <c r="D10" s="173"/>
      <c r="E10" s="173"/>
      <c r="F10" s="173"/>
      <c r="G10" s="173"/>
      <c r="H10" s="183"/>
      <c r="I10" s="184"/>
      <c r="J10" s="173"/>
      <c r="K10" s="173"/>
      <c r="L10" s="173"/>
      <c r="M10" s="173"/>
      <c r="N10" s="173"/>
      <c r="O10" s="173"/>
      <c r="P10" s="173"/>
      <c r="Q10" s="173"/>
      <c r="R10" s="173"/>
      <c r="S10" s="173"/>
    </row>
    <row r="11" spans="1:19">
      <c r="A11" s="173"/>
      <c r="B11" s="173"/>
      <c r="C11" s="173"/>
      <c r="D11" s="173"/>
      <c r="E11" s="173"/>
      <c r="F11" s="173"/>
      <c r="G11" s="173"/>
      <c r="H11" s="183"/>
      <c r="I11" s="173"/>
      <c r="J11" s="173"/>
      <c r="K11" s="173"/>
      <c r="L11" s="173"/>
      <c r="M11" s="173"/>
      <c r="N11" s="173"/>
      <c r="O11" s="173"/>
      <c r="P11" s="173"/>
      <c r="Q11" s="173"/>
      <c r="R11" s="173"/>
      <c r="S11" s="173"/>
    </row>
    <row r="12" spans="1:19">
      <c r="A12" s="173"/>
      <c r="B12" s="173"/>
      <c r="C12" s="173"/>
      <c r="D12" s="173"/>
      <c r="E12" s="173"/>
      <c r="F12" s="173"/>
      <c r="G12" s="173"/>
      <c r="H12" s="183"/>
      <c r="I12" s="173"/>
      <c r="J12" s="173"/>
      <c r="K12" s="173"/>
      <c r="L12" s="173"/>
      <c r="M12" s="173"/>
      <c r="N12" s="173"/>
      <c r="O12" s="173"/>
      <c r="P12" s="173"/>
      <c r="Q12" s="173"/>
      <c r="R12" s="173"/>
      <c r="S12" s="173"/>
    </row>
    <row r="13" spans="1:19">
      <c r="A13" s="173"/>
      <c r="B13" s="173"/>
      <c r="C13" s="173"/>
      <c r="D13" s="173"/>
      <c r="E13" s="173"/>
      <c r="F13" s="173"/>
      <c r="G13" s="173"/>
      <c r="H13" s="183"/>
      <c r="I13" s="173"/>
      <c r="J13" s="173"/>
      <c r="K13" s="173"/>
      <c r="L13" s="173"/>
      <c r="M13" s="173"/>
      <c r="N13" s="173"/>
      <c r="O13" s="173"/>
      <c r="P13" s="173"/>
      <c r="Q13" s="173"/>
      <c r="R13" s="173"/>
      <c r="S13" s="173"/>
    </row>
    <row r="14" spans="1:19">
      <c r="A14" s="173"/>
      <c r="B14" s="173"/>
      <c r="C14" s="173"/>
      <c r="D14" s="173"/>
      <c r="E14" s="173"/>
      <c r="F14" s="173"/>
      <c r="G14" s="173"/>
      <c r="H14" s="173"/>
      <c r="I14" s="173"/>
      <c r="J14" s="173"/>
      <c r="K14" s="173"/>
      <c r="L14" s="173"/>
      <c r="M14" s="173"/>
      <c r="N14" s="173"/>
      <c r="O14" s="173"/>
      <c r="P14" s="173"/>
      <c r="Q14" s="173"/>
      <c r="R14" s="173"/>
      <c r="S14" s="173"/>
    </row>
    <row r="15" spans="1:19">
      <c r="A15" s="173"/>
      <c r="B15" s="173"/>
      <c r="C15" s="173"/>
      <c r="D15" s="173"/>
      <c r="E15" s="173"/>
      <c r="F15" s="173"/>
      <c r="G15" s="173"/>
      <c r="H15" s="173"/>
      <c r="I15" s="173"/>
      <c r="J15" s="173"/>
      <c r="K15" s="173"/>
      <c r="L15" s="173"/>
      <c r="M15" s="173"/>
      <c r="N15" s="173"/>
      <c r="O15" s="173"/>
      <c r="P15" s="173"/>
      <c r="Q15" s="173"/>
      <c r="R15" s="173"/>
      <c r="S15" s="173"/>
    </row>
    <row r="16" spans="1:19">
      <c r="A16" s="173"/>
      <c r="B16" s="173"/>
      <c r="C16" s="173"/>
      <c r="D16" s="173"/>
      <c r="E16" s="173"/>
      <c r="F16" s="173"/>
      <c r="G16" s="173"/>
      <c r="H16" s="173"/>
      <c r="I16" s="173"/>
      <c r="J16" s="173"/>
      <c r="K16" s="173"/>
      <c r="L16" s="173"/>
      <c r="M16" s="173"/>
      <c r="N16" s="173"/>
      <c r="O16" s="173"/>
      <c r="P16" s="173"/>
      <c r="Q16" s="173"/>
      <c r="R16" s="173"/>
      <c r="S16" s="173"/>
    </row>
    <row r="17" spans="1:19">
      <c r="A17" s="173"/>
      <c r="B17" s="173"/>
      <c r="C17" s="173"/>
      <c r="D17" s="173"/>
      <c r="E17" s="173"/>
      <c r="F17" s="173"/>
      <c r="G17" s="173"/>
      <c r="H17" s="173"/>
      <c r="I17" s="173"/>
      <c r="J17" s="173"/>
      <c r="K17" s="173"/>
      <c r="L17" s="173"/>
      <c r="M17" s="173"/>
      <c r="N17" s="173"/>
      <c r="O17" s="173"/>
      <c r="P17" s="173"/>
      <c r="Q17" s="173"/>
      <c r="R17" s="173"/>
      <c r="S17" s="173"/>
    </row>
    <row r="18" spans="1:19">
      <c r="A18" s="173"/>
      <c r="B18" s="173"/>
      <c r="C18" s="173"/>
      <c r="D18" s="173"/>
      <c r="E18" s="173"/>
      <c r="F18" s="173"/>
      <c r="G18" s="173"/>
      <c r="H18" s="173"/>
      <c r="I18" s="173"/>
      <c r="J18" s="173"/>
      <c r="K18" s="173"/>
      <c r="L18" s="173"/>
      <c r="M18" s="173"/>
      <c r="N18" s="173"/>
      <c r="O18" s="173"/>
      <c r="P18" s="173"/>
      <c r="Q18" s="173"/>
      <c r="R18" s="173"/>
      <c r="S18" s="173"/>
    </row>
    <row r="19" spans="1:19">
      <c r="A19" s="173"/>
      <c r="B19" s="173"/>
      <c r="C19" s="173"/>
      <c r="D19" s="173"/>
      <c r="E19" s="173"/>
      <c r="F19" s="173"/>
      <c r="G19" s="173"/>
      <c r="H19" s="173"/>
      <c r="I19" s="173"/>
      <c r="J19" s="173"/>
      <c r="K19" s="173"/>
      <c r="L19" s="173"/>
      <c r="M19" s="173"/>
      <c r="N19" s="173"/>
      <c r="O19" s="173"/>
      <c r="P19" s="173"/>
      <c r="Q19" s="173"/>
      <c r="R19" s="173"/>
      <c r="S19" s="173"/>
    </row>
    <row r="20" spans="1:19">
      <c r="A20" s="173"/>
      <c r="B20" s="173"/>
      <c r="C20" s="173"/>
      <c r="D20" s="173"/>
      <c r="E20" s="173"/>
      <c r="F20" s="173"/>
      <c r="G20" s="173"/>
      <c r="H20" s="173"/>
      <c r="I20" s="173"/>
      <c r="J20" s="173"/>
      <c r="K20" s="173"/>
      <c r="L20" s="173"/>
      <c r="M20" s="173"/>
      <c r="N20" s="173"/>
      <c r="O20" s="173"/>
      <c r="P20" s="173"/>
      <c r="Q20" s="173"/>
      <c r="R20" s="173"/>
      <c r="S20" s="173"/>
    </row>
    <row r="21" spans="1:19">
      <c r="A21" s="173"/>
      <c r="B21" s="173"/>
      <c r="C21" s="173"/>
      <c r="D21" s="173"/>
      <c r="E21" s="173"/>
      <c r="F21" s="173"/>
      <c r="G21" s="173"/>
      <c r="H21" s="173"/>
      <c r="I21" s="173"/>
      <c r="J21" s="173"/>
      <c r="K21" s="173"/>
      <c r="L21" s="173"/>
      <c r="M21" s="173"/>
      <c r="N21" s="173"/>
      <c r="O21" s="173"/>
      <c r="P21" s="173"/>
      <c r="Q21" s="173"/>
      <c r="R21" s="173"/>
      <c r="S21" s="173"/>
    </row>
    <row r="22" spans="1:19">
      <c r="A22" s="173"/>
      <c r="B22" s="173"/>
      <c r="C22" s="173"/>
      <c r="D22" s="173"/>
      <c r="E22" s="173"/>
      <c r="F22" s="173"/>
      <c r="G22" s="173"/>
      <c r="H22" s="173"/>
      <c r="I22" s="173"/>
      <c r="J22" s="173"/>
      <c r="K22" s="173"/>
      <c r="L22" s="173"/>
      <c r="M22" s="173"/>
      <c r="N22" s="173"/>
      <c r="O22" s="173"/>
      <c r="P22" s="173"/>
      <c r="Q22" s="173"/>
      <c r="R22" s="173"/>
      <c r="S22" s="173"/>
    </row>
    <row r="23" spans="1:19">
      <c r="A23" s="173"/>
      <c r="B23" s="173"/>
      <c r="C23" s="173"/>
      <c r="D23" s="173"/>
      <c r="E23" s="173"/>
      <c r="F23" s="173"/>
      <c r="G23" s="173"/>
      <c r="H23" s="173"/>
      <c r="I23" s="173"/>
      <c r="J23" s="173"/>
      <c r="K23" s="173"/>
      <c r="L23" s="173"/>
      <c r="M23" s="173"/>
      <c r="N23" s="173"/>
      <c r="O23" s="173"/>
      <c r="P23" s="173"/>
      <c r="Q23" s="173"/>
      <c r="R23" s="173"/>
      <c r="S23" s="173"/>
    </row>
    <row r="24" spans="1:19">
      <c r="A24" s="173"/>
      <c r="B24" s="173"/>
      <c r="C24" s="173"/>
      <c r="D24" s="173"/>
      <c r="E24" s="173"/>
      <c r="F24" s="173"/>
      <c r="G24" s="173"/>
      <c r="H24" s="173"/>
      <c r="I24" s="173"/>
      <c r="J24" s="173"/>
      <c r="K24" s="173"/>
      <c r="L24" s="173"/>
      <c r="M24" s="173"/>
      <c r="N24" s="173"/>
      <c r="O24" s="173"/>
      <c r="P24" s="173"/>
      <c r="Q24" s="173"/>
      <c r="R24" s="173"/>
      <c r="S24" s="173"/>
    </row>
    <row r="25" spans="1:19">
      <c r="A25" s="173"/>
      <c r="B25" s="173"/>
      <c r="C25" s="173"/>
      <c r="D25" s="173"/>
      <c r="E25" s="173"/>
      <c r="F25" s="173"/>
      <c r="G25" s="173"/>
      <c r="H25" s="173"/>
      <c r="I25" s="11"/>
      <c r="J25" s="173"/>
      <c r="K25" s="173"/>
      <c r="L25" s="173"/>
      <c r="M25" s="173"/>
      <c r="N25" s="173"/>
      <c r="O25" s="173"/>
      <c r="P25" s="173"/>
      <c r="Q25" s="173"/>
      <c r="R25" s="173"/>
      <c r="S25" s="173"/>
    </row>
    <row r="26" spans="1:19">
      <c r="A26" s="173"/>
      <c r="B26" s="173"/>
      <c r="C26" s="173"/>
      <c r="D26" s="173"/>
      <c r="E26" s="173"/>
      <c r="F26" s="173"/>
      <c r="G26" s="173"/>
      <c r="H26" s="173"/>
      <c r="I26" s="173"/>
      <c r="J26" s="173"/>
      <c r="K26" s="173"/>
      <c r="L26" s="173"/>
      <c r="M26" s="173"/>
      <c r="N26" s="173"/>
      <c r="O26" s="173"/>
      <c r="P26" s="173"/>
      <c r="Q26" s="173"/>
      <c r="R26" s="173"/>
      <c r="S26" s="173"/>
    </row>
    <row r="27" spans="1:19">
      <c r="A27" s="173"/>
      <c r="B27" s="173"/>
      <c r="C27" s="173"/>
      <c r="D27" s="173"/>
      <c r="E27" s="173"/>
      <c r="F27" s="173"/>
      <c r="G27" s="173"/>
      <c r="H27" s="173"/>
      <c r="I27" s="173"/>
      <c r="J27" s="173"/>
      <c r="K27" s="173"/>
      <c r="L27" s="173"/>
      <c r="M27" s="173"/>
      <c r="N27" s="173"/>
      <c r="O27" s="173"/>
      <c r="P27" s="173"/>
      <c r="Q27" s="173"/>
      <c r="R27" s="173"/>
      <c r="S27" s="173"/>
    </row>
    <row r="28" spans="1:19">
      <c r="A28" s="173"/>
      <c r="B28" s="173"/>
      <c r="C28" s="173"/>
      <c r="D28" s="173"/>
      <c r="E28" s="173"/>
      <c r="F28" s="173"/>
      <c r="G28" s="173"/>
      <c r="H28" s="173"/>
      <c r="I28" s="173"/>
      <c r="J28" s="173"/>
      <c r="K28" s="173"/>
      <c r="L28" s="173"/>
      <c r="M28" s="173"/>
      <c r="N28" s="173"/>
      <c r="O28" s="173"/>
      <c r="P28" s="173"/>
      <c r="Q28" s="173"/>
      <c r="R28" s="173"/>
      <c r="S28" s="173"/>
    </row>
    <row r="29" spans="1:19">
      <c r="A29" s="11"/>
      <c r="B29" s="173"/>
      <c r="C29" s="173"/>
      <c r="D29" s="173"/>
      <c r="E29" s="173"/>
      <c r="F29" s="173"/>
      <c r="G29" s="173"/>
      <c r="H29" s="173"/>
      <c r="I29" s="173"/>
      <c r="J29" s="173"/>
      <c r="K29" s="173"/>
      <c r="L29" s="173"/>
      <c r="M29" s="173"/>
      <c r="N29" s="173"/>
      <c r="O29" s="173"/>
      <c r="P29" s="173"/>
      <c r="Q29" s="173"/>
      <c r="R29" s="173"/>
      <c r="S29" s="173"/>
    </row>
    <row r="30" spans="1:19">
      <c r="A30" s="173"/>
      <c r="B30" s="173"/>
      <c r="C30" s="173"/>
      <c r="D30" s="173"/>
      <c r="E30" s="173"/>
      <c r="F30" s="173"/>
      <c r="G30" s="173"/>
      <c r="H30" s="173"/>
      <c r="I30" s="173"/>
      <c r="J30" s="173"/>
      <c r="K30" s="173"/>
      <c r="L30" s="173"/>
      <c r="M30" s="173"/>
      <c r="N30" s="173"/>
      <c r="O30" s="173"/>
      <c r="P30" s="173"/>
      <c r="Q30" s="173"/>
      <c r="R30" s="173"/>
      <c r="S30" s="173"/>
    </row>
    <row r="31" spans="1:19">
      <c r="A31" s="173"/>
      <c r="B31" s="173"/>
      <c r="C31" s="173"/>
      <c r="D31" s="173"/>
      <c r="E31" s="173"/>
      <c r="F31" s="173"/>
      <c r="G31" s="173"/>
      <c r="H31" s="173"/>
      <c r="I31" s="173"/>
      <c r="J31" s="173"/>
      <c r="K31" s="173"/>
      <c r="L31" s="173"/>
      <c r="M31" s="173"/>
      <c r="N31" s="173"/>
      <c r="O31" s="173"/>
      <c r="P31" s="173"/>
      <c r="Q31" s="173"/>
      <c r="R31" s="173"/>
      <c r="S31" s="173"/>
    </row>
    <row r="32" spans="1:19">
      <c r="A32" s="173"/>
      <c r="B32" s="173"/>
      <c r="C32" s="173"/>
      <c r="D32" s="173"/>
      <c r="E32" s="173"/>
      <c r="F32" s="173"/>
      <c r="G32" s="173"/>
      <c r="H32" s="173"/>
      <c r="I32" s="173"/>
      <c r="J32" s="173"/>
      <c r="K32" s="173"/>
      <c r="L32" s="173"/>
      <c r="M32" s="173"/>
      <c r="N32" s="173"/>
      <c r="O32" s="173"/>
      <c r="P32" s="173"/>
      <c r="Q32" s="173"/>
      <c r="R32" s="173"/>
      <c r="S32" s="173"/>
    </row>
    <row r="33" spans="1:19">
      <c r="A33" s="173"/>
      <c r="B33" s="173"/>
      <c r="C33" s="173"/>
      <c r="D33" s="173"/>
      <c r="E33" s="173"/>
      <c r="F33" s="173"/>
      <c r="G33" s="173"/>
      <c r="H33" s="173"/>
      <c r="I33" s="173"/>
      <c r="J33" s="173"/>
      <c r="K33" s="173"/>
      <c r="L33" s="173"/>
      <c r="M33" s="173"/>
      <c r="N33" s="173"/>
      <c r="O33" s="173"/>
      <c r="P33" s="173"/>
      <c r="Q33" s="173"/>
      <c r="R33" s="173"/>
      <c r="S33" s="173"/>
    </row>
    <row r="34" spans="1:19">
      <c r="A34" s="173"/>
      <c r="B34" s="173"/>
      <c r="C34" s="173"/>
      <c r="D34" s="173"/>
      <c r="E34" s="173"/>
      <c r="F34" s="173"/>
      <c r="G34" s="173"/>
      <c r="H34" s="173"/>
      <c r="I34" s="173"/>
      <c r="J34" s="173"/>
      <c r="K34" s="173"/>
      <c r="L34" s="173"/>
      <c r="M34" s="173"/>
      <c r="N34" s="173"/>
      <c r="O34" s="173"/>
      <c r="P34" s="173"/>
      <c r="Q34" s="173"/>
      <c r="R34" s="173"/>
      <c r="S34" s="173"/>
    </row>
    <row r="35" spans="1:19">
      <c r="A35" s="173"/>
      <c r="B35" s="173"/>
      <c r="C35" s="173"/>
      <c r="D35" s="173"/>
      <c r="E35" s="173"/>
      <c r="F35" s="173"/>
      <c r="G35" s="173"/>
      <c r="H35" s="173"/>
      <c r="I35" s="173"/>
      <c r="J35" s="173"/>
      <c r="K35" s="173"/>
      <c r="L35" s="173"/>
      <c r="M35" s="173"/>
      <c r="N35" s="173"/>
      <c r="O35" s="173"/>
      <c r="P35" s="173"/>
      <c r="Q35" s="173"/>
      <c r="R35" s="173"/>
      <c r="S35" s="173"/>
    </row>
    <row r="36" spans="1:19">
      <c r="A36" s="173"/>
      <c r="B36" s="173"/>
      <c r="C36" s="173"/>
      <c r="D36" s="173"/>
      <c r="E36" s="173"/>
      <c r="F36" s="173"/>
      <c r="G36" s="173"/>
      <c r="H36" s="173"/>
      <c r="I36" s="173"/>
      <c r="J36" s="173"/>
      <c r="K36" s="173"/>
      <c r="L36" s="173"/>
      <c r="M36" s="173"/>
      <c r="N36" s="173"/>
      <c r="O36" s="173"/>
      <c r="P36" s="173"/>
      <c r="Q36" s="173"/>
      <c r="R36" s="173"/>
      <c r="S36" s="173"/>
    </row>
    <row r="37" spans="1:19">
      <c r="A37" s="173"/>
      <c r="B37" s="173"/>
      <c r="C37" s="173"/>
      <c r="D37" s="173"/>
      <c r="E37" s="173"/>
      <c r="F37" s="173"/>
      <c r="G37" s="173"/>
      <c r="H37" s="173"/>
      <c r="I37" s="173"/>
      <c r="J37" s="173"/>
      <c r="K37" s="173"/>
      <c r="L37" s="173"/>
      <c r="M37" s="173"/>
      <c r="N37" s="173"/>
      <c r="O37" s="173"/>
      <c r="P37" s="173"/>
      <c r="Q37" s="173"/>
      <c r="R37" s="173"/>
      <c r="S37" s="173"/>
    </row>
    <row r="38" spans="1:19">
      <c r="A38" s="173"/>
      <c r="B38" s="173"/>
      <c r="C38" s="173"/>
      <c r="D38" s="173"/>
      <c r="E38" s="173"/>
      <c r="F38" s="173"/>
      <c r="G38" s="173"/>
      <c r="H38" s="173"/>
      <c r="I38" s="173"/>
      <c r="J38" s="173"/>
      <c r="K38" s="173"/>
      <c r="L38" s="173"/>
      <c r="M38" s="173"/>
      <c r="N38" s="173"/>
      <c r="O38" s="173"/>
      <c r="P38" s="173"/>
      <c r="Q38" s="173"/>
      <c r="R38" s="173"/>
      <c r="S38" s="173"/>
    </row>
  </sheetData>
  <sheetProtection algorithmName="SHA-512" hashValue="7oqZx4WxeoRsOoXsyIzHj7qlLnGFPYnSbcVX4+ApidS4LospKommtbXKaGrHtkdhGM+L0aVCCBEE0U6xj1OgFA==" saltValue="fkh6xw6sU9kLKbnJn0UllA==" spinCount="100000" sheet="1" object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A1:S65"/>
  <sheetViews>
    <sheetView view="pageBreakPreview" zoomScale="60" zoomScaleNormal="90" topLeftCell="A45" workbookViewId="0">
      <selection activeCell="AB99" sqref="AB99"/>
    </sheetView>
  </sheetViews>
  <sheetFormatPr defaultColWidth="9" defaultRowHeight="15"/>
  <cols>
    <col min="1" max="1" width="4.5047619047619" customWidth="1"/>
    <col min="2" max="2" width="13.0952380952381" customWidth="1"/>
    <col min="3" max="3" width="16.6666666666667" customWidth="1"/>
    <col min="4" max="4" width="16.4" customWidth="1"/>
    <col min="5" max="5" width="4.5047619047619" customWidth="1"/>
    <col min="6" max="6" width="15.2" customWidth="1"/>
    <col min="8" max="8" width="15.2" customWidth="1"/>
    <col min="9" max="9" width="5.71428571428571" customWidth="1"/>
    <col min="10" max="10" width="6.42857142857143"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1:19">
      <c r="A1" s="11"/>
      <c r="B1" s="53">
        <f>スタート!C1</f>
        <v>0</v>
      </c>
      <c r="C1" s="54"/>
      <c r="D1" s="54"/>
      <c r="E1" s="54"/>
      <c r="F1" s="54"/>
      <c r="G1" s="54"/>
      <c r="H1" s="55"/>
      <c r="I1" s="11"/>
      <c r="J1" s="11"/>
      <c r="K1" s="11"/>
      <c r="L1" s="11"/>
      <c r="M1" s="11"/>
      <c r="N1" s="11"/>
      <c r="O1" s="11"/>
      <c r="P1" s="11"/>
      <c r="Q1" s="11"/>
      <c r="R1" s="11"/>
      <c r="S1" s="11"/>
    </row>
    <row r="2" ht="38.4" customHeight="1" spans="1:19">
      <c r="A2" s="11"/>
      <c r="B2" s="56">
        <f>スタート!G1</f>
        <v>0</v>
      </c>
      <c r="C2" s="57" t="s">
        <v>297</v>
      </c>
      <c r="D2" s="58"/>
      <c r="E2" s="59" t="s">
        <v>298</v>
      </c>
      <c r="F2" s="11"/>
      <c r="G2" s="11"/>
      <c r="H2" s="11"/>
      <c r="I2" s="11"/>
      <c r="J2" s="11"/>
      <c r="K2" s="126" t="s">
        <v>299</v>
      </c>
      <c r="L2" s="127" t="e">
        <f>C6/C5</f>
        <v>#DIV/0!</v>
      </c>
      <c r="M2" s="11"/>
      <c r="N2" s="11"/>
      <c r="O2" s="11"/>
      <c r="P2" s="11"/>
      <c r="Q2" s="11"/>
      <c r="R2" s="11"/>
      <c r="S2" s="11"/>
    </row>
    <row r="3" ht="31.95" customHeight="1" spans="1:19">
      <c r="A3" s="11"/>
      <c r="B3" s="60" t="s">
        <v>300</v>
      </c>
      <c r="C3" s="61">
        <f>'②⑧MQ（未来）'!B3*1000</f>
        <v>0</v>
      </c>
      <c r="D3" s="62"/>
      <c r="E3" s="11"/>
      <c r="F3" s="63" t="s">
        <v>301</v>
      </c>
      <c r="G3" s="64"/>
      <c r="H3" s="65"/>
      <c r="I3" s="11"/>
      <c r="J3" s="11"/>
      <c r="K3" s="63" t="s">
        <v>302</v>
      </c>
      <c r="L3" s="64"/>
      <c r="M3" s="64"/>
      <c r="N3" s="64"/>
      <c r="O3" s="64"/>
      <c r="P3" s="64"/>
      <c r="Q3" s="64"/>
      <c r="R3" s="65"/>
      <c r="S3" s="11"/>
    </row>
    <row r="4" ht="24" customHeight="1" spans="1:19">
      <c r="A4" s="11"/>
      <c r="B4" s="66"/>
      <c r="C4" s="67" t="s">
        <v>303</v>
      </c>
      <c r="D4" s="68" t="s">
        <v>304</v>
      </c>
      <c r="E4" s="11"/>
      <c r="F4" s="69" t="s">
        <v>248</v>
      </c>
      <c r="G4" s="70" t="s">
        <v>231</v>
      </c>
      <c r="H4" s="71"/>
      <c r="I4" s="11"/>
      <c r="J4" s="11"/>
      <c r="K4" s="128" t="s">
        <v>248</v>
      </c>
      <c r="L4" s="129" t="s">
        <v>231</v>
      </c>
      <c r="M4" s="130" t="s">
        <v>231</v>
      </c>
      <c r="N4" s="131"/>
      <c r="O4" s="11"/>
      <c r="P4" s="132" t="s">
        <v>246</v>
      </c>
      <c r="Q4" s="159" t="s">
        <v>231</v>
      </c>
      <c r="R4" s="160" t="s">
        <v>231</v>
      </c>
      <c r="S4" s="11"/>
    </row>
    <row r="5" ht="24" customHeight="1" spans="1:19">
      <c r="A5" s="11"/>
      <c r="B5" s="72" t="s">
        <v>12</v>
      </c>
      <c r="C5" s="73">
        <f>'MQ（現状）'!B3</f>
        <v>0</v>
      </c>
      <c r="D5" s="74"/>
      <c r="E5" s="11"/>
      <c r="F5" s="75" t="s">
        <v>249</v>
      </c>
      <c r="G5" s="76" t="s">
        <v>303</v>
      </c>
      <c r="H5" s="77" t="s">
        <v>304</v>
      </c>
      <c r="I5" s="11"/>
      <c r="J5" s="11"/>
      <c r="K5" s="133" t="s">
        <v>249</v>
      </c>
      <c r="L5" s="76" t="s">
        <v>303</v>
      </c>
      <c r="M5" s="134" t="s">
        <v>304</v>
      </c>
      <c r="N5" s="131"/>
      <c r="O5" s="11"/>
      <c r="P5" s="135" t="s">
        <v>249</v>
      </c>
      <c r="Q5" s="161" t="s">
        <v>303</v>
      </c>
      <c r="R5" s="162" t="s">
        <v>304</v>
      </c>
      <c r="S5" s="11"/>
    </row>
    <row r="6" ht="24" customHeight="1" spans="1:19">
      <c r="A6" s="11"/>
      <c r="B6" s="78" t="s">
        <v>305</v>
      </c>
      <c r="C6" s="73">
        <f>'②⑧MQ（未来）'!B3</f>
        <v>0</v>
      </c>
      <c r="D6" s="79"/>
      <c r="E6" s="11"/>
      <c r="F6" s="80">
        <f>④経費!K5</f>
        <v>0</v>
      </c>
      <c r="G6" s="81">
        <f>④経費!L5</f>
        <v>0</v>
      </c>
      <c r="H6" s="82"/>
      <c r="I6" s="11"/>
      <c r="J6" s="11"/>
      <c r="K6" s="136">
        <f>'⑥製造（経費)'!K5</f>
        <v>0</v>
      </c>
      <c r="L6" s="137">
        <f>'⑥製造（経費)'!L5</f>
        <v>0</v>
      </c>
      <c r="M6" s="138"/>
      <c r="N6" s="131"/>
      <c r="O6" s="11"/>
      <c r="P6" s="104">
        <f>'⑥製造（経費)'!B5</f>
        <v>0</v>
      </c>
      <c r="Q6" s="154">
        <f>'⑥製造（経費)'!C5</f>
        <v>0</v>
      </c>
      <c r="R6" s="138"/>
      <c r="S6" s="11"/>
    </row>
    <row r="7" ht="24" customHeight="1" spans="1:19">
      <c r="A7" s="11"/>
      <c r="B7" s="72" t="s">
        <v>14</v>
      </c>
      <c r="C7" s="73">
        <f>'②⑧MQ（未来）'!F13</f>
        <v>0</v>
      </c>
      <c r="D7" s="83"/>
      <c r="E7" s="11"/>
      <c r="F7" s="80">
        <f>④経費!K6</f>
        <v>0</v>
      </c>
      <c r="G7" s="81">
        <f>④経費!L6</f>
        <v>0</v>
      </c>
      <c r="H7" s="82"/>
      <c r="I7" s="11"/>
      <c r="J7" s="11"/>
      <c r="K7" s="136">
        <f>'⑥製造（経費)'!K6</f>
        <v>0</v>
      </c>
      <c r="L7" s="137">
        <f>'⑥製造（経費)'!L6</f>
        <v>0</v>
      </c>
      <c r="M7" s="139"/>
      <c r="N7" s="140"/>
      <c r="O7" s="11"/>
      <c r="P7" s="104">
        <f>'⑥製造（経費)'!B6</f>
        <v>0</v>
      </c>
      <c r="Q7" s="154">
        <f>'⑥製造（経費)'!C6</f>
        <v>0</v>
      </c>
      <c r="R7" s="138"/>
      <c r="S7" s="11"/>
    </row>
    <row r="8" ht="24" customHeight="1" spans="1:19">
      <c r="A8" s="11"/>
      <c r="B8" s="72" t="s">
        <v>278</v>
      </c>
      <c r="C8" s="84" t="str">
        <f>IFERROR('②⑧MQ（未来）'!G16,"")</f>
        <v/>
      </c>
      <c r="D8" s="83"/>
      <c r="E8" s="11"/>
      <c r="F8" s="80">
        <f>④経費!K7</f>
        <v>0</v>
      </c>
      <c r="G8" s="81">
        <f>④経費!L7</f>
        <v>0</v>
      </c>
      <c r="H8" s="82"/>
      <c r="I8" s="11"/>
      <c r="J8" s="11"/>
      <c r="K8" s="136">
        <f>'⑥製造（経費)'!K7</f>
        <v>0</v>
      </c>
      <c r="L8" s="137">
        <f>'⑥製造（経費)'!L7</f>
        <v>0</v>
      </c>
      <c r="M8" s="139"/>
      <c r="N8" s="140"/>
      <c r="O8" s="11"/>
      <c r="P8" s="104">
        <f>'⑥製造（経費)'!B7</f>
        <v>0</v>
      </c>
      <c r="Q8" s="154">
        <f>'⑥製造（経費)'!C7</f>
        <v>0</v>
      </c>
      <c r="R8" s="139"/>
      <c r="S8" s="11"/>
    </row>
    <row r="9" ht="24" customHeight="1" spans="1:19">
      <c r="A9" s="11"/>
      <c r="B9" s="72" t="s">
        <v>306</v>
      </c>
      <c r="C9" s="73">
        <f>'②⑧MQ（未来）'!F3</f>
        <v>0</v>
      </c>
      <c r="D9" s="83"/>
      <c r="E9" s="11"/>
      <c r="F9" s="80">
        <f>④経費!K8</f>
        <v>0</v>
      </c>
      <c r="G9" s="81">
        <f>④経費!L8</f>
        <v>0</v>
      </c>
      <c r="H9" s="85"/>
      <c r="I9" s="11"/>
      <c r="J9" s="11"/>
      <c r="K9" s="136">
        <f>'⑥製造（経費)'!K8</f>
        <v>0</v>
      </c>
      <c r="L9" s="137">
        <f>'⑥製造（経費)'!L8</f>
        <v>0</v>
      </c>
      <c r="M9" s="139"/>
      <c r="N9" s="140"/>
      <c r="O9" s="11"/>
      <c r="P9" s="104">
        <f>'⑥製造（経費)'!B8</f>
        <v>0</v>
      </c>
      <c r="Q9" s="154">
        <f>'⑥製造（経費)'!C8</f>
        <v>0</v>
      </c>
      <c r="R9" s="163"/>
      <c r="S9" s="11"/>
    </row>
    <row r="10" ht="24" customHeight="1" spans="1:19">
      <c r="A10" s="11"/>
      <c r="B10" s="72" t="s">
        <v>294</v>
      </c>
      <c r="C10" s="73">
        <f>C11+C12</f>
        <v>0</v>
      </c>
      <c r="D10" s="83"/>
      <c r="E10" s="11"/>
      <c r="F10" s="80">
        <f>④経費!K9</f>
        <v>0</v>
      </c>
      <c r="G10" s="81">
        <f>④経費!L9</f>
        <v>0</v>
      </c>
      <c r="H10" s="85"/>
      <c r="I10" s="11"/>
      <c r="J10" s="11"/>
      <c r="K10" s="136">
        <f>'⑥製造（経費)'!K9</f>
        <v>0</v>
      </c>
      <c r="L10" s="137">
        <f>'⑥製造（経費)'!L9</f>
        <v>0</v>
      </c>
      <c r="M10" s="139"/>
      <c r="N10" s="140"/>
      <c r="O10" s="11"/>
      <c r="P10" s="104">
        <f>'⑥製造（経費)'!B9</f>
        <v>0</v>
      </c>
      <c r="Q10" s="154">
        <f>'⑥製造（経費)'!C9</f>
        <v>0</v>
      </c>
      <c r="R10" s="138"/>
      <c r="S10" s="11"/>
    </row>
    <row r="11" ht="24" customHeight="1" spans="1:19">
      <c r="A11" s="11"/>
      <c r="B11" s="72" t="s">
        <v>307</v>
      </c>
      <c r="C11" s="86">
        <f>C61+G39+G17</f>
        <v>0</v>
      </c>
      <c r="D11" s="87"/>
      <c r="E11" s="11"/>
      <c r="F11" s="80">
        <f>④経費!K10</f>
        <v>0</v>
      </c>
      <c r="G11" s="81">
        <f>④経費!L10</f>
        <v>0</v>
      </c>
      <c r="H11" s="85"/>
      <c r="I11" s="11"/>
      <c r="J11" s="11"/>
      <c r="K11" s="136">
        <f>'⑥製造（経費)'!K10</f>
        <v>0</v>
      </c>
      <c r="L11" s="137">
        <f>'⑥製造（経費)'!L10</f>
        <v>0</v>
      </c>
      <c r="M11" s="139"/>
      <c r="N11" s="140"/>
      <c r="O11" s="11"/>
      <c r="P11" s="104">
        <f>'⑥製造（経費)'!B10</f>
        <v>0</v>
      </c>
      <c r="Q11" s="154">
        <f>'⑥製造（経費)'!C10</f>
        <v>0</v>
      </c>
      <c r="R11" s="138"/>
      <c r="S11" s="11"/>
    </row>
    <row r="12" ht="24" customHeight="1" spans="1:19">
      <c r="A12" s="11"/>
      <c r="B12" s="72" t="s">
        <v>308</v>
      </c>
      <c r="C12" s="73">
        <f>G50</f>
        <v>0</v>
      </c>
      <c r="D12" s="88"/>
      <c r="E12" s="11"/>
      <c r="F12" s="80">
        <f>④経費!K11</f>
        <v>0</v>
      </c>
      <c r="G12" s="81">
        <f>④経費!L11</f>
        <v>0</v>
      </c>
      <c r="H12" s="85"/>
      <c r="I12" s="11"/>
      <c r="J12" s="11"/>
      <c r="K12" s="136">
        <f>'⑥製造（経費)'!K11</f>
        <v>0</v>
      </c>
      <c r="L12" s="137">
        <f>'⑥製造（経費)'!L11</f>
        <v>0</v>
      </c>
      <c r="M12" s="138"/>
      <c r="N12" s="131"/>
      <c r="O12" s="11"/>
      <c r="P12" s="104">
        <f>'⑥製造（経費)'!B11</f>
        <v>0</v>
      </c>
      <c r="Q12" s="154">
        <f>'⑥製造（経費)'!C11</f>
        <v>0</v>
      </c>
      <c r="R12" s="139"/>
      <c r="S12" s="11"/>
    </row>
    <row r="13" ht="24" customHeight="1" spans="1:19">
      <c r="A13" s="11"/>
      <c r="B13" s="72" t="s">
        <v>211</v>
      </c>
      <c r="C13" s="73">
        <f>C6-C9-C10</f>
        <v>0</v>
      </c>
      <c r="D13" s="83"/>
      <c r="E13" s="11"/>
      <c r="F13" s="80">
        <f>④経費!K12</f>
        <v>0</v>
      </c>
      <c r="G13" s="81">
        <f>④経費!L12</f>
        <v>0</v>
      </c>
      <c r="H13" s="85"/>
      <c r="I13" s="11"/>
      <c r="J13" s="11"/>
      <c r="K13" s="136">
        <f>'⑥製造（経費)'!K12</f>
        <v>0</v>
      </c>
      <c r="L13" s="137">
        <f>'⑥製造（経費)'!L12</f>
        <v>0</v>
      </c>
      <c r="M13" s="138"/>
      <c r="N13" s="131"/>
      <c r="O13" s="11"/>
      <c r="P13" s="104">
        <f>'⑥製造（経費)'!B12</f>
        <v>0</v>
      </c>
      <c r="Q13" s="154">
        <f>'⑥製造（経費)'!C12</f>
        <v>0</v>
      </c>
      <c r="R13" s="163"/>
      <c r="S13" s="11"/>
    </row>
    <row r="14" ht="24" customHeight="1" spans="1:19">
      <c r="A14" s="11"/>
      <c r="B14" s="72" t="s">
        <v>204</v>
      </c>
      <c r="C14" s="73">
        <f>①利益!B4</f>
        <v>0</v>
      </c>
      <c r="D14" s="89"/>
      <c r="E14" s="11"/>
      <c r="F14" s="80">
        <f>④経費!K13</f>
        <v>0</v>
      </c>
      <c r="G14" s="81">
        <f>④経費!L13</f>
        <v>0</v>
      </c>
      <c r="H14" s="85"/>
      <c r="I14" s="11"/>
      <c r="J14" s="11"/>
      <c r="K14" s="136">
        <f>'⑥製造（経費)'!K13</f>
        <v>0</v>
      </c>
      <c r="L14" s="137">
        <f>'⑥製造（経費)'!L13</f>
        <v>0</v>
      </c>
      <c r="M14" s="139"/>
      <c r="N14" s="140"/>
      <c r="O14" s="11"/>
      <c r="P14" s="104">
        <f>'⑥製造（経費)'!B13</f>
        <v>0</v>
      </c>
      <c r="Q14" s="154">
        <f>'⑥製造（経費)'!C13</f>
        <v>0</v>
      </c>
      <c r="R14" s="139"/>
      <c r="S14" s="11"/>
    </row>
    <row r="15" ht="24" customHeight="1" spans="1:19">
      <c r="A15" s="11"/>
      <c r="B15" s="72" t="s">
        <v>207</v>
      </c>
      <c r="C15" s="73">
        <f>①利益!B5</f>
        <v>0</v>
      </c>
      <c r="D15" s="83"/>
      <c r="E15" s="11"/>
      <c r="F15" s="80">
        <f>④経費!K14</f>
        <v>0</v>
      </c>
      <c r="G15" s="81">
        <f>④経費!L14</f>
        <v>0</v>
      </c>
      <c r="H15" s="82"/>
      <c r="I15" s="11"/>
      <c r="J15" s="11"/>
      <c r="K15" s="136">
        <f>'⑥製造（経費)'!K14</f>
        <v>0</v>
      </c>
      <c r="L15" s="137">
        <f>'⑥製造（経費)'!L14</f>
        <v>0</v>
      </c>
      <c r="M15" s="139"/>
      <c r="N15" s="140"/>
      <c r="O15" s="11"/>
      <c r="P15" s="104">
        <f>'⑥製造（経費)'!B14</f>
        <v>0</v>
      </c>
      <c r="Q15" s="154">
        <f>'⑥製造（経費)'!C14</f>
        <v>0</v>
      </c>
      <c r="R15" s="139"/>
      <c r="S15" s="11"/>
    </row>
    <row r="16" ht="24" customHeight="1" spans="1:19">
      <c r="A16" s="11"/>
      <c r="B16" s="72" t="s">
        <v>209</v>
      </c>
      <c r="C16" s="73">
        <f>C13+C14-C15</f>
        <v>0</v>
      </c>
      <c r="D16" s="83"/>
      <c r="E16" s="11"/>
      <c r="F16" s="80">
        <f>④経費!K15</f>
        <v>0</v>
      </c>
      <c r="G16" s="81">
        <f>④経費!L15</f>
        <v>0</v>
      </c>
      <c r="H16" s="90"/>
      <c r="I16" s="11"/>
      <c r="J16" s="11"/>
      <c r="K16" s="136">
        <f>'⑥製造（経費)'!K15</f>
        <v>0</v>
      </c>
      <c r="L16" s="137">
        <f>'⑥製造（経費)'!L15</f>
        <v>0</v>
      </c>
      <c r="M16" s="139"/>
      <c r="N16" s="140"/>
      <c r="O16" s="11"/>
      <c r="P16" s="104">
        <f>'⑥製造（経費)'!B15</f>
        <v>0</v>
      </c>
      <c r="Q16" s="154">
        <f>'⑥製造（経費)'!C15</f>
        <v>0</v>
      </c>
      <c r="R16" s="138"/>
      <c r="S16" s="11"/>
    </row>
    <row r="17" ht="24" customHeight="1" spans="1:19">
      <c r="A17" s="11"/>
      <c r="B17" s="72" t="s">
        <v>219</v>
      </c>
      <c r="C17" s="73">
        <f>①利益!I3</f>
        <v>0</v>
      </c>
      <c r="D17" s="83"/>
      <c r="E17" s="11"/>
      <c r="F17" s="91" t="s">
        <v>237</v>
      </c>
      <c r="G17" s="92">
        <f>SUM(G6:G16)</f>
        <v>0</v>
      </c>
      <c r="H17" s="93">
        <f>SUM(H6:H16)</f>
        <v>0</v>
      </c>
      <c r="I17" s="11"/>
      <c r="J17" s="11"/>
      <c r="K17" s="136">
        <f>'⑥製造（経費)'!K16</f>
        <v>0</v>
      </c>
      <c r="L17" s="137">
        <f>'⑥製造（経費)'!L16</f>
        <v>0</v>
      </c>
      <c r="M17" s="139"/>
      <c r="N17" s="140"/>
      <c r="O17" s="11"/>
      <c r="P17" s="104">
        <f>'⑥製造（経費)'!B16</f>
        <v>0</v>
      </c>
      <c r="Q17" s="154">
        <f>'⑥製造（経費)'!C16</f>
        <v>0</v>
      </c>
      <c r="R17" s="138"/>
      <c r="S17" s="11"/>
    </row>
    <row r="18" ht="24" customHeight="1" spans="1:19">
      <c r="A18" s="11"/>
      <c r="B18" s="72" t="s">
        <v>220</v>
      </c>
      <c r="C18" s="73">
        <f>①利益!I4</f>
        <v>0</v>
      </c>
      <c r="D18" s="83"/>
      <c r="E18" s="11"/>
      <c r="F18" s="63" t="s">
        <v>309</v>
      </c>
      <c r="G18" s="64"/>
      <c r="H18" s="65"/>
      <c r="I18" s="11"/>
      <c r="J18" s="11"/>
      <c r="K18" s="136">
        <f>'⑥製造（経費)'!K17</f>
        <v>0</v>
      </c>
      <c r="L18" s="137">
        <f>'⑥製造（経費)'!L17</f>
        <v>0</v>
      </c>
      <c r="M18" s="139"/>
      <c r="N18" s="141"/>
      <c r="O18" s="11"/>
      <c r="P18" s="104">
        <f>'⑥製造（経費)'!B17</f>
        <v>0</v>
      </c>
      <c r="Q18" s="154">
        <f>'⑥製造（経費)'!C17</f>
        <v>0</v>
      </c>
      <c r="R18" s="138"/>
      <c r="S18" s="11"/>
    </row>
    <row r="19" ht="24" customHeight="1" spans="1:19">
      <c r="A19" s="11"/>
      <c r="B19" s="72" t="s">
        <v>310</v>
      </c>
      <c r="C19" s="73">
        <f>C16+C17-C18</f>
        <v>0</v>
      </c>
      <c r="D19" s="94"/>
      <c r="E19" s="11"/>
      <c r="F19" s="75" t="s">
        <v>249</v>
      </c>
      <c r="G19" s="76" t="s">
        <v>303</v>
      </c>
      <c r="H19" s="76" t="s">
        <v>304</v>
      </c>
      <c r="I19" s="11"/>
      <c r="J19" s="11"/>
      <c r="K19" s="136">
        <f>'⑥製造（経費)'!K18</f>
        <v>0</v>
      </c>
      <c r="L19" s="137">
        <f>'⑥製造（経費)'!L18</f>
        <v>0</v>
      </c>
      <c r="M19" s="139"/>
      <c r="N19" s="142"/>
      <c r="O19" s="11"/>
      <c r="P19" s="104">
        <f>'⑥製造（経費)'!B18</f>
        <v>0</v>
      </c>
      <c r="Q19" s="154">
        <f>'⑥製造（経費)'!C18</f>
        <v>0</v>
      </c>
      <c r="R19" s="138"/>
      <c r="S19" s="11"/>
    </row>
    <row r="20" ht="24" customHeight="1" spans="1:19">
      <c r="A20" s="11"/>
      <c r="B20" s="95" t="s">
        <v>311</v>
      </c>
      <c r="C20" s="96">
        <f>C19</f>
        <v>0</v>
      </c>
      <c r="D20" s="96">
        <f>D19</f>
        <v>0</v>
      </c>
      <c r="E20" s="11"/>
      <c r="F20" s="80" t="str">
        <f>④経費!H5</f>
        <v>社員給料</v>
      </c>
      <c r="G20" s="97">
        <f>④経費!I5</f>
        <v>0</v>
      </c>
      <c r="H20" s="98"/>
      <c r="I20" s="11"/>
      <c r="J20" s="11"/>
      <c r="K20" s="136">
        <f>'⑥製造（経費)'!K19</f>
        <v>0</v>
      </c>
      <c r="L20" s="137">
        <f>'⑥製造（経費)'!L19</f>
        <v>0</v>
      </c>
      <c r="M20" s="139"/>
      <c r="N20" s="143"/>
      <c r="O20" s="11"/>
      <c r="P20" s="104">
        <f>'⑥製造（経費)'!B19</f>
        <v>0</v>
      </c>
      <c r="Q20" s="154">
        <f>'⑥製造（経費)'!C19</f>
        <v>0</v>
      </c>
      <c r="R20" s="138"/>
      <c r="S20" s="11"/>
    </row>
    <row r="21" ht="24" customHeight="1" spans="1:19">
      <c r="A21" s="11"/>
      <c r="B21" s="99" t="s">
        <v>246</v>
      </c>
      <c r="C21" s="100" t="s">
        <v>231</v>
      </c>
      <c r="D21" s="83"/>
      <c r="E21" s="11"/>
      <c r="F21" s="80" t="str">
        <f>④経費!H6</f>
        <v>雑給料</v>
      </c>
      <c r="G21" s="97">
        <f>④経費!I6</f>
        <v>0</v>
      </c>
      <c r="H21" s="85"/>
      <c r="I21" s="11"/>
      <c r="J21" s="11"/>
      <c r="K21" s="91" t="s">
        <v>237</v>
      </c>
      <c r="L21" s="92">
        <f>SUM(L6:L20)</f>
        <v>0</v>
      </c>
      <c r="M21" s="93">
        <f>SUM(M10:M20)</f>
        <v>0</v>
      </c>
      <c r="N21" s="143"/>
      <c r="O21" s="11"/>
      <c r="P21" s="104">
        <f>'⑥製造（経費)'!B20</f>
        <v>0</v>
      </c>
      <c r="Q21" s="154">
        <f>'⑥製造（経費)'!C20</f>
        <v>0</v>
      </c>
      <c r="R21" s="139"/>
      <c r="S21" s="11"/>
    </row>
    <row r="22" ht="24" customHeight="1" spans="1:19">
      <c r="A22" s="11"/>
      <c r="B22" s="101" t="s">
        <v>249</v>
      </c>
      <c r="C22" s="102" t="s">
        <v>303</v>
      </c>
      <c r="D22" s="103"/>
      <c r="E22" s="11"/>
      <c r="F22" s="80" t="str">
        <f>④経費!H7</f>
        <v>派遣社員費</v>
      </c>
      <c r="G22" s="97">
        <f>④経費!I7</f>
        <v>0</v>
      </c>
      <c r="H22" s="85"/>
      <c r="I22" s="11"/>
      <c r="J22" s="11"/>
      <c r="K22" s="144" t="s">
        <v>247</v>
      </c>
      <c r="L22" s="145" t="s">
        <v>231</v>
      </c>
      <c r="M22" s="146" t="s">
        <v>231</v>
      </c>
      <c r="N22" s="11"/>
      <c r="O22" s="11"/>
      <c r="P22" s="104">
        <f>'⑥製造（経費)'!B21</f>
        <v>0</v>
      </c>
      <c r="Q22" s="154">
        <f>'⑥製造（経費)'!C21</f>
        <v>0</v>
      </c>
      <c r="R22" s="164"/>
      <c r="S22" s="11"/>
    </row>
    <row r="23" ht="24" customHeight="1" spans="1:19">
      <c r="A23" s="11"/>
      <c r="B23" s="104">
        <f>④経費!B5</f>
        <v>0</v>
      </c>
      <c r="C23" s="105">
        <f>④経費!C5</f>
        <v>0</v>
      </c>
      <c r="D23" s="83"/>
      <c r="E23" s="11"/>
      <c r="F23" s="80">
        <f>④経費!H8</f>
        <v>0</v>
      </c>
      <c r="G23" s="97">
        <f>④経費!I8</f>
        <v>0</v>
      </c>
      <c r="H23" s="85"/>
      <c r="I23" s="11"/>
      <c r="J23" s="11"/>
      <c r="K23" s="133" t="s">
        <v>249</v>
      </c>
      <c r="L23" s="76" t="s">
        <v>303</v>
      </c>
      <c r="M23" s="134" t="s">
        <v>236</v>
      </c>
      <c r="N23" s="11"/>
      <c r="O23" s="11"/>
      <c r="P23" s="104">
        <f>'⑥製造（経費)'!B22</f>
        <v>0</v>
      </c>
      <c r="Q23" s="154">
        <f>'⑥製造（経費)'!C22</f>
        <v>0</v>
      </c>
      <c r="R23" s="165"/>
      <c r="S23" s="11"/>
    </row>
    <row r="24" ht="24" customHeight="1" spans="1:19">
      <c r="A24" s="11"/>
      <c r="B24" s="104">
        <f>④経費!B6</f>
        <v>0</v>
      </c>
      <c r="C24" s="105">
        <f>④経費!C6</f>
        <v>0</v>
      </c>
      <c r="D24" s="94"/>
      <c r="E24" s="11"/>
      <c r="F24" s="80">
        <f>④経費!H9</f>
        <v>0</v>
      </c>
      <c r="G24" s="97">
        <f>④経費!I9</f>
        <v>0</v>
      </c>
      <c r="H24" s="85"/>
      <c r="I24" s="11"/>
      <c r="J24" s="11"/>
      <c r="K24" s="136" t="str">
        <f>'⑥製造（経費)'!H5</f>
        <v>社員給料</v>
      </c>
      <c r="L24" s="137">
        <f>'⑥製造（経費)'!I5</f>
        <v>0</v>
      </c>
      <c r="M24" s="147"/>
      <c r="N24" s="11"/>
      <c r="O24" s="11"/>
      <c r="P24" s="104">
        <f>'⑥製造（経費)'!B23</f>
        <v>0</v>
      </c>
      <c r="Q24" s="154">
        <f>'⑥製造（経費)'!C23</f>
        <v>0</v>
      </c>
      <c r="R24" s="138"/>
      <c r="S24" s="11"/>
    </row>
    <row r="25" ht="24" customHeight="1" spans="1:19">
      <c r="A25" s="11"/>
      <c r="B25" s="104">
        <f>④経費!B7</f>
        <v>0</v>
      </c>
      <c r="C25" s="105">
        <f>④経費!C7</f>
        <v>0</v>
      </c>
      <c r="D25" s="83"/>
      <c r="E25" s="11"/>
      <c r="F25" s="80">
        <f>④経費!H10</f>
        <v>0</v>
      </c>
      <c r="G25" s="97">
        <f>④経費!I10</f>
        <v>0</v>
      </c>
      <c r="H25" s="85"/>
      <c r="I25" s="11"/>
      <c r="J25" s="11"/>
      <c r="K25" s="136" t="str">
        <f>'⑥製造（経費)'!H6</f>
        <v>雑給料</v>
      </c>
      <c r="L25" s="137">
        <f>'⑥製造（経費)'!I6</f>
        <v>0</v>
      </c>
      <c r="M25" s="147"/>
      <c r="N25" s="11"/>
      <c r="O25" s="11"/>
      <c r="P25" s="104">
        <f>'⑥製造（経費)'!B24</f>
        <v>0</v>
      </c>
      <c r="Q25" s="154">
        <f>'⑥製造（経費)'!C24</f>
        <v>0</v>
      </c>
      <c r="R25" s="138"/>
      <c r="S25" s="11"/>
    </row>
    <row r="26" ht="24" customHeight="1" spans="1:19">
      <c r="A26" s="11"/>
      <c r="B26" s="104">
        <f>④経費!B8</f>
        <v>0</v>
      </c>
      <c r="C26" s="105">
        <f>④経費!C8</f>
        <v>0</v>
      </c>
      <c r="D26" s="94"/>
      <c r="E26" s="11"/>
      <c r="F26" s="80">
        <f>④経費!H11</f>
        <v>0</v>
      </c>
      <c r="G26" s="97">
        <f>④経費!I11</f>
        <v>0</v>
      </c>
      <c r="H26" s="85"/>
      <c r="I26" s="11"/>
      <c r="J26" s="11"/>
      <c r="K26" s="136" t="str">
        <f>'⑥製造（経費)'!H7</f>
        <v>派遣社員費</v>
      </c>
      <c r="L26" s="137">
        <f>'⑥製造（経費)'!I7</f>
        <v>0</v>
      </c>
      <c r="M26" s="148"/>
      <c r="N26" s="11"/>
      <c r="O26" s="11"/>
      <c r="P26" s="104">
        <f>'⑥製造（経費)'!B25</f>
        <v>0</v>
      </c>
      <c r="Q26" s="154">
        <f>'⑥製造（経費)'!C25</f>
        <v>0</v>
      </c>
      <c r="R26" s="138"/>
      <c r="S26" s="11"/>
    </row>
    <row r="27" ht="24" customHeight="1" spans="1:19">
      <c r="A27" s="11"/>
      <c r="B27" s="104">
        <f>④経費!B9</f>
        <v>0</v>
      </c>
      <c r="C27" s="105">
        <f>④経費!C9</f>
        <v>0</v>
      </c>
      <c r="D27" s="94"/>
      <c r="E27" s="11"/>
      <c r="F27" s="80">
        <f>④経費!H12</f>
        <v>0</v>
      </c>
      <c r="G27" s="97">
        <f>④経費!I12</f>
        <v>0</v>
      </c>
      <c r="H27" s="85"/>
      <c r="I27" s="11"/>
      <c r="J27" s="11"/>
      <c r="K27" s="136">
        <f>'⑥製造（経費)'!H8</f>
        <v>0</v>
      </c>
      <c r="L27" s="137">
        <f>'⑥製造（経費)'!I8</f>
        <v>0</v>
      </c>
      <c r="M27" s="148"/>
      <c r="N27" s="11"/>
      <c r="O27" s="11"/>
      <c r="P27" s="104">
        <f>'⑥製造（経費)'!B26</f>
        <v>0</v>
      </c>
      <c r="Q27" s="154">
        <f>'⑥製造（経費)'!C26</f>
        <v>0</v>
      </c>
      <c r="R27" s="166"/>
      <c r="S27" s="11"/>
    </row>
    <row r="28" ht="24" customHeight="1" spans="1:19">
      <c r="A28" s="11"/>
      <c r="B28" s="104">
        <f>④経費!B10</f>
        <v>0</v>
      </c>
      <c r="C28" s="105">
        <f>④経費!C10</f>
        <v>0</v>
      </c>
      <c r="D28" s="94"/>
      <c r="E28" s="11"/>
      <c r="F28" s="80">
        <f>④経費!H13</f>
        <v>0</v>
      </c>
      <c r="G28" s="97">
        <f>④経費!I13</f>
        <v>0</v>
      </c>
      <c r="H28" s="85"/>
      <c r="I28" s="11"/>
      <c r="J28" s="11"/>
      <c r="K28" s="136">
        <f>'⑥製造（経費)'!H9</f>
        <v>0</v>
      </c>
      <c r="L28" s="137">
        <f>'⑥製造（経費)'!I9</f>
        <v>0</v>
      </c>
      <c r="M28" s="148"/>
      <c r="N28" s="11"/>
      <c r="O28" s="11"/>
      <c r="P28" s="104">
        <f>'⑥製造（経費)'!B27</f>
        <v>0</v>
      </c>
      <c r="Q28" s="154">
        <f>'⑥製造（経費)'!C27</f>
        <v>0</v>
      </c>
      <c r="R28" s="138"/>
      <c r="S28" s="11"/>
    </row>
    <row r="29" ht="24" customHeight="1" spans="1:19">
      <c r="A29" s="11"/>
      <c r="B29" s="104">
        <f>④経費!B11</f>
        <v>0</v>
      </c>
      <c r="C29" s="105">
        <f>④経費!C11</f>
        <v>0</v>
      </c>
      <c r="D29" s="94"/>
      <c r="E29" s="11"/>
      <c r="F29" s="80">
        <f>④経費!H14</f>
        <v>0</v>
      </c>
      <c r="G29" s="97">
        <f>④経費!I14</f>
        <v>0</v>
      </c>
      <c r="H29" s="85"/>
      <c r="I29" s="11"/>
      <c r="J29" s="11"/>
      <c r="K29" s="136">
        <f>'⑥製造（経費)'!H10</f>
        <v>0</v>
      </c>
      <c r="L29" s="137">
        <f>'⑥製造（経費)'!I10</f>
        <v>0</v>
      </c>
      <c r="M29" s="148"/>
      <c r="N29" s="11"/>
      <c r="O29" s="11"/>
      <c r="P29" s="104">
        <f>'⑥製造（経費)'!B28</f>
        <v>0</v>
      </c>
      <c r="Q29" s="154">
        <f>'⑥製造（経費)'!C28</f>
        <v>0</v>
      </c>
      <c r="R29" s="138"/>
      <c r="S29" s="11"/>
    </row>
    <row r="30" ht="24" customHeight="1" spans="1:19">
      <c r="A30" s="11"/>
      <c r="B30" s="104">
        <f>④経費!B12</f>
        <v>0</v>
      </c>
      <c r="C30" s="105">
        <f>④経費!C12</f>
        <v>0</v>
      </c>
      <c r="D30" s="106"/>
      <c r="E30" s="11"/>
      <c r="F30" s="80">
        <f>④経費!H15</f>
        <v>0</v>
      </c>
      <c r="G30" s="97">
        <f>④経費!I15</f>
        <v>0</v>
      </c>
      <c r="H30" s="85"/>
      <c r="I30" s="11"/>
      <c r="J30" s="11"/>
      <c r="K30" s="136">
        <f>'⑥製造（経費)'!H11</f>
        <v>0</v>
      </c>
      <c r="L30" s="137">
        <f>'⑥製造（経費)'!I11</f>
        <v>0</v>
      </c>
      <c r="M30" s="148"/>
      <c r="N30" s="11"/>
      <c r="O30" s="11"/>
      <c r="P30" s="104">
        <f>'⑥製造（経費)'!B29</f>
        <v>0</v>
      </c>
      <c r="Q30" s="154">
        <f>'⑥製造（経費)'!C29</f>
        <v>0</v>
      </c>
      <c r="R30" s="138"/>
      <c r="S30" s="11"/>
    </row>
    <row r="31" ht="24" customHeight="1" spans="1:19">
      <c r="A31" s="11"/>
      <c r="B31" s="104">
        <f>④経費!B13</f>
        <v>0</v>
      </c>
      <c r="C31" s="105">
        <f>④経費!C13</f>
        <v>0</v>
      </c>
      <c r="D31" s="83"/>
      <c r="E31" s="11"/>
      <c r="F31" s="80">
        <f>④経費!H16</f>
        <v>0</v>
      </c>
      <c r="G31" s="97">
        <f>④経費!I16</f>
        <v>0</v>
      </c>
      <c r="H31" s="85"/>
      <c r="I31" s="11"/>
      <c r="J31" s="11"/>
      <c r="K31" s="136">
        <f>'⑥製造（経費)'!H12</f>
        <v>0</v>
      </c>
      <c r="L31" s="137">
        <f>'⑥製造（経費)'!I12</f>
        <v>0</v>
      </c>
      <c r="M31" s="148"/>
      <c r="N31" s="11"/>
      <c r="O31" s="11"/>
      <c r="P31" s="104">
        <f>'⑥製造（経費)'!B30</f>
        <v>0</v>
      </c>
      <c r="Q31" s="154">
        <f>'⑥製造（経費)'!C30</f>
        <v>0</v>
      </c>
      <c r="R31" s="138"/>
      <c r="S31" s="11"/>
    </row>
    <row r="32" ht="24" customHeight="1" spans="1:19">
      <c r="A32" s="11"/>
      <c r="B32" s="104">
        <f>④経費!B14</f>
        <v>0</v>
      </c>
      <c r="C32" s="105">
        <f>④経費!C14</f>
        <v>0</v>
      </c>
      <c r="D32" s="107"/>
      <c r="E32" s="11"/>
      <c r="F32" s="80">
        <f>④経費!H17</f>
        <v>0</v>
      </c>
      <c r="G32" s="97">
        <f>④経費!I17</f>
        <v>0</v>
      </c>
      <c r="H32" s="85"/>
      <c r="I32" s="11"/>
      <c r="J32" s="11"/>
      <c r="K32" s="136">
        <f>'⑥製造（経費)'!H13</f>
        <v>0</v>
      </c>
      <c r="L32" s="137">
        <f>'⑥製造（経費)'!I13</f>
        <v>0</v>
      </c>
      <c r="M32" s="148"/>
      <c r="N32" s="11"/>
      <c r="O32" s="11"/>
      <c r="P32" s="104">
        <f>'⑥製造（経費)'!B31</f>
        <v>0</v>
      </c>
      <c r="Q32" s="154">
        <f>'⑥製造（経費)'!C31</f>
        <v>0</v>
      </c>
      <c r="R32" s="138"/>
      <c r="S32" s="11"/>
    </row>
    <row r="33" ht="24" customHeight="1" spans="1:19">
      <c r="A33" s="11"/>
      <c r="B33" s="104">
        <f>④経費!B15</f>
        <v>0</v>
      </c>
      <c r="C33" s="105">
        <f>④経費!C15</f>
        <v>0</v>
      </c>
      <c r="D33" s="107"/>
      <c r="E33" s="11"/>
      <c r="F33" s="80">
        <f>④経費!H18</f>
        <v>0</v>
      </c>
      <c r="G33" s="97">
        <f>④経費!I18</f>
        <v>0</v>
      </c>
      <c r="H33" s="85"/>
      <c r="I33" s="11"/>
      <c r="J33" s="11"/>
      <c r="K33" s="136">
        <f>'⑥製造（経費)'!H14</f>
        <v>0</v>
      </c>
      <c r="L33" s="137">
        <f>'⑥製造（経費)'!I14</f>
        <v>0</v>
      </c>
      <c r="M33" s="148"/>
      <c r="N33" s="11"/>
      <c r="O33" s="11"/>
      <c r="P33" s="104">
        <f>'⑥製造（経費)'!B32</f>
        <v>0</v>
      </c>
      <c r="Q33" s="154">
        <f>'⑥製造（経費)'!C32</f>
        <v>0</v>
      </c>
      <c r="R33" s="138"/>
      <c r="S33" s="11"/>
    </row>
    <row r="34" ht="24" customHeight="1" spans="1:19">
      <c r="A34" s="11"/>
      <c r="B34" s="104">
        <f>④経費!B16</f>
        <v>0</v>
      </c>
      <c r="C34" s="105">
        <f>④経費!C16</f>
        <v>0</v>
      </c>
      <c r="D34" s="107"/>
      <c r="E34" s="11"/>
      <c r="F34" s="80">
        <f>④経費!H19</f>
        <v>0</v>
      </c>
      <c r="G34" s="97">
        <f>④経費!I19</f>
        <v>0</v>
      </c>
      <c r="H34" s="85"/>
      <c r="I34" s="11"/>
      <c r="J34" s="11"/>
      <c r="K34" s="136">
        <f>'⑥製造（経費)'!H15</f>
        <v>0</v>
      </c>
      <c r="L34" s="137">
        <f>'⑥製造（経費)'!I15</f>
        <v>0</v>
      </c>
      <c r="M34" s="148"/>
      <c r="N34" s="11"/>
      <c r="O34" s="11"/>
      <c r="P34" s="104">
        <f>'⑥製造（経費)'!B33</f>
        <v>0</v>
      </c>
      <c r="Q34" s="154">
        <f>'⑥製造（経費)'!C33</f>
        <v>0</v>
      </c>
      <c r="R34" s="138"/>
      <c r="S34" s="11"/>
    </row>
    <row r="35" ht="24" customHeight="1" spans="1:19">
      <c r="A35" s="11"/>
      <c r="B35" s="104">
        <f>④経費!B17</f>
        <v>0</v>
      </c>
      <c r="C35" s="105">
        <f>④経費!C17</f>
        <v>0</v>
      </c>
      <c r="D35" s="107"/>
      <c r="E35" s="11"/>
      <c r="F35" s="80">
        <f>④経費!H20</f>
        <v>0</v>
      </c>
      <c r="G35" s="97">
        <f>④経費!I20</f>
        <v>0</v>
      </c>
      <c r="H35" s="85"/>
      <c r="I35" s="11"/>
      <c r="J35" s="11"/>
      <c r="K35" s="149" t="s">
        <v>237</v>
      </c>
      <c r="L35" s="92">
        <f>SUM(L24:L34)</f>
        <v>0</v>
      </c>
      <c r="M35" s="150">
        <f>SUM(M24:M34)</f>
        <v>0</v>
      </c>
      <c r="N35" s="11"/>
      <c r="O35" s="11"/>
      <c r="P35" s="104">
        <f>'⑥製造（経費)'!B34</f>
        <v>0</v>
      </c>
      <c r="Q35" s="154">
        <f>'⑥製造（経費)'!C34</f>
        <v>0</v>
      </c>
      <c r="R35" s="138"/>
      <c r="S35" s="11"/>
    </row>
    <row r="36" ht="24" customHeight="1" spans="1:19">
      <c r="A36" s="11"/>
      <c r="B36" s="104">
        <f>④経費!B18</f>
        <v>0</v>
      </c>
      <c r="C36" s="105">
        <f>④経費!C18</f>
        <v>0</v>
      </c>
      <c r="D36" s="107"/>
      <c r="E36" s="11"/>
      <c r="F36" s="80">
        <f>④経費!H21</f>
        <v>0</v>
      </c>
      <c r="G36" s="97">
        <f>④経費!I21</f>
        <v>0</v>
      </c>
      <c r="H36" s="82"/>
      <c r="I36" s="11"/>
      <c r="J36" s="11"/>
      <c r="K36" s="151" t="s">
        <v>75</v>
      </c>
      <c r="L36" s="152" t="s">
        <v>303</v>
      </c>
      <c r="M36" s="153" t="s">
        <v>231</v>
      </c>
      <c r="N36" s="11"/>
      <c r="O36" s="11"/>
      <c r="P36" s="104">
        <f>'⑥製造（経費)'!B35</f>
        <v>0</v>
      </c>
      <c r="Q36" s="154">
        <f>'⑥製造（経費)'!C35</f>
        <v>0</v>
      </c>
      <c r="R36" s="138"/>
      <c r="S36" s="11"/>
    </row>
    <row r="37" ht="24" customHeight="1" spans="1:19">
      <c r="A37" s="11"/>
      <c r="B37" s="104">
        <f>④経費!B19</f>
        <v>0</v>
      </c>
      <c r="C37" s="105">
        <f>④経費!C19</f>
        <v>0</v>
      </c>
      <c r="D37" s="107"/>
      <c r="E37" s="11"/>
      <c r="F37" s="80">
        <f>④経費!H22</f>
        <v>0</v>
      </c>
      <c r="G37" s="97">
        <f>④経費!I22</f>
        <v>0</v>
      </c>
      <c r="H37" s="108"/>
      <c r="I37" s="11"/>
      <c r="J37" s="11"/>
      <c r="K37" s="104">
        <f>'⑥製造（経費)'!E4</f>
        <v>0</v>
      </c>
      <c r="L37" s="154">
        <f>'⑥製造（経費)'!F4</f>
        <v>0</v>
      </c>
      <c r="M37" s="148"/>
      <c r="N37" s="11"/>
      <c r="O37" s="11"/>
      <c r="P37" s="104">
        <f>'⑥製造（経費)'!B36</f>
        <v>0</v>
      </c>
      <c r="Q37" s="154">
        <f>'⑥製造（経費)'!C36</f>
        <v>0</v>
      </c>
      <c r="R37" s="138"/>
      <c r="S37" s="11"/>
    </row>
    <row r="38" ht="24" customHeight="1" spans="1:19">
      <c r="A38" s="11"/>
      <c r="B38" s="104">
        <f>④経費!B20</f>
        <v>0</v>
      </c>
      <c r="C38" s="105">
        <f>④経費!C20</f>
        <v>0</v>
      </c>
      <c r="D38" s="107"/>
      <c r="E38" s="11"/>
      <c r="F38" s="80">
        <f>④経費!H23</f>
        <v>0</v>
      </c>
      <c r="G38" s="97">
        <f>④経費!I23</f>
        <v>0</v>
      </c>
      <c r="H38" s="82"/>
      <c r="I38" s="11"/>
      <c r="J38" s="11"/>
      <c r="K38" s="104">
        <f>'⑥製造（経費)'!E5</f>
        <v>0</v>
      </c>
      <c r="L38" s="154">
        <f>'⑥製造（経費)'!F5</f>
        <v>0</v>
      </c>
      <c r="M38" s="148"/>
      <c r="N38" s="11"/>
      <c r="O38" s="11"/>
      <c r="P38" s="104">
        <f>'⑥製造（経費)'!B37</f>
        <v>0</v>
      </c>
      <c r="Q38" s="154">
        <f>'⑥製造（経費)'!C37</f>
        <v>0</v>
      </c>
      <c r="R38" s="138"/>
      <c r="S38" s="11"/>
    </row>
    <row r="39" ht="24" customHeight="1" spans="1:19">
      <c r="A39" s="11"/>
      <c r="B39" s="104">
        <f>④経費!B21</f>
        <v>0</v>
      </c>
      <c r="C39" s="105">
        <f>④経費!C21</f>
        <v>0</v>
      </c>
      <c r="D39" s="107"/>
      <c r="E39" s="11"/>
      <c r="F39" s="109" t="s">
        <v>237</v>
      </c>
      <c r="G39" s="110">
        <f>SUM(G20:G38)</f>
        <v>0</v>
      </c>
      <c r="H39" s="111">
        <f>SUM(H30:H38)</f>
        <v>0</v>
      </c>
      <c r="I39" s="11"/>
      <c r="J39" s="11"/>
      <c r="K39" s="104">
        <f>'⑥製造（経費)'!E6</f>
        <v>0</v>
      </c>
      <c r="L39" s="154">
        <f>'⑥製造（経費)'!F6</f>
        <v>0</v>
      </c>
      <c r="M39" s="148"/>
      <c r="N39" s="11"/>
      <c r="O39" s="11"/>
      <c r="P39" s="104">
        <f>'⑥製造（経費)'!B38</f>
        <v>0</v>
      </c>
      <c r="Q39" s="154">
        <f>'⑥製造（経費)'!C38</f>
        <v>0</v>
      </c>
      <c r="R39" s="139"/>
      <c r="S39" s="11"/>
    </row>
    <row r="40" ht="24" customHeight="1" spans="1:19">
      <c r="A40" s="11"/>
      <c r="B40" s="104">
        <f>④経費!B22</f>
        <v>0</v>
      </c>
      <c r="C40" s="105">
        <f>④経費!C22</f>
        <v>0</v>
      </c>
      <c r="D40" s="107"/>
      <c r="E40" s="11"/>
      <c r="F40" s="112" t="s">
        <v>75</v>
      </c>
      <c r="G40" s="113" t="s">
        <v>303</v>
      </c>
      <c r="H40" s="114" t="s">
        <v>304</v>
      </c>
      <c r="I40" s="11"/>
      <c r="J40" s="11"/>
      <c r="K40" s="104">
        <f>'⑥製造（経費)'!E7</f>
        <v>0</v>
      </c>
      <c r="L40" s="154">
        <f>'⑥製造（経費)'!F7</f>
        <v>0</v>
      </c>
      <c r="M40" s="148"/>
      <c r="N40" s="11"/>
      <c r="O40" s="11"/>
      <c r="P40" s="104">
        <f>'⑥製造（経費)'!B39</f>
        <v>0</v>
      </c>
      <c r="Q40" s="154">
        <f>'⑥製造（経費)'!C39</f>
        <v>0</v>
      </c>
      <c r="R40" s="148"/>
      <c r="S40" s="11"/>
    </row>
    <row r="41" ht="24" customHeight="1" spans="1:19">
      <c r="A41" s="11"/>
      <c r="B41" s="104">
        <f>④経費!B23</f>
        <v>0</v>
      </c>
      <c r="C41" s="105">
        <f>④経費!C23</f>
        <v>0</v>
      </c>
      <c r="D41" s="107"/>
      <c r="E41" s="11"/>
      <c r="F41" s="115">
        <f>④経費!E4</f>
        <v>0</v>
      </c>
      <c r="G41" s="116">
        <f>④経費!F4</f>
        <v>0</v>
      </c>
      <c r="H41" s="117"/>
      <c r="I41" s="11"/>
      <c r="J41" s="11"/>
      <c r="K41" s="104">
        <f>'⑥製造（経費)'!E8</f>
        <v>0</v>
      </c>
      <c r="L41" s="154">
        <f>'⑥製造（経費)'!F8</f>
        <v>0</v>
      </c>
      <c r="M41" s="148"/>
      <c r="N41" s="11"/>
      <c r="O41" s="11"/>
      <c r="P41" s="104">
        <f>'⑥製造（経費)'!B40</f>
        <v>0</v>
      </c>
      <c r="Q41" s="154">
        <f>'⑥製造（経費)'!C40</f>
        <v>0</v>
      </c>
      <c r="R41" s="148"/>
      <c r="S41" s="11"/>
    </row>
    <row r="42" ht="24" customHeight="1" spans="1:19">
      <c r="A42" s="11"/>
      <c r="B42" s="104">
        <f>④経費!B24</f>
        <v>0</v>
      </c>
      <c r="C42" s="105">
        <f>④経費!C24</f>
        <v>0</v>
      </c>
      <c r="D42" s="107"/>
      <c r="E42" s="11"/>
      <c r="F42" s="118">
        <f>④経費!E5</f>
        <v>0</v>
      </c>
      <c r="G42" s="119">
        <f>④経費!F5</f>
        <v>0</v>
      </c>
      <c r="H42" s="85"/>
      <c r="I42" s="11"/>
      <c r="J42" s="11"/>
      <c r="K42" s="104">
        <f>'⑥製造（経費)'!E9</f>
        <v>0</v>
      </c>
      <c r="L42" s="154">
        <f>'⑥製造（経費)'!F9</f>
        <v>0</v>
      </c>
      <c r="M42" s="148"/>
      <c r="N42" s="11"/>
      <c r="O42" s="11"/>
      <c r="P42" s="104">
        <f>'⑥製造（経費)'!B41</f>
        <v>0</v>
      </c>
      <c r="Q42" s="154">
        <f>'⑥製造（経費)'!C41</f>
        <v>0</v>
      </c>
      <c r="R42" s="148"/>
      <c r="S42" s="11"/>
    </row>
    <row r="43" ht="24" customHeight="1" spans="1:19">
      <c r="A43" s="11"/>
      <c r="B43" s="104">
        <f>④経費!B25</f>
        <v>0</v>
      </c>
      <c r="C43" s="105">
        <f>④経費!C25</f>
        <v>0</v>
      </c>
      <c r="D43" s="107"/>
      <c r="E43" s="11"/>
      <c r="F43" s="118">
        <f>④経費!E6</f>
        <v>0</v>
      </c>
      <c r="G43" s="119">
        <f>④経費!F6</f>
        <v>0</v>
      </c>
      <c r="H43" s="85"/>
      <c r="I43" s="11"/>
      <c r="J43" s="11"/>
      <c r="K43" s="104">
        <f>'⑥製造（経費)'!E10</f>
        <v>0</v>
      </c>
      <c r="L43" s="154">
        <f>'⑥製造（経費)'!F10</f>
        <v>0</v>
      </c>
      <c r="M43" s="148"/>
      <c r="N43" s="11"/>
      <c r="O43" s="11"/>
      <c r="P43" s="104">
        <f>'⑥製造（経費)'!B42</f>
        <v>0</v>
      </c>
      <c r="Q43" s="154">
        <f>'⑥製造（経費)'!C42</f>
        <v>0</v>
      </c>
      <c r="R43" s="148"/>
      <c r="S43" s="11"/>
    </row>
    <row r="44" ht="24" customHeight="1" spans="1:19">
      <c r="A44" s="11"/>
      <c r="B44" s="104">
        <f>④経費!B26</f>
        <v>0</v>
      </c>
      <c r="C44" s="105">
        <f>④経費!C26</f>
        <v>0</v>
      </c>
      <c r="D44" s="107"/>
      <c r="E44" s="11"/>
      <c r="F44" s="118">
        <f>④経費!E7</f>
        <v>0</v>
      </c>
      <c r="G44" s="119">
        <f>④経費!F7</f>
        <v>0</v>
      </c>
      <c r="H44" s="82"/>
      <c r="I44" s="11"/>
      <c r="J44" s="11"/>
      <c r="K44" s="104">
        <f>'⑥製造（経費)'!E11</f>
        <v>0</v>
      </c>
      <c r="L44" s="154">
        <f>'⑥製造（経費)'!F11</f>
        <v>0</v>
      </c>
      <c r="M44" s="148"/>
      <c r="N44" s="11"/>
      <c r="O44" s="11"/>
      <c r="P44" s="123" t="s">
        <v>237</v>
      </c>
      <c r="Q44" s="124">
        <f>SUM(Q6:Q43)</f>
        <v>0</v>
      </c>
      <c r="R44" s="167">
        <f>SUM(R6:R43)</f>
        <v>0</v>
      </c>
      <c r="S44" s="11"/>
    </row>
    <row r="45" ht="24" customHeight="1" spans="1:19">
      <c r="A45" s="11"/>
      <c r="B45" s="104">
        <f>④経費!B27</f>
        <v>0</v>
      </c>
      <c r="C45" s="105">
        <f>④経費!C27</f>
        <v>0</v>
      </c>
      <c r="D45" s="107"/>
      <c r="E45" s="11"/>
      <c r="F45" s="118">
        <f>④経費!E8</f>
        <v>0</v>
      </c>
      <c r="G45" s="119">
        <f>④経費!F8</f>
        <v>0</v>
      </c>
      <c r="H45" s="108"/>
      <c r="I45" s="11"/>
      <c r="J45" s="11"/>
      <c r="K45" s="104">
        <f>'⑥製造（経費)'!E12</f>
        <v>0</v>
      </c>
      <c r="L45" s="154">
        <f>'⑥製造（経費)'!F12</f>
        <v>0</v>
      </c>
      <c r="M45" s="148"/>
      <c r="N45" s="11"/>
      <c r="O45" s="11"/>
      <c r="P45" s="155"/>
      <c r="Q45" s="131"/>
      <c r="R45" s="11"/>
      <c r="S45" s="11"/>
    </row>
    <row r="46" ht="24" customHeight="1" spans="1:19">
      <c r="A46" s="11"/>
      <c r="B46" s="104">
        <f>④経費!B28</f>
        <v>0</v>
      </c>
      <c r="C46" s="105">
        <f>④経費!C28</f>
        <v>0</v>
      </c>
      <c r="D46" s="107"/>
      <c r="E46" s="11"/>
      <c r="F46" s="118">
        <f>④経費!E9</f>
        <v>0</v>
      </c>
      <c r="G46" s="119">
        <f>④経費!F9</f>
        <v>0</v>
      </c>
      <c r="H46" s="82"/>
      <c r="I46" s="11"/>
      <c r="J46" s="11"/>
      <c r="K46" s="156" t="s">
        <v>237</v>
      </c>
      <c r="L46" s="157">
        <f>SUM(L37:L45)</f>
        <v>0</v>
      </c>
      <c r="M46" s="158">
        <f>SUM(M37:M45)</f>
        <v>0</v>
      </c>
      <c r="N46" s="11"/>
      <c r="O46" s="11"/>
      <c r="P46" s="155"/>
      <c r="Q46" s="131"/>
      <c r="R46" s="11"/>
      <c r="S46" s="11"/>
    </row>
    <row r="47" ht="24" customHeight="1" spans="1:19">
      <c r="A47" s="11"/>
      <c r="B47" s="104">
        <f>④経費!B29</f>
        <v>0</v>
      </c>
      <c r="C47" s="105">
        <f>④経費!C29</f>
        <v>0</v>
      </c>
      <c r="D47" s="107"/>
      <c r="E47" s="11"/>
      <c r="F47" s="118">
        <f>④経費!E10</f>
        <v>0</v>
      </c>
      <c r="G47" s="119">
        <f>④経費!F10</f>
        <v>0</v>
      </c>
      <c r="H47" s="85"/>
      <c r="I47" s="11"/>
      <c r="J47" s="11"/>
      <c r="K47" s="11"/>
      <c r="L47" s="11"/>
      <c r="M47" s="11"/>
      <c r="N47" s="11"/>
      <c r="O47" s="11"/>
      <c r="P47" s="155"/>
      <c r="Q47" s="131"/>
      <c r="R47" s="11"/>
      <c r="S47" s="11"/>
    </row>
    <row r="48" ht="24" customHeight="1" spans="1:19">
      <c r="A48" s="11"/>
      <c r="B48" s="104">
        <f>④経費!B30</f>
        <v>0</v>
      </c>
      <c r="C48" s="105">
        <f>④経費!C30</f>
        <v>0</v>
      </c>
      <c r="D48" s="107"/>
      <c r="E48" s="11"/>
      <c r="F48" s="118">
        <f>④経費!E11</f>
        <v>0</v>
      </c>
      <c r="G48" s="119">
        <f>④経費!F11</f>
        <v>0</v>
      </c>
      <c r="H48" s="85"/>
      <c r="I48" s="11"/>
      <c r="J48" s="11"/>
      <c r="K48" s="11"/>
      <c r="L48" s="11"/>
      <c r="M48" s="11"/>
      <c r="N48" s="11"/>
      <c r="O48" s="11"/>
      <c r="P48" s="155"/>
      <c r="Q48" s="131"/>
      <c r="R48" s="11"/>
      <c r="S48" s="11"/>
    </row>
    <row r="49" ht="24" customHeight="1" spans="1:19">
      <c r="A49" s="11"/>
      <c r="B49" s="104">
        <f>④経費!B31</f>
        <v>0</v>
      </c>
      <c r="C49" s="105">
        <f>④経費!C31</f>
        <v>0</v>
      </c>
      <c r="D49" s="107"/>
      <c r="E49" s="11"/>
      <c r="F49" s="118">
        <f>④経費!E12</f>
        <v>0</v>
      </c>
      <c r="G49" s="119">
        <f>④経費!F12</f>
        <v>0</v>
      </c>
      <c r="H49" s="85"/>
      <c r="I49" s="11"/>
      <c r="J49" s="11"/>
      <c r="K49" s="11"/>
      <c r="L49" s="11"/>
      <c r="M49" s="11"/>
      <c r="N49" s="11"/>
      <c r="O49" s="11"/>
      <c r="P49" s="155"/>
      <c r="Q49" s="131"/>
      <c r="R49" s="11"/>
      <c r="S49" s="11"/>
    </row>
    <row r="50" ht="24" customHeight="1" spans="1:19">
      <c r="A50" s="11"/>
      <c r="B50" s="104">
        <f>④経費!B32</f>
        <v>0</v>
      </c>
      <c r="C50" s="105">
        <f>④経費!C32</f>
        <v>0</v>
      </c>
      <c r="D50" s="107"/>
      <c r="E50" s="11"/>
      <c r="F50" s="120" t="s">
        <v>237</v>
      </c>
      <c r="G50" s="92">
        <f>SUM(G41:G49)</f>
        <v>0</v>
      </c>
      <c r="H50" s="93">
        <f>SUM(H41:H49)</f>
        <v>0</v>
      </c>
      <c r="I50" s="11"/>
      <c r="J50" s="11"/>
      <c r="K50" s="11"/>
      <c r="L50" s="11"/>
      <c r="M50" s="11"/>
      <c r="N50" s="11"/>
      <c r="O50" s="11"/>
      <c r="P50" s="155"/>
      <c r="Q50" s="131"/>
      <c r="R50" s="11"/>
      <c r="S50" s="11"/>
    </row>
    <row r="51" ht="24" customHeight="1" spans="1:19">
      <c r="A51" s="11"/>
      <c r="B51" s="104">
        <f>④経費!B33</f>
        <v>0</v>
      </c>
      <c r="C51" s="105">
        <f>④経費!C33</f>
        <v>0</v>
      </c>
      <c r="D51" s="107"/>
      <c r="E51" s="11"/>
      <c r="F51" s="121"/>
      <c r="G51" s="122"/>
      <c r="H51" s="122"/>
      <c r="I51" s="11"/>
      <c r="J51" s="11"/>
      <c r="K51" s="11"/>
      <c r="L51" s="11"/>
      <c r="M51" s="11"/>
      <c r="N51" s="11"/>
      <c r="O51" s="11"/>
      <c r="P51" s="155"/>
      <c r="Q51" s="131"/>
      <c r="R51" s="11"/>
      <c r="S51" s="11"/>
    </row>
    <row r="52" ht="24" customHeight="1" spans="1:19">
      <c r="A52" s="11"/>
      <c r="B52" s="104">
        <f>④経費!B34</f>
        <v>0</v>
      </c>
      <c r="C52" s="105">
        <f>④経費!C34</f>
        <v>0</v>
      </c>
      <c r="D52" s="107"/>
      <c r="E52" s="11"/>
      <c r="F52" s="11"/>
      <c r="G52" s="11"/>
      <c r="H52" s="11"/>
      <c r="I52" s="11"/>
      <c r="J52" s="11"/>
      <c r="K52" s="11"/>
      <c r="L52" s="11"/>
      <c r="M52" s="11"/>
      <c r="N52" s="11"/>
      <c r="O52" s="11"/>
      <c r="P52" s="155"/>
      <c r="Q52" s="131"/>
      <c r="R52" s="11"/>
      <c r="S52" s="11"/>
    </row>
    <row r="53" ht="24" customHeight="1" spans="1:19">
      <c r="A53" s="11"/>
      <c r="B53" s="104">
        <f>④経費!B35</f>
        <v>0</v>
      </c>
      <c r="C53" s="105">
        <f>④経費!C35</f>
        <v>0</v>
      </c>
      <c r="D53" s="107"/>
      <c r="E53" s="11"/>
      <c r="F53" s="11"/>
      <c r="G53" s="11"/>
      <c r="H53" s="11"/>
      <c r="I53" s="11"/>
      <c r="J53" s="11"/>
      <c r="K53" s="11"/>
      <c r="L53" s="11"/>
      <c r="M53" s="11"/>
      <c r="N53" s="11"/>
      <c r="O53" s="11"/>
      <c r="P53" s="155"/>
      <c r="Q53" s="131"/>
      <c r="R53" s="11"/>
      <c r="S53" s="11"/>
    </row>
    <row r="54" ht="24" customHeight="1" spans="1:19">
      <c r="A54" s="11"/>
      <c r="B54" s="104">
        <f>④経費!B36</f>
        <v>0</v>
      </c>
      <c r="C54" s="105">
        <f>④経費!C36</f>
        <v>0</v>
      </c>
      <c r="D54" s="107"/>
      <c r="E54" s="11"/>
      <c r="F54" s="11"/>
      <c r="G54" s="11"/>
      <c r="H54" s="11"/>
      <c r="I54" s="11"/>
      <c r="J54" s="11"/>
      <c r="K54" s="11"/>
      <c r="L54" s="11"/>
      <c r="M54" s="11"/>
      <c r="N54" s="11"/>
      <c r="O54" s="11"/>
      <c r="P54" s="155"/>
      <c r="Q54" s="131"/>
      <c r="R54" s="11"/>
      <c r="S54" s="11"/>
    </row>
    <row r="55" ht="24" customHeight="1" spans="1:19">
      <c r="A55" s="11"/>
      <c r="B55" s="104">
        <f>④経費!B37</f>
        <v>0</v>
      </c>
      <c r="C55" s="105">
        <f>④経費!C37</f>
        <v>0</v>
      </c>
      <c r="D55" s="107"/>
      <c r="E55" s="11"/>
      <c r="F55" s="11"/>
      <c r="G55" s="11"/>
      <c r="H55" s="11"/>
      <c r="I55" s="11"/>
      <c r="J55" s="11"/>
      <c r="K55" s="11"/>
      <c r="L55" s="11"/>
      <c r="M55" s="11"/>
      <c r="N55" s="11"/>
      <c r="O55" s="11"/>
      <c r="P55" s="155"/>
      <c r="Q55" s="131"/>
      <c r="R55" s="11"/>
      <c r="S55" s="11"/>
    </row>
    <row r="56" ht="24" customHeight="1" spans="1:19">
      <c r="A56" s="11"/>
      <c r="B56" s="104">
        <f>④経費!B38</f>
        <v>0</v>
      </c>
      <c r="C56" s="105">
        <f>④経費!C38</f>
        <v>0</v>
      </c>
      <c r="D56" s="107"/>
      <c r="E56" s="11"/>
      <c r="F56" s="11"/>
      <c r="G56" s="11"/>
      <c r="H56" s="11"/>
      <c r="I56" s="11"/>
      <c r="J56" s="11"/>
      <c r="K56" s="11"/>
      <c r="L56" s="11"/>
      <c r="M56" s="11"/>
      <c r="N56" s="11"/>
      <c r="O56" s="11"/>
      <c r="P56" s="155"/>
      <c r="Q56" s="131"/>
      <c r="R56" s="11"/>
      <c r="S56" s="11"/>
    </row>
    <row r="57" ht="24" customHeight="1" spans="1:19">
      <c r="A57" s="11"/>
      <c r="B57" s="104">
        <f>④経費!B39</f>
        <v>0</v>
      </c>
      <c r="C57" s="105">
        <f>④経費!C39</f>
        <v>0</v>
      </c>
      <c r="D57" s="107"/>
      <c r="E57" s="11"/>
      <c r="F57" s="11"/>
      <c r="G57" s="11"/>
      <c r="H57" s="11"/>
      <c r="I57" s="11"/>
      <c r="J57" s="11"/>
      <c r="K57" s="11"/>
      <c r="L57" s="11"/>
      <c r="M57" s="11"/>
      <c r="N57" s="11"/>
      <c r="O57" s="11"/>
      <c r="P57" s="155"/>
      <c r="Q57" s="131"/>
      <c r="R57" s="11"/>
      <c r="S57" s="11"/>
    </row>
    <row r="58" ht="24" customHeight="1" spans="1:19">
      <c r="A58" s="11"/>
      <c r="B58" s="104">
        <f>④経費!B40</f>
        <v>0</v>
      </c>
      <c r="C58" s="105">
        <f>④経費!C40</f>
        <v>0</v>
      </c>
      <c r="D58" s="107"/>
      <c r="E58" s="11"/>
      <c r="F58" s="11"/>
      <c r="G58" s="11"/>
      <c r="H58" s="11"/>
      <c r="I58" s="11"/>
      <c r="J58" s="11"/>
      <c r="K58" s="11"/>
      <c r="L58" s="11"/>
      <c r="M58" s="11"/>
      <c r="N58" s="11"/>
      <c r="O58" s="11"/>
      <c r="P58" s="155"/>
      <c r="Q58" s="131"/>
      <c r="R58" s="11"/>
      <c r="S58" s="11"/>
    </row>
    <row r="59" ht="24" customHeight="1" spans="1:19">
      <c r="A59" s="11"/>
      <c r="B59" s="104">
        <f>④経費!B41</f>
        <v>0</v>
      </c>
      <c r="C59" s="105">
        <f>④経費!C41</f>
        <v>0</v>
      </c>
      <c r="D59" s="107"/>
      <c r="E59" s="11"/>
      <c r="F59" s="11"/>
      <c r="G59" s="11"/>
      <c r="H59" s="11"/>
      <c r="I59" s="11"/>
      <c r="J59" s="11"/>
      <c r="K59" s="11"/>
      <c r="L59" s="11"/>
      <c r="M59" s="11"/>
      <c r="N59" s="11"/>
      <c r="O59" s="11"/>
      <c r="P59" s="155"/>
      <c r="Q59" s="131"/>
      <c r="R59" s="11"/>
      <c r="S59" s="11"/>
    </row>
    <row r="60" ht="24" customHeight="1" spans="1:19">
      <c r="A60" s="11"/>
      <c r="B60" s="104">
        <f>④経費!B42</f>
        <v>0</v>
      </c>
      <c r="C60" s="105">
        <f>④経費!C42</f>
        <v>0</v>
      </c>
      <c r="D60" s="107"/>
      <c r="E60" s="11"/>
      <c r="F60" s="11"/>
      <c r="G60" s="11"/>
      <c r="H60" s="11"/>
      <c r="I60" s="11"/>
      <c r="J60" s="11"/>
      <c r="K60" s="11"/>
      <c r="L60" s="11"/>
      <c r="M60" s="11"/>
      <c r="N60" s="11"/>
      <c r="O60" s="11"/>
      <c r="P60" s="155"/>
      <c r="Q60" s="131"/>
      <c r="R60" s="11"/>
      <c r="S60" s="11"/>
    </row>
    <row r="61" ht="24" customHeight="1" spans="1:19">
      <c r="A61" s="11"/>
      <c r="B61" s="123" t="s">
        <v>237</v>
      </c>
      <c r="C61" s="124">
        <f>SUM(C23:C60)</f>
        <v>0</v>
      </c>
      <c r="D61" s="125">
        <f>SUM(D23:D60)</f>
        <v>0</v>
      </c>
      <c r="E61" s="11"/>
      <c r="F61" s="11"/>
      <c r="G61" s="11"/>
      <c r="H61" s="11"/>
      <c r="I61" s="11"/>
      <c r="J61" s="11"/>
      <c r="K61" s="11"/>
      <c r="L61" s="11"/>
      <c r="M61" s="11"/>
      <c r="N61" s="11"/>
      <c r="O61" s="11"/>
      <c r="P61" s="155"/>
      <c r="Q61" s="131"/>
      <c r="R61" s="11"/>
      <c r="S61" s="11"/>
    </row>
    <row r="62" spans="1:19">
      <c r="A62" s="11"/>
      <c r="B62" s="11"/>
      <c r="C62" s="11"/>
      <c r="D62" s="11"/>
      <c r="E62" s="11"/>
      <c r="F62" s="11"/>
      <c r="G62" s="11"/>
      <c r="H62" s="11"/>
      <c r="I62" s="11"/>
      <c r="J62" s="11"/>
      <c r="K62" s="11"/>
      <c r="L62" s="11"/>
      <c r="M62" s="11"/>
      <c r="N62" s="11"/>
      <c r="O62" s="11"/>
      <c r="P62" s="155"/>
      <c r="Q62" s="131"/>
      <c r="R62" s="11"/>
      <c r="S62" s="11"/>
    </row>
    <row r="63" spans="1:19">
      <c r="A63" s="11"/>
      <c r="B63" s="11"/>
      <c r="C63" s="11"/>
      <c r="D63" s="11"/>
      <c r="E63" s="11"/>
      <c r="F63" s="11"/>
      <c r="G63" s="11"/>
      <c r="H63" s="11"/>
      <c r="I63" s="11"/>
      <c r="J63" s="11"/>
      <c r="K63" s="11"/>
      <c r="L63" s="11"/>
      <c r="M63" s="11"/>
      <c r="N63" s="11"/>
      <c r="O63" s="11"/>
      <c r="P63" s="155"/>
      <c r="Q63" s="131"/>
      <c r="R63" s="11"/>
      <c r="S63" s="11"/>
    </row>
    <row r="64" spans="1:19">
      <c r="A64" s="11"/>
      <c r="B64" s="11"/>
      <c r="C64" s="11"/>
      <c r="D64" s="11"/>
      <c r="E64" s="11"/>
      <c r="F64" s="11"/>
      <c r="G64" s="11"/>
      <c r="H64" s="11"/>
      <c r="I64" s="11"/>
      <c r="J64" s="11"/>
      <c r="K64" s="11"/>
      <c r="L64" s="11"/>
      <c r="M64" s="11"/>
      <c r="N64" s="11"/>
      <c r="O64" s="11"/>
      <c r="P64" s="155"/>
      <c r="Q64" s="131"/>
      <c r="R64" s="11"/>
      <c r="S64" s="11"/>
    </row>
    <row r="65" spans="16:17">
      <c r="P65" s="168"/>
      <c r="Q65" s="169"/>
    </row>
  </sheetData>
  <sheetProtection algorithmName="SHA-512" hashValue="HWSY+zsF8EvYLcQTROuDzWDElVt2yM5GZFCWLsIWBisdNKSTAbS1mv2KHEEPSS4CcnbvvVIQLdbyzx+8jGLavA==" saltValue="E47YG20wXGuLGnPGkRYo6A==" spinCount="100000" sheet="1" objects="1"/>
  <mergeCells count="5">
    <mergeCell ref="B1:H1"/>
    <mergeCell ref="C3:D3"/>
    <mergeCell ref="F3:H3"/>
    <mergeCell ref="K3:R3"/>
    <mergeCell ref="F18:H18"/>
  </mergeCells>
  <pageMargins left="0.7" right="0.7" top="0.75" bottom="0.75" header="0.3" footer="0.3"/>
  <pageSetup paperSize="8" scale="72"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view="pageBreakPreview" zoomScale="85" zoomScaleNormal="70" topLeftCell="A34" workbookViewId="0">
      <selection activeCell="A1" sqref="A1:AB49"/>
    </sheetView>
  </sheetViews>
  <sheetFormatPr defaultColWidth="8.09523809523809" defaultRowHeight="13.5"/>
  <cols>
    <col min="1" max="1" width="19.8380952380952" style="16" customWidth="1"/>
    <col min="2" max="2" width="14.6952380952381" style="16" customWidth="1"/>
    <col min="3" max="3" width="5.4" style="17" customWidth="1"/>
    <col min="4" max="27" width="7.8952380952381" style="16" customWidth="1"/>
    <col min="28" max="16384" width="8.09523809523809" style="16"/>
  </cols>
  <sheetData>
    <row r="1" s="15" customFormat="1" ht="15" spans="1:28">
      <c r="A1" s="18" t="s">
        <v>265</v>
      </c>
      <c r="B1" s="18" t="s">
        <v>312</v>
      </c>
      <c r="C1" s="18" t="s">
        <v>231</v>
      </c>
      <c r="D1" s="19">
        <f>進捗実績値入力シート!D2</f>
        <v>0</v>
      </c>
      <c r="E1" s="20"/>
      <c r="F1" s="19" t="str">
        <f>TEXT(EDATE($D$1,1),"m")&amp;"月"</f>
        <v>1月</v>
      </c>
      <c r="G1" s="20" t="s">
        <v>231</v>
      </c>
      <c r="H1" s="19" t="str">
        <f>TEXT(EDATE($D$1,2),"m")&amp;"月"</f>
        <v>2月</v>
      </c>
      <c r="I1" s="20" t="s">
        <v>231</v>
      </c>
      <c r="J1" s="19" t="str">
        <f>TEXT(EDATE($D$1,3),"m")&amp;"月"</f>
        <v>3月</v>
      </c>
      <c r="K1" s="20" t="s">
        <v>231</v>
      </c>
      <c r="L1" s="19" t="str">
        <f>TEXT(EDATE($D$1,4),"m")&amp;"月"</f>
        <v>4月</v>
      </c>
      <c r="M1" s="20" t="s">
        <v>231</v>
      </c>
      <c r="N1" s="19" t="str">
        <f>TEXT(EDATE($D$1,5),"m")&amp;"月"</f>
        <v>5月</v>
      </c>
      <c r="O1" s="20" t="s">
        <v>231</v>
      </c>
      <c r="P1" s="19" t="str">
        <f>TEXT(EDATE($D$1,6),"m")&amp;"月"</f>
        <v>6月</v>
      </c>
      <c r="Q1" s="20" t="s">
        <v>231</v>
      </c>
      <c r="R1" s="19" t="str">
        <f>TEXT(EDATE($D$1,7),"m")&amp;"月"</f>
        <v>7月</v>
      </c>
      <c r="S1" s="20" t="s">
        <v>231</v>
      </c>
      <c r="T1" s="19" t="str">
        <f>TEXT(EDATE($D$1,8),"m")&amp;"月"</f>
        <v>8月</v>
      </c>
      <c r="U1" s="20" t="s">
        <v>231</v>
      </c>
      <c r="V1" s="19" t="str">
        <f>TEXT(EDATE($D$1,9),"m")&amp;"月"</f>
        <v>9月</v>
      </c>
      <c r="W1" s="20" t="s">
        <v>231</v>
      </c>
      <c r="X1" s="19" t="str">
        <f>TEXT(EDATE($D$1,10),"m")&amp;"月"</f>
        <v>10月</v>
      </c>
      <c r="Y1" s="20" t="s">
        <v>231</v>
      </c>
      <c r="Z1" s="19" t="str">
        <f>TEXT(EDATE($D$1,11),"m")&amp;"月"</f>
        <v>11月</v>
      </c>
      <c r="AA1" s="20" t="s">
        <v>231</v>
      </c>
      <c r="AB1" s="40"/>
    </row>
    <row r="2" s="15" customFormat="1" ht="18" customHeight="1" spans="1:28">
      <c r="A2" s="21" t="s">
        <v>231</v>
      </c>
      <c r="B2" s="22">
        <f>⑦原価詳細!G2</f>
        <v>0</v>
      </c>
      <c r="C2" s="21" t="s">
        <v>231</v>
      </c>
      <c r="D2" s="23" t="s">
        <v>313</v>
      </c>
      <c r="E2" s="24" t="s">
        <v>314</v>
      </c>
      <c r="F2" s="25" t="s">
        <v>313</v>
      </c>
      <c r="G2" s="25" t="s">
        <v>314</v>
      </c>
      <c r="H2" s="25" t="s">
        <v>313</v>
      </c>
      <c r="I2" s="25" t="s">
        <v>314</v>
      </c>
      <c r="J2" s="25" t="s">
        <v>313</v>
      </c>
      <c r="K2" s="25" t="s">
        <v>314</v>
      </c>
      <c r="L2" s="25" t="s">
        <v>313</v>
      </c>
      <c r="M2" s="25" t="s">
        <v>314</v>
      </c>
      <c r="N2" s="25" t="s">
        <v>313</v>
      </c>
      <c r="O2" s="25" t="s">
        <v>314</v>
      </c>
      <c r="P2" s="25" t="s">
        <v>313</v>
      </c>
      <c r="Q2" s="25" t="s">
        <v>314</v>
      </c>
      <c r="R2" s="25" t="s">
        <v>313</v>
      </c>
      <c r="S2" s="25" t="s">
        <v>314</v>
      </c>
      <c r="T2" s="46" t="s">
        <v>313</v>
      </c>
      <c r="U2" s="25" t="s">
        <v>314</v>
      </c>
      <c r="V2" s="25" t="s">
        <v>313</v>
      </c>
      <c r="W2" s="25" t="s">
        <v>314</v>
      </c>
      <c r="X2" s="25" t="s">
        <v>313</v>
      </c>
      <c r="Y2" s="25" t="s">
        <v>314</v>
      </c>
      <c r="Z2" s="25" t="s">
        <v>313</v>
      </c>
      <c r="AA2" s="48" t="s">
        <v>314</v>
      </c>
      <c r="AB2" s="11"/>
    </row>
    <row r="3" s="15" customFormat="1" ht="18" customHeight="1" spans="1:28">
      <c r="A3" s="26" t="str">
        <f>⑦原価詳細!A8</f>
        <v>○○</v>
      </c>
      <c r="B3" s="27">
        <f>⑦原価詳細!F8/1000000</f>
        <v>0</v>
      </c>
      <c r="C3" s="28" t="s">
        <v>303</v>
      </c>
      <c r="D3" s="29"/>
      <c r="E3" s="30">
        <f>D3</f>
        <v>0</v>
      </c>
      <c r="F3" s="31"/>
      <c r="G3" s="30">
        <f>E3+F3</f>
        <v>0</v>
      </c>
      <c r="H3" s="31"/>
      <c r="I3" s="30">
        <f>G3+H3</f>
        <v>0</v>
      </c>
      <c r="J3" s="31"/>
      <c r="K3" s="30">
        <f>I3+J3</f>
        <v>0</v>
      </c>
      <c r="L3" s="31"/>
      <c r="M3" s="30">
        <f>K3+L3</f>
        <v>0</v>
      </c>
      <c r="N3" s="31"/>
      <c r="O3" s="30">
        <f>M3+N3</f>
        <v>0</v>
      </c>
      <c r="P3" s="31"/>
      <c r="Q3" s="30">
        <f>O3+P3</f>
        <v>0</v>
      </c>
      <c r="R3" s="31"/>
      <c r="S3" s="30">
        <f>Q3+R3</f>
        <v>0</v>
      </c>
      <c r="T3" s="47"/>
      <c r="U3" s="30">
        <f>S3+T3</f>
        <v>0</v>
      </c>
      <c r="V3" s="31"/>
      <c r="W3" s="30">
        <f>U3+V3</f>
        <v>0</v>
      </c>
      <c r="X3" s="31"/>
      <c r="Y3" s="30">
        <f>W3+X3</f>
        <v>0</v>
      </c>
      <c r="Z3" s="31"/>
      <c r="AA3" s="49">
        <f>Y3+Z3</f>
        <v>0</v>
      </c>
      <c r="AB3" s="50"/>
    </row>
    <row r="4" s="15" customFormat="1" ht="18" customHeight="1" spans="1:28">
      <c r="A4" s="32" t="s">
        <v>231</v>
      </c>
      <c r="B4" s="33">
        <f>B3-D3-F3-H3-J3-L3-N3-P3-R3-T3-V3-X3-Z3</f>
        <v>0</v>
      </c>
      <c r="C4" s="34" t="s">
        <v>276</v>
      </c>
      <c r="D4" s="35"/>
      <c r="E4" s="36">
        <f>D4</f>
        <v>0</v>
      </c>
      <c r="F4" s="37"/>
      <c r="G4" s="36">
        <f t="shared" ref="G4:G5" si="0">E4+F4</f>
        <v>0</v>
      </c>
      <c r="H4" s="37"/>
      <c r="I4" s="36">
        <f t="shared" ref="I4:I5" si="1">G4+H4</f>
        <v>0</v>
      </c>
      <c r="J4" s="37"/>
      <c r="K4" s="45">
        <f>I4+J4</f>
        <v>0</v>
      </c>
      <c r="L4" s="37"/>
      <c r="M4" s="36">
        <f t="shared" ref="M4:M5" si="2">K4+L4</f>
        <v>0</v>
      </c>
      <c r="N4" s="37"/>
      <c r="O4" s="36">
        <f t="shared" ref="O4:O5" si="3">M4+N4</f>
        <v>0</v>
      </c>
      <c r="P4" s="37"/>
      <c r="Q4" s="36">
        <f t="shared" ref="Q4:Q5" si="4">O4+P4</f>
        <v>0</v>
      </c>
      <c r="R4" s="37"/>
      <c r="S4" s="36">
        <f t="shared" ref="S4:S5" si="5">Q4+R4</f>
        <v>0</v>
      </c>
      <c r="T4" s="37"/>
      <c r="U4" s="36">
        <f t="shared" ref="U4:U5" si="6">S4+T4</f>
        <v>0</v>
      </c>
      <c r="V4" s="37"/>
      <c r="W4" s="36">
        <f t="shared" ref="W4:W5" si="7">U4+V4</f>
        <v>0</v>
      </c>
      <c r="X4" s="37"/>
      <c r="Y4" s="36">
        <f t="shared" ref="Y4:Y5" si="8">W4+X4</f>
        <v>0</v>
      </c>
      <c r="Z4" s="37"/>
      <c r="AA4" s="51">
        <f t="shared" ref="AA4:AA5" si="9">Y4+Z4</f>
        <v>0</v>
      </c>
      <c r="AB4" s="50"/>
    </row>
    <row r="5" s="15" customFormat="1" ht="18" customHeight="1" spans="1:28">
      <c r="A5" s="26" t="str">
        <f>⑦原価詳細!A9</f>
        <v>○○</v>
      </c>
      <c r="B5" s="27">
        <f>⑦原価詳細!F9/1000000</f>
        <v>0</v>
      </c>
      <c r="C5" s="28" t="s">
        <v>303</v>
      </c>
      <c r="D5" s="29"/>
      <c r="E5" s="30">
        <f t="shared" ref="E5:E46" si="10">D5</f>
        <v>0</v>
      </c>
      <c r="F5" s="31"/>
      <c r="G5" s="30">
        <f t="shared" si="0"/>
        <v>0</v>
      </c>
      <c r="H5" s="31"/>
      <c r="I5" s="30">
        <f t="shared" si="1"/>
        <v>0</v>
      </c>
      <c r="J5" s="31"/>
      <c r="K5" s="30">
        <f t="shared" ref="K5:K46" si="11">I5+J5</f>
        <v>0</v>
      </c>
      <c r="L5" s="31"/>
      <c r="M5" s="30">
        <f t="shared" si="2"/>
        <v>0</v>
      </c>
      <c r="N5" s="31"/>
      <c r="O5" s="30">
        <f t="shared" si="3"/>
        <v>0</v>
      </c>
      <c r="P5" s="31"/>
      <c r="Q5" s="30">
        <f t="shared" si="4"/>
        <v>0</v>
      </c>
      <c r="R5" s="31"/>
      <c r="S5" s="30">
        <f t="shared" si="5"/>
        <v>0</v>
      </c>
      <c r="T5" s="47"/>
      <c r="U5" s="30">
        <f t="shared" si="6"/>
        <v>0</v>
      </c>
      <c r="V5" s="31"/>
      <c r="W5" s="30">
        <f t="shared" si="7"/>
        <v>0</v>
      </c>
      <c r="X5" s="31"/>
      <c r="Y5" s="30">
        <f t="shared" si="8"/>
        <v>0</v>
      </c>
      <c r="Z5" s="31"/>
      <c r="AA5" s="49">
        <f t="shared" si="9"/>
        <v>0</v>
      </c>
      <c r="AB5" s="50"/>
    </row>
    <row r="6" s="15" customFormat="1" ht="18" customHeight="1" spans="1:28">
      <c r="A6" s="32" t="s">
        <v>231</v>
      </c>
      <c r="B6" s="33">
        <f>B5-D5-F5-H5-J5-L5-N5-P5-R5-T5-V5-X5-Z5</f>
        <v>0</v>
      </c>
      <c r="C6" s="34" t="s">
        <v>276</v>
      </c>
      <c r="D6" s="35"/>
      <c r="E6" s="36">
        <f t="shared" si="10"/>
        <v>0</v>
      </c>
      <c r="F6" s="37"/>
      <c r="G6" s="36">
        <f t="shared" ref="G6:G46" si="12">E6+F6</f>
        <v>0</v>
      </c>
      <c r="H6" s="37"/>
      <c r="I6" s="36">
        <f t="shared" ref="I6:I46" si="13">G6+H6</f>
        <v>0</v>
      </c>
      <c r="J6" s="37"/>
      <c r="K6" s="45">
        <f t="shared" si="11"/>
        <v>0</v>
      </c>
      <c r="L6" s="37"/>
      <c r="M6" s="36">
        <f t="shared" ref="M6:M46" si="14">K6+L6</f>
        <v>0</v>
      </c>
      <c r="N6" s="37"/>
      <c r="O6" s="36">
        <f t="shared" ref="O6:O46" si="15">M6+N6</f>
        <v>0</v>
      </c>
      <c r="P6" s="37"/>
      <c r="Q6" s="36">
        <f t="shared" ref="Q6:Q46" si="16">O6+P6</f>
        <v>0</v>
      </c>
      <c r="R6" s="37"/>
      <c r="S6" s="36">
        <f t="shared" ref="S6:S46" si="17">Q6+R6</f>
        <v>0</v>
      </c>
      <c r="T6" s="37"/>
      <c r="U6" s="36">
        <f t="shared" ref="U6:U46" si="18">S6+T6</f>
        <v>0</v>
      </c>
      <c r="V6" s="37"/>
      <c r="W6" s="36">
        <f t="shared" ref="W6:W46" si="19">U6+V6</f>
        <v>0</v>
      </c>
      <c r="X6" s="37"/>
      <c r="Y6" s="36">
        <f t="shared" ref="Y6:Y46" si="20">W6+X6</f>
        <v>0</v>
      </c>
      <c r="Z6" s="37"/>
      <c r="AA6" s="51">
        <f t="shared" ref="AA6:AA46" si="21">Y6+Z6</f>
        <v>0</v>
      </c>
      <c r="AB6" s="50"/>
    </row>
    <row r="7" s="15" customFormat="1" ht="18" customHeight="1" spans="1:28">
      <c r="A7" s="26" t="str">
        <f>⑦原価詳細!A10</f>
        <v>○○</v>
      </c>
      <c r="B7" s="27">
        <f>⑦原価詳細!F10/1000000</f>
        <v>0</v>
      </c>
      <c r="C7" s="28" t="s">
        <v>303</v>
      </c>
      <c r="D7" s="29"/>
      <c r="E7" s="30">
        <f t="shared" si="10"/>
        <v>0</v>
      </c>
      <c r="F7" s="31"/>
      <c r="G7" s="30">
        <f t="shared" si="12"/>
        <v>0</v>
      </c>
      <c r="H7" s="31"/>
      <c r="I7" s="30">
        <f t="shared" si="13"/>
        <v>0</v>
      </c>
      <c r="J7" s="31"/>
      <c r="K7" s="30">
        <f t="shared" si="11"/>
        <v>0</v>
      </c>
      <c r="L7" s="31"/>
      <c r="M7" s="30">
        <f t="shared" si="14"/>
        <v>0</v>
      </c>
      <c r="N7" s="31"/>
      <c r="O7" s="30">
        <f t="shared" si="15"/>
        <v>0</v>
      </c>
      <c r="P7" s="31"/>
      <c r="Q7" s="30">
        <f t="shared" si="16"/>
        <v>0</v>
      </c>
      <c r="R7" s="31"/>
      <c r="S7" s="30">
        <f t="shared" si="17"/>
        <v>0</v>
      </c>
      <c r="T7" s="47"/>
      <c r="U7" s="30">
        <f t="shared" si="18"/>
        <v>0</v>
      </c>
      <c r="V7" s="31"/>
      <c r="W7" s="30">
        <f t="shared" si="19"/>
        <v>0</v>
      </c>
      <c r="X7" s="31"/>
      <c r="Y7" s="30">
        <f t="shared" si="20"/>
        <v>0</v>
      </c>
      <c r="Z7" s="31"/>
      <c r="AA7" s="49">
        <f t="shared" si="21"/>
        <v>0</v>
      </c>
      <c r="AB7" s="50"/>
    </row>
    <row r="8" s="15" customFormat="1" ht="18" customHeight="1" spans="1:28">
      <c r="A8" s="32" t="s">
        <v>231</v>
      </c>
      <c r="B8" s="33">
        <f>B7-D7-F7-H7-J7-L7-N7-P7-R7-T7-V7-X7-Z7</f>
        <v>0</v>
      </c>
      <c r="C8" s="34" t="s">
        <v>276</v>
      </c>
      <c r="D8" s="35"/>
      <c r="E8" s="36">
        <f t="shared" si="10"/>
        <v>0</v>
      </c>
      <c r="F8" s="37"/>
      <c r="G8" s="36">
        <f t="shared" si="12"/>
        <v>0</v>
      </c>
      <c r="H8" s="37"/>
      <c r="I8" s="36">
        <f t="shared" si="13"/>
        <v>0</v>
      </c>
      <c r="J8" s="37"/>
      <c r="K8" s="45">
        <f t="shared" si="11"/>
        <v>0</v>
      </c>
      <c r="L8" s="37"/>
      <c r="M8" s="36">
        <f t="shared" si="14"/>
        <v>0</v>
      </c>
      <c r="N8" s="37"/>
      <c r="O8" s="36">
        <f t="shared" si="15"/>
        <v>0</v>
      </c>
      <c r="P8" s="37"/>
      <c r="Q8" s="36">
        <f t="shared" si="16"/>
        <v>0</v>
      </c>
      <c r="R8" s="37"/>
      <c r="S8" s="36">
        <f t="shared" si="17"/>
        <v>0</v>
      </c>
      <c r="T8" s="37"/>
      <c r="U8" s="36">
        <f t="shared" si="18"/>
        <v>0</v>
      </c>
      <c r="V8" s="37"/>
      <c r="W8" s="36">
        <f t="shared" si="19"/>
        <v>0</v>
      </c>
      <c r="X8" s="37"/>
      <c r="Y8" s="36">
        <f t="shared" si="20"/>
        <v>0</v>
      </c>
      <c r="Z8" s="37"/>
      <c r="AA8" s="51">
        <f t="shared" si="21"/>
        <v>0</v>
      </c>
      <c r="AB8" s="50"/>
    </row>
    <row r="9" s="15" customFormat="1" ht="18" customHeight="1" spans="1:28">
      <c r="A9" s="26" t="str">
        <f>⑦原価詳細!A11</f>
        <v>○○</v>
      </c>
      <c r="B9" s="27">
        <f>⑦原価詳細!F11/1000000</f>
        <v>0</v>
      </c>
      <c r="C9" s="28" t="s">
        <v>303</v>
      </c>
      <c r="D9" s="29"/>
      <c r="E9" s="30">
        <f t="shared" si="10"/>
        <v>0</v>
      </c>
      <c r="F9" s="31"/>
      <c r="G9" s="30">
        <f t="shared" si="12"/>
        <v>0</v>
      </c>
      <c r="H9" s="31"/>
      <c r="I9" s="30">
        <f t="shared" si="13"/>
        <v>0</v>
      </c>
      <c r="J9" s="31"/>
      <c r="K9" s="30">
        <f t="shared" si="11"/>
        <v>0</v>
      </c>
      <c r="L9" s="31"/>
      <c r="M9" s="30">
        <f t="shared" si="14"/>
        <v>0</v>
      </c>
      <c r="N9" s="31"/>
      <c r="O9" s="30">
        <f t="shared" si="15"/>
        <v>0</v>
      </c>
      <c r="P9" s="31"/>
      <c r="Q9" s="30">
        <f t="shared" si="16"/>
        <v>0</v>
      </c>
      <c r="R9" s="31"/>
      <c r="S9" s="30">
        <f t="shared" si="17"/>
        <v>0</v>
      </c>
      <c r="T9" s="47"/>
      <c r="U9" s="30">
        <f t="shared" si="18"/>
        <v>0</v>
      </c>
      <c r="V9" s="31"/>
      <c r="W9" s="30">
        <f t="shared" si="19"/>
        <v>0</v>
      </c>
      <c r="X9" s="31"/>
      <c r="Y9" s="30">
        <f t="shared" si="20"/>
        <v>0</v>
      </c>
      <c r="Z9" s="31"/>
      <c r="AA9" s="49">
        <f t="shared" si="21"/>
        <v>0</v>
      </c>
      <c r="AB9" s="50"/>
    </row>
    <row r="10" s="15" customFormat="1" ht="18" customHeight="1" spans="1:28">
      <c r="A10" s="32" t="s">
        <v>231</v>
      </c>
      <c r="B10" s="33">
        <f>B9-D9-F9-H9-J9-L9-N9-P9-R9-T9-V9-X9-Z9</f>
        <v>0</v>
      </c>
      <c r="C10" s="34" t="s">
        <v>276</v>
      </c>
      <c r="D10" s="35"/>
      <c r="E10" s="36">
        <f t="shared" si="10"/>
        <v>0</v>
      </c>
      <c r="F10" s="37"/>
      <c r="G10" s="36">
        <f t="shared" si="12"/>
        <v>0</v>
      </c>
      <c r="H10" s="37"/>
      <c r="I10" s="36">
        <f t="shared" si="13"/>
        <v>0</v>
      </c>
      <c r="J10" s="37"/>
      <c r="K10" s="45">
        <f t="shared" si="11"/>
        <v>0</v>
      </c>
      <c r="L10" s="37"/>
      <c r="M10" s="36">
        <f t="shared" si="14"/>
        <v>0</v>
      </c>
      <c r="N10" s="37"/>
      <c r="O10" s="36">
        <f t="shared" si="15"/>
        <v>0</v>
      </c>
      <c r="P10" s="37"/>
      <c r="Q10" s="36">
        <f t="shared" si="16"/>
        <v>0</v>
      </c>
      <c r="R10" s="37"/>
      <c r="S10" s="36">
        <f t="shared" si="17"/>
        <v>0</v>
      </c>
      <c r="T10" s="37"/>
      <c r="U10" s="36">
        <f t="shared" si="18"/>
        <v>0</v>
      </c>
      <c r="V10" s="37"/>
      <c r="W10" s="36">
        <f t="shared" si="19"/>
        <v>0</v>
      </c>
      <c r="X10" s="37"/>
      <c r="Y10" s="36">
        <f t="shared" si="20"/>
        <v>0</v>
      </c>
      <c r="Z10" s="37"/>
      <c r="AA10" s="51">
        <f t="shared" si="21"/>
        <v>0</v>
      </c>
      <c r="AB10" s="50"/>
    </row>
    <row r="11" s="15" customFormat="1" ht="18" customHeight="1" spans="1:28">
      <c r="A11" s="26" t="str">
        <f>⑦原価詳細!A12</f>
        <v>○○</v>
      </c>
      <c r="B11" s="27">
        <f>⑦原価詳細!F12/1000000</f>
        <v>0</v>
      </c>
      <c r="C11" s="28" t="s">
        <v>303</v>
      </c>
      <c r="D11" s="29"/>
      <c r="E11" s="30">
        <f t="shared" si="10"/>
        <v>0</v>
      </c>
      <c r="F11" s="31"/>
      <c r="G11" s="30">
        <f t="shared" si="12"/>
        <v>0</v>
      </c>
      <c r="H11" s="31"/>
      <c r="I11" s="30">
        <f t="shared" si="13"/>
        <v>0</v>
      </c>
      <c r="J11" s="31"/>
      <c r="K11" s="30">
        <f t="shared" si="11"/>
        <v>0</v>
      </c>
      <c r="L11" s="31"/>
      <c r="M11" s="30">
        <f t="shared" si="14"/>
        <v>0</v>
      </c>
      <c r="N11" s="31"/>
      <c r="O11" s="30">
        <f t="shared" si="15"/>
        <v>0</v>
      </c>
      <c r="P11" s="31"/>
      <c r="Q11" s="30">
        <f t="shared" si="16"/>
        <v>0</v>
      </c>
      <c r="R11" s="31"/>
      <c r="S11" s="30">
        <f t="shared" si="17"/>
        <v>0</v>
      </c>
      <c r="T11" s="47"/>
      <c r="U11" s="30">
        <f t="shared" si="18"/>
        <v>0</v>
      </c>
      <c r="V11" s="31"/>
      <c r="W11" s="30">
        <f t="shared" si="19"/>
        <v>0</v>
      </c>
      <c r="X11" s="31"/>
      <c r="Y11" s="30">
        <f t="shared" si="20"/>
        <v>0</v>
      </c>
      <c r="Z11" s="31"/>
      <c r="AA11" s="49">
        <f t="shared" si="21"/>
        <v>0</v>
      </c>
      <c r="AB11" s="50"/>
    </row>
    <row r="12" s="15" customFormat="1" ht="18" customHeight="1" spans="1:28">
      <c r="A12" s="32" t="s">
        <v>231</v>
      </c>
      <c r="B12" s="33">
        <f>B11-D11-F11-H11-J11-L11-N11-P11-R11-T11-V11-X11-Z11</f>
        <v>0</v>
      </c>
      <c r="C12" s="34" t="s">
        <v>276</v>
      </c>
      <c r="D12" s="35"/>
      <c r="E12" s="36">
        <f t="shared" si="10"/>
        <v>0</v>
      </c>
      <c r="F12" s="37"/>
      <c r="G12" s="36">
        <f t="shared" si="12"/>
        <v>0</v>
      </c>
      <c r="H12" s="37"/>
      <c r="I12" s="36">
        <f t="shared" si="13"/>
        <v>0</v>
      </c>
      <c r="J12" s="37"/>
      <c r="K12" s="45">
        <f t="shared" si="11"/>
        <v>0</v>
      </c>
      <c r="L12" s="37"/>
      <c r="M12" s="36">
        <f t="shared" si="14"/>
        <v>0</v>
      </c>
      <c r="N12" s="37"/>
      <c r="O12" s="36">
        <f t="shared" si="15"/>
        <v>0</v>
      </c>
      <c r="P12" s="37"/>
      <c r="Q12" s="36">
        <f t="shared" si="16"/>
        <v>0</v>
      </c>
      <c r="R12" s="37"/>
      <c r="S12" s="36">
        <f t="shared" si="17"/>
        <v>0</v>
      </c>
      <c r="T12" s="37"/>
      <c r="U12" s="36">
        <f t="shared" si="18"/>
        <v>0</v>
      </c>
      <c r="V12" s="37"/>
      <c r="W12" s="36">
        <f t="shared" si="19"/>
        <v>0</v>
      </c>
      <c r="X12" s="37"/>
      <c r="Y12" s="36">
        <f t="shared" si="20"/>
        <v>0</v>
      </c>
      <c r="Z12" s="37"/>
      <c r="AA12" s="51">
        <f t="shared" si="21"/>
        <v>0</v>
      </c>
      <c r="AB12" s="50"/>
    </row>
    <row r="13" s="15" customFormat="1" ht="18" customHeight="1" spans="1:28">
      <c r="A13" s="26" t="str">
        <f>⑦原価詳細!A13</f>
        <v>○○</v>
      </c>
      <c r="B13" s="27">
        <f>⑦原価詳細!F13/1000000</f>
        <v>0</v>
      </c>
      <c r="C13" s="28" t="s">
        <v>303</v>
      </c>
      <c r="D13" s="29"/>
      <c r="E13" s="30">
        <f t="shared" si="10"/>
        <v>0</v>
      </c>
      <c r="F13" s="31"/>
      <c r="G13" s="30">
        <f t="shared" si="12"/>
        <v>0</v>
      </c>
      <c r="H13" s="31"/>
      <c r="I13" s="30">
        <f t="shared" si="13"/>
        <v>0</v>
      </c>
      <c r="J13" s="31"/>
      <c r="K13" s="30">
        <f t="shared" si="11"/>
        <v>0</v>
      </c>
      <c r="L13" s="31"/>
      <c r="M13" s="30">
        <f t="shared" si="14"/>
        <v>0</v>
      </c>
      <c r="N13" s="31"/>
      <c r="O13" s="30">
        <f t="shared" si="15"/>
        <v>0</v>
      </c>
      <c r="P13" s="31"/>
      <c r="Q13" s="30">
        <f t="shared" si="16"/>
        <v>0</v>
      </c>
      <c r="R13" s="31"/>
      <c r="S13" s="30">
        <f t="shared" si="17"/>
        <v>0</v>
      </c>
      <c r="T13" s="47"/>
      <c r="U13" s="30">
        <f t="shared" si="18"/>
        <v>0</v>
      </c>
      <c r="V13" s="31"/>
      <c r="W13" s="30">
        <f t="shared" si="19"/>
        <v>0</v>
      </c>
      <c r="X13" s="31"/>
      <c r="Y13" s="30">
        <f t="shared" si="20"/>
        <v>0</v>
      </c>
      <c r="Z13" s="31"/>
      <c r="AA13" s="49">
        <f t="shared" si="21"/>
        <v>0</v>
      </c>
      <c r="AB13" s="50"/>
    </row>
    <row r="14" s="15" customFormat="1" ht="18" customHeight="1" spans="1:28">
      <c r="A14" s="32" t="s">
        <v>231</v>
      </c>
      <c r="B14" s="33">
        <f>B13-D13-F13-H13-J13-L13-N13-P13-R13-T13-V13-X13-Z13</f>
        <v>0</v>
      </c>
      <c r="C14" s="34" t="s">
        <v>276</v>
      </c>
      <c r="D14" s="35"/>
      <c r="E14" s="36">
        <f t="shared" si="10"/>
        <v>0</v>
      </c>
      <c r="F14" s="37"/>
      <c r="G14" s="36">
        <f t="shared" si="12"/>
        <v>0</v>
      </c>
      <c r="H14" s="37"/>
      <c r="I14" s="36">
        <f t="shared" si="13"/>
        <v>0</v>
      </c>
      <c r="J14" s="37"/>
      <c r="K14" s="45">
        <f t="shared" si="11"/>
        <v>0</v>
      </c>
      <c r="L14" s="37"/>
      <c r="M14" s="36">
        <f t="shared" si="14"/>
        <v>0</v>
      </c>
      <c r="N14" s="37"/>
      <c r="O14" s="36">
        <f t="shared" si="15"/>
        <v>0</v>
      </c>
      <c r="P14" s="37"/>
      <c r="Q14" s="36">
        <f t="shared" si="16"/>
        <v>0</v>
      </c>
      <c r="R14" s="37"/>
      <c r="S14" s="36">
        <f t="shared" si="17"/>
        <v>0</v>
      </c>
      <c r="T14" s="37"/>
      <c r="U14" s="36">
        <f t="shared" si="18"/>
        <v>0</v>
      </c>
      <c r="V14" s="37"/>
      <c r="W14" s="36">
        <f t="shared" si="19"/>
        <v>0</v>
      </c>
      <c r="X14" s="37"/>
      <c r="Y14" s="36">
        <f t="shared" si="20"/>
        <v>0</v>
      </c>
      <c r="Z14" s="37"/>
      <c r="AA14" s="51">
        <f t="shared" si="21"/>
        <v>0</v>
      </c>
      <c r="AB14" s="50"/>
    </row>
    <row r="15" s="15" customFormat="1" ht="18" customHeight="1" spans="1:28">
      <c r="A15" s="26" t="str">
        <f>⑦原価詳細!A14</f>
        <v>○○</v>
      </c>
      <c r="B15" s="27">
        <f>⑦原価詳細!F14/1000000</f>
        <v>0</v>
      </c>
      <c r="C15" s="28" t="s">
        <v>303</v>
      </c>
      <c r="D15" s="29"/>
      <c r="E15" s="30">
        <f t="shared" si="10"/>
        <v>0</v>
      </c>
      <c r="F15" s="31"/>
      <c r="G15" s="30">
        <f t="shared" si="12"/>
        <v>0</v>
      </c>
      <c r="H15" s="31"/>
      <c r="I15" s="30">
        <f t="shared" si="13"/>
        <v>0</v>
      </c>
      <c r="J15" s="31"/>
      <c r="K15" s="30">
        <f t="shared" si="11"/>
        <v>0</v>
      </c>
      <c r="L15" s="31"/>
      <c r="M15" s="30">
        <f t="shared" si="14"/>
        <v>0</v>
      </c>
      <c r="N15" s="31"/>
      <c r="O15" s="30">
        <f t="shared" si="15"/>
        <v>0</v>
      </c>
      <c r="P15" s="31"/>
      <c r="Q15" s="30">
        <f t="shared" si="16"/>
        <v>0</v>
      </c>
      <c r="R15" s="31"/>
      <c r="S15" s="30">
        <f t="shared" si="17"/>
        <v>0</v>
      </c>
      <c r="T15" s="47"/>
      <c r="U15" s="30">
        <f t="shared" si="18"/>
        <v>0</v>
      </c>
      <c r="V15" s="31"/>
      <c r="W15" s="30">
        <f t="shared" si="19"/>
        <v>0</v>
      </c>
      <c r="X15" s="31"/>
      <c r="Y15" s="30">
        <f t="shared" si="20"/>
        <v>0</v>
      </c>
      <c r="Z15" s="31"/>
      <c r="AA15" s="49">
        <f t="shared" si="21"/>
        <v>0</v>
      </c>
      <c r="AB15" s="50"/>
    </row>
    <row r="16" s="15" customFormat="1" ht="18" customHeight="1" spans="1:28">
      <c r="A16" s="32" t="s">
        <v>231</v>
      </c>
      <c r="B16" s="33">
        <f>B15-D15-F15-H15-J15-L15-N15-P15-R15-T15-V15-X15-Z15</f>
        <v>0</v>
      </c>
      <c r="C16" s="34" t="s">
        <v>276</v>
      </c>
      <c r="D16" s="35"/>
      <c r="E16" s="36">
        <f t="shared" si="10"/>
        <v>0</v>
      </c>
      <c r="F16" s="37"/>
      <c r="G16" s="36">
        <f t="shared" si="12"/>
        <v>0</v>
      </c>
      <c r="H16" s="37"/>
      <c r="I16" s="36">
        <f t="shared" si="13"/>
        <v>0</v>
      </c>
      <c r="J16" s="37"/>
      <c r="K16" s="45">
        <f t="shared" si="11"/>
        <v>0</v>
      </c>
      <c r="L16" s="37"/>
      <c r="M16" s="36">
        <f t="shared" si="14"/>
        <v>0</v>
      </c>
      <c r="N16" s="37"/>
      <c r="O16" s="36">
        <f t="shared" si="15"/>
        <v>0</v>
      </c>
      <c r="P16" s="37"/>
      <c r="Q16" s="36">
        <f t="shared" si="16"/>
        <v>0</v>
      </c>
      <c r="R16" s="37"/>
      <c r="S16" s="36">
        <f t="shared" si="17"/>
        <v>0</v>
      </c>
      <c r="T16" s="37"/>
      <c r="U16" s="36">
        <f t="shared" si="18"/>
        <v>0</v>
      </c>
      <c r="V16" s="37"/>
      <c r="W16" s="36">
        <f t="shared" si="19"/>
        <v>0</v>
      </c>
      <c r="X16" s="37"/>
      <c r="Y16" s="36">
        <f t="shared" si="20"/>
        <v>0</v>
      </c>
      <c r="Z16" s="37"/>
      <c r="AA16" s="51">
        <f t="shared" si="21"/>
        <v>0</v>
      </c>
      <c r="AB16" s="50"/>
    </row>
    <row r="17" s="15" customFormat="1" ht="18" customHeight="1" spans="1:28">
      <c r="A17" s="26" t="str">
        <f>⑦原価詳細!A15</f>
        <v>○○</v>
      </c>
      <c r="B17" s="27">
        <f>⑦原価詳細!F15/1000000</f>
        <v>0</v>
      </c>
      <c r="C17" s="28" t="s">
        <v>303</v>
      </c>
      <c r="D17" s="29"/>
      <c r="E17" s="30">
        <f t="shared" si="10"/>
        <v>0</v>
      </c>
      <c r="F17" s="31"/>
      <c r="G17" s="30">
        <f t="shared" si="12"/>
        <v>0</v>
      </c>
      <c r="H17" s="31"/>
      <c r="I17" s="30">
        <f t="shared" si="13"/>
        <v>0</v>
      </c>
      <c r="J17" s="31"/>
      <c r="K17" s="30">
        <f t="shared" si="11"/>
        <v>0</v>
      </c>
      <c r="L17" s="31"/>
      <c r="M17" s="30">
        <f t="shared" si="14"/>
        <v>0</v>
      </c>
      <c r="N17" s="31"/>
      <c r="O17" s="30">
        <f t="shared" si="15"/>
        <v>0</v>
      </c>
      <c r="P17" s="31"/>
      <c r="Q17" s="30">
        <f t="shared" si="16"/>
        <v>0</v>
      </c>
      <c r="R17" s="31"/>
      <c r="S17" s="30">
        <f t="shared" si="17"/>
        <v>0</v>
      </c>
      <c r="T17" s="47"/>
      <c r="U17" s="30">
        <f t="shared" si="18"/>
        <v>0</v>
      </c>
      <c r="V17" s="31"/>
      <c r="W17" s="30">
        <f t="shared" si="19"/>
        <v>0</v>
      </c>
      <c r="X17" s="31"/>
      <c r="Y17" s="30">
        <f t="shared" si="20"/>
        <v>0</v>
      </c>
      <c r="Z17" s="31"/>
      <c r="AA17" s="49">
        <f t="shared" si="21"/>
        <v>0</v>
      </c>
      <c r="AB17" s="50"/>
    </row>
    <row r="18" s="15" customFormat="1" ht="18" customHeight="1" spans="1:28">
      <c r="A18" s="32" t="s">
        <v>231</v>
      </c>
      <c r="B18" s="33">
        <f>B17-D17-F17-H17-J17-L17-N17-P17-R17-T17-V17-X17-Z17</f>
        <v>0</v>
      </c>
      <c r="C18" s="34" t="s">
        <v>276</v>
      </c>
      <c r="D18" s="35"/>
      <c r="E18" s="36">
        <f t="shared" si="10"/>
        <v>0</v>
      </c>
      <c r="F18" s="37"/>
      <c r="G18" s="36">
        <f t="shared" si="12"/>
        <v>0</v>
      </c>
      <c r="H18" s="37"/>
      <c r="I18" s="36">
        <f t="shared" si="13"/>
        <v>0</v>
      </c>
      <c r="J18" s="37"/>
      <c r="K18" s="45">
        <f t="shared" si="11"/>
        <v>0</v>
      </c>
      <c r="L18" s="37"/>
      <c r="M18" s="36">
        <f t="shared" si="14"/>
        <v>0</v>
      </c>
      <c r="N18" s="37"/>
      <c r="O18" s="36">
        <f t="shared" si="15"/>
        <v>0</v>
      </c>
      <c r="P18" s="37"/>
      <c r="Q18" s="36">
        <f t="shared" si="16"/>
        <v>0</v>
      </c>
      <c r="R18" s="37"/>
      <c r="S18" s="36">
        <f t="shared" si="17"/>
        <v>0</v>
      </c>
      <c r="T18" s="37"/>
      <c r="U18" s="36">
        <f t="shared" si="18"/>
        <v>0</v>
      </c>
      <c r="V18" s="37"/>
      <c r="W18" s="36">
        <f t="shared" si="19"/>
        <v>0</v>
      </c>
      <c r="X18" s="37"/>
      <c r="Y18" s="36">
        <f t="shared" si="20"/>
        <v>0</v>
      </c>
      <c r="Z18" s="37"/>
      <c r="AA18" s="51">
        <f t="shared" si="21"/>
        <v>0</v>
      </c>
      <c r="AB18" s="50"/>
    </row>
    <row r="19" s="15" customFormat="1" ht="18" customHeight="1" spans="1:28">
      <c r="A19" s="26" t="str">
        <f>⑦原価詳細!A16</f>
        <v>○○</v>
      </c>
      <c r="B19" s="27">
        <f>⑦原価詳細!F16/1000000</f>
        <v>0</v>
      </c>
      <c r="C19" s="28" t="s">
        <v>303</v>
      </c>
      <c r="D19" s="29"/>
      <c r="E19" s="30">
        <f t="shared" si="10"/>
        <v>0</v>
      </c>
      <c r="F19" s="31"/>
      <c r="G19" s="30">
        <f t="shared" si="12"/>
        <v>0</v>
      </c>
      <c r="H19" s="31"/>
      <c r="I19" s="30">
        <f t="shared" si="13"/>
        <v>0</v>
      </c>
      <c r="J19" s="31"/>
      <c r="K19" s="30">
        <f t="shared" si="11"/>
        <v>0</v>
      </c>
      <c r="L19" s="31"/>
      <c r="M19" s="30">
        <f t="shared" si="14"/>
        <v>0</v>
      </c>
      <c r="N19" s="31"/>
      <c r="O19" s="30">
        <f t="shared" si="15"/>
        <v>0</v>
      </c>
      <c r="P19" s="31"/>
      <c r="Q19" s="30">
        <f t="shared" si="16"/>
        <v>0</v>
      </c>
      <c r="R19" s="31"/>
      <c r="S19" s="30">
        <f t="shared" si="17"/>
        <v>0</v>
      </c>
      <c r="T19" s="47"/>
      <c r="U19" s="30">
        <f t="shared" si="18"/>
        <v>0</v>
      </c>
      <c r="V19" s="31"/>
      <c r="W19" s="30">
        <f t="shared" si="19"/>
        <v>0</v>
      </c>
      <c r="X19" s="31"/>
      <c r="Y19" s="30">
        <f t="shared" si="20"/>
        <v>0</v>
      </c>
      <c r="Z19" s="31"/>
      <c r="AA19" s="49">
        <f t="shared" si="21"/>
        <v>0</v>
      </c>
      <c r="AB19" s="50"/>
    </row>
    <row r="20" s="15" customFormat="1" ht="18" customHeight="1" spans="1:28">
      <c r="A20" s="32" t="s">
        <v>231</v>
      </c>
      <c r="B20" s="33">
        <f>B19-D19-F19-H19-J19-L19-N19-P19-R19-T19-V19-X19-Z19</f>
        <v>0</v>
      </c>
      <c r="C20" s="34" t="s">
        <v>276</v>
      </c>
      <c r="D20" s="35"/>
      <c r="E20" s="36">
        <f t="shared" si="10"/>
        <v>0</v>
      </c>
      <c r="F20" s="37"/>
      <c r="G20" s="36">
        <f t="shared" si="12"/>
        <v>0</v>
      </c>
      <c r="H20" s="37"/>
      <c r="I20" s="36">
        <f t="shared" si="13"/>
        <v>0</v>
      </c>
      <c r="J20" s="37"/>
      <c r="K20" s="45">
        <f t="shared" si="11"/>
        <v>0</v>
      </c>
      <c r="L20" s="37"/>
      <c r="M20" s="36">
        <f t="shared" si="14"/>
        <v>0</v>
      </c>
      <c r="N20" s="37"/>
      <c r="O20" s="36">
        <f t="shared" si="15"/>
        <v>0</v>
      </c>
      <c r="P20" s="37"/>
      <c r="Q20" s="36">
        <f t="shared" si="16"/>
        <v>0</v>
      </c>
      <c r="R20" s="37"/>
      <c r="S20" s="36">
        <f t="shared" si="17"/>
        <v>0</v>
      </c>
      <c r="T20" s="37"/>
      <c r="U20" s="36">
        <f t="shared" si="18"/>
        <v>0</v>
      </c>
      <c r="V20" s="37"/>
      <c r="W20" s="36">
        <f t="shared" si="19"/>
        <v>0</v>
      </c>
      <c r="X20" s="37"/>
      <c r="Y20" s="36">
        <f t="shared" si="20"/>
        <v>0</v>
      </c>
      <c r="Z20" s="37"/>
      <c r="AA20" s="51">
        <f t="shared" si="21"/>
        <v>0</v>
      </c>
      <c r="AB20" s="50"/>
    </row>
    <row r="21" s="15" customFormat="1" ht="18" customHeight="1" spans="1:28">
      <c r="A21" s="26" t="str">
        <f>⑦原価詳細!A17</f>
        <v>○○</v>
      </c>
      <c r="B21" s="27">
        <f>⑦原価詳細!F17/1000000</f>
        <v>0</v>
      </c>
      <c r="C21" s="28" t="s">
        <v>303</v>
      </c>
      <c r="D21" s="29"/>
      <c r="E21" s="30">
        <f t="shared" si="10"/>
        <v>0</v>
      </c>
      <c r="F21" s="31"/>
      <c r="G21" s="30">
        <f t="shared" si="12"/>
        <v>0</v>
      </c>
      <c r="H21" s="31"/>
      <c r="I21" s="30">
        <f t="shared" si="13"/>
        <v>0</v>
      </c>
      <c r="J21" s="31"/>
      <c r="K21" s="30">
        <f t="shared" si="11"/>
        <v>0</v>
      </c>
      <c r="L21" s="31"/>
      <c r="M21" s="30">
        <f t="shared" si="14"/>
        <v>0</v>
      </c>
      <c r="N21" s="31"/>
      <c r="O21" s="30">
        <f t="shared" si="15"/>
        <v>0</v>
      </c>
      <c r="P21" s="31"/>
      <c r="Q21" s="30">
        <f t="shared" si="16"/>
        <v>0</v>
      </c>
      <c r="R21" s="31"/>
      <c r="S21" s="30">
        <f t="shared" si="17"/>
        <v>0</v>
      </c>
      <c r="T21" s="47"/>
      <c r="U21" s="30">
        <f t="shared" si="18"/>
        <v>0</v>
      </c>
      <c r="V21" s="31"/>
      <c r="W21" s="30">
        <f t="shared" si="19"/>
        <v>0</v>
      </c>
      <c r="X21" s="31"/>
      <c r="Y21" s="30">
        <f t="shared" si="20"/>
        <v>0</v>
      </c>
      <c r="Z21" s="31"/>
      <c r="AA21" s="49">
        <f t="shared" si="21"/>
        <v>0</v>
      </c>
      <c r="AB21" s="50"/>
    </row>
    <row r="22" s="15" customFormat="1" ht="18" customHeight="1" spans="1:28">
      <c r="A22" s="32" t="s">
        <v>231</v>
      </c>
      <c r="B22" s="33">
        <f>B21-D21-F21-H21-J21-L21-N21-P21-R21-T21-V21-X21-Z21</f>
        <v>0</v>
      </c>
      <c r="C22" s="34" t="s">
        <v>276</v>
      </c>
      <c r="D22" s="35"/>
      <c r="E22" s="36">
        <f t="shared" si="10"/>
        <v>0</v>
      </c>
      <c r="F22" s="37"/>
      <c r="G22" s="36">
        <f t="shared" si="12"/>
        <v>0</v>
      </c>
      <c r="H22" s="37"/>
      <c r="I22" s="36">
        <f t="shared" si="13"/>
        <v>0</v>
      </c>
      <c r="J22" s="37"/>
      <c r="K22" s="45">
        <f t="shared" si="11"/>
        <v>0</v>
      </c>
      <c r="L22" s="37"/>
      <c r="M22" s="36">
        <f t="shared" si="14"/>
        <v>0</v>
      </c>
      <c r="N22" s="37"/>
      <c r="O22" s="36">
        <f t="shared" si="15"/>
        <v>0</v>
      </c>
      <c r="P22" s="37"/>
      <c r="Q22" s="36">
        <f t="shared" si="16"/>
        <v>0</v>
      </c>
      <c r="R22" s="37"/>
      <c r="S22" s="36">
        <f t="shared" si="17"/>
        <v>0</v>
      </c>
      <c r="T22" s="37"/>
      <c r="U22" s="36">
        <f t="shared" si="18"/>
        <v>0</v>
      </c>
      <c r="V22" s="37"/>
      <c r="W22" s="36">
        <f t="shared" si="19"/>
        <v>0</v>
      </c>
      <c r="X22" s="37"/>
      <c r="Y22" s="36">
        <f t="shared" si="20"/>
        <v>0</v>
      </c>
      <c r="Z22" s="37"/>
      <c r="AA22" s="51">
        <f t="shared" si="21"/>
        <v>0</v>
      </c>
      <c r="AB22" s="50"/>
    </row>
    <row r="23" s="15" customFormat="1" ht="18" customHeight="1" spans="1:28">
      <c r="A23" s="26" t="str">
        <f>⑦原価詳細!A18</f>
        <v>○○</v>
      </c>
      <c r="B23" s="27">
        <f>⑦原価詳細!F18/1000000</f>
        <v>0</v>
      </c>
      <c r="C23" s="28" t="s">
        <v>303</v>
      </c>
      <c r="D23" s="29"/>
      <c r="E23" s="30">
        <f t="shared" si="10"/>
        <v>0</v>
      </c>
      <c r="F23" s="31"/>
      <c r="G23" s="30">
        <f t="shared" si="12"/>
        <v>0</v>
      </c>
      <c r="H23" s="31"/>
      <c r="I23" s="30">
        <f t="shared" si="13"/>
        <v>0</v>
      </c>
      <c r="J23" s="31"/>
      <c r="K23" s="30">
        <f t="shared" si="11"/>
        <v>0</v>
      </c>
      <c r="L23" s="31"/>
      <c r="M23" s="30">
        <f t="shared" si="14"/>
        <v>0</v>
      </c>
      <c r="N23" s="31"/>
      <c r="O23" s="30">
        <f t="shared" si="15"/>
        <v>0</v>
      </c>
      <c r="P23" s="31"/>
      <c r="Q23" s="30">
        <f t="shared" si="16"/>
        <v>0</v>
      </c>
      <c r="R23" s="31"/>
      <c r="S23" s="30">
        <f t="shared" si="17"/>
        <v>0</v>
      </c>
      <c r="T23" s="47"/>
      <c r="U23" s="30">
        <f t="shared" si="18"/>
        <v>0</v>
      </c>
      <c r="V23" s="31"/>
      <c r="W23" s="30">
        <f t="shared" si="19"/>
        <v>0</v>
      </c>
      <c r="X23" s="31"/>
      <c r="Y23" s="30">
        <f t="shared" si="20"/>
        <v>0</v>
      </c>
      <c r="Z23" s="31"/>
      <c r="AA23" s="49">
        <f t="shared" si="21"/>
        <v>0</v>
      </c>
      <c r="AB23" s="50"/>
    </row>
    <row r="24" s="15" customFormat="1" ht="18" customHeight="1" spans="1:28">
      <c r="A24" s="32" t="s">
        <v>231</v>
      </c>
      <c r="B24" s="33">
        <f>B23-D23-F23-H23-J23-L23-N23-P23-R23-T23-V23-X23-Z23</f>
        <v>0</v>
      </c>
      <c r="C24" s="34" t="s">
        <v>276</v>
      </c>
      <c r="D24" s="35"/>
      <c r="E24" s="36">
        <f t="shared" si="10"/>
        <v>0</v>
      </c>
      <c r="F24" s="37"/>
      <c r="G24" s="36">
        <f t="shared" si="12"/>
        <v>0</v>
      </c>
      <c r="H24" s="37"/>
      <c r="I24" s="36">
        <f t="shared" si="13"/>
        <v>0</v>
      </c>
      <c r="J24" s="37"/>
      <c r="K24" s="45">
        <f t="shared" si="11"/>
        <v>0</v>
      </c>
      <c r="L24" s="37"/>
      <c r="M24" s="36">
        <f t="shared" si="14"/>
        <v>0</v>
      </c>
      <c r="N24" s="37"/>
      <c r="O24" s="36">
        <f t="shared" si="15"/>
        <v>0</v>
      </c>
      <c r="P24" s="37"/>
      <c r="Q24" s="36">
        <f t="shared" si="16"/>
        <v>0</v>
      </c>
      <c r="R24" s="37"/>
      <c r="S24" s="36">
        <f t="shared" si="17"/>
        <v>0</v>
      </c>
      <c r="T24" s="37"/>
      <c r="U24" s="36">
        <f t="shared" si="18"/>
        <v>0</v>
      </c>
      <c r="V24" s="37"/>
      <c r="W24" s="36">
        <f t="shared" si="19"/>
        <v>0</v>
      </c>
      <c r="X24" s="37"/>
      <c r="Y24" s="36">
        <f t="shared" si="20"/>
        <v>0</v>
      </c>
      <c r="Z24" s="37"/>
      <c r="AA24" s="51">
        <f t="shared" si="21"/>
        <v>0</v>
      </c>
      <c r="AB24" s="50"/>
    </row>
    <row r="25" s="15" customFormat="1" ht="18" customHeight="1" spans="1:28">
      <c r="A25" s="26" t="str">
        <f>⑦原価詳細!A19</f>
        <v>○○</v>
      </c>
      <c r="B25" s="27">
        <f>⑦原価詳細!F19/1000000</f>
        <v>0</v>
      </c>
      <c r="C25" s="28" t="s">
        <v>303</v>
      </c>
      <c r="D25" s="29"/>
      <c r="E25" s="30">
        <f t="shared" si="10"/>
        <v>0</v>
      </c>
      <c r="F25" s="31"/>
      <c r="G25" s="30">
        <f t="shared" si="12"/>
        <v>0</v>
      </c>
      <c r="H25" s="31"/>
      <c r="I25" s="30">
        <f t="shared" si="13"/>
        <v>0</v>
      </c>
      <c r="J25" s="31"/>
      <c r="K25" s="30">
        <f t="shared" si="11"/>
        <v>0</v>
      </c>
      <c r="L25" s="31"/>
      <c r="M25" s="30">
        <f t="shared" si="14"/>
        <v>0</v>
      </c>
      <c r="N25" s="31"/>
      <c r="O25" s="30">
        <f t="shared" si="15"/>
        <v>0</v>
      </c>
      <c r="P25" s="31"/>
      <c r="Q25" s="30">
        <f t="shared" si="16"/>
        <v>0</v>
      </c>
      <c r="R25" s="31"/>
      <c r="S25" s="30">
        <f t="shared" si="17"/>
        <v>0</v>
      </c>
      <c r="T25" s="47"/>
      <c r="U25" s="30">
        <f t="shared" si="18"/>
        <v>0</v>
      </c>
      <c r="V25" s="31"/>
      <c r="W25" s="30">
        <f t="shared" si="19"/>
        <v>0</v>
      </c>
      <c r="X25" s="31"/>
      <c r="Y25" s="30">
        <f t="shared" si="20"/>
        <v>0</v>
      </c>
      <c r="Z25" s="31"/>
      <c r="AA25" s="49">
        <f t="shared" si="21"/>
        <v>0</v>
      </c>
      <c r="AB25" s="50"/>
    </row>
    <row r="26" s="15" customFormat="1" ht="18" customHeight="1" spans="1:28">
      <c r="A26" s="32" t="s">
        <v>231</v>
      </c>
      <c r="B26" s="33">
        <f>B25-D25-F25-H25-J25-L25-N25-P25-R25-T25-V25-X25-Z25</f>
        <v>0</v>
      </c>
      <c r="C26" s="34" t="s">
        <v>276</v>
      </c>
      <c r="D26" s="35"/>
      <c r="E26" s="36">
        <f t="shared" si="10"/>
        <v>0</v>
      </c>
      <c r="F26" s="37"/>
      <c r="G26" s="36">
        <f t="shared" si="12"/>
        <v>0</v>
      </c>
      <c r="H26" s="37"/>
      <c r="I26" s="36">
        <f t="shared" si="13"/>
        <v>0</v>
      </c>
      <c r="J26" s="37"/>
      <c r="K26" s="45">
        <f t="shared" si="11"/>
        <v>0</v>
      </c>
      <c r="L26" s="37"/>
      <c r="M26" s="36">
        <f t="shared" si="14"/>
        <v>0</v>
      </c>
      <c r="N26" s="37"/>
      <c r="O26" s="36">
        <f t="shared" si="15"/>
        <v>0</v>
      </c>
      <c r="P26" s="37"/>
      <c r="Q26" s="36">
        <f t="shared" si="16"/>
        <v>0</v>
      </c>
      <c r="R26" s="37"/>
      <c r="S26" s="36">
        <f t="shared" si="17"/>
        <v>0</v>
      </c>
      <c r="T26" s="37"/>
      <c r="U26" s="36">
        <f t="shared" si="18"/>
        <v>0</v>
      </c>
      <c r="V26" s="37"/>
      <c r="W26" s="36">
        <f t="shared" si="19"/>
        <v>0</v>
      </c>
      <c r="X26" s="37"/>
      <c r="Y26" s="36">
        <f t="shared" si="20"/>
        <v>0</v>
      </c>
      <c r="Z26" s="37"/>
      <c r="AA26" s="51">
        <f t="shared" si="21"/>
        <v>0</v>
      </c>
      <c r="AB26" s="50"/>
    </row>
    <row r="27" s="15" customFormat="1" ht="18" customHeight="1" spans="1:28">
      <c r="A27" s="26" t="str">
        <f>⑦原価詳細!A20</f>
        <v>○○</v>
      </c>
      <c r="B27" s="27">
        <f>⑦原価詳細!F20/1000000</f>
        <v>0</v>
      </c>
      <c r="C27" s="28" t="s">
        <v>303</v>
      </c>
      <c r="D27" s="29"/>
      <c r="E27" s="30">
        <f t="shared" si="10"/>
        <v>0</v>
      </c>
      <c r="F27" s="31"/>
      <c r="G27" s="30">
        <f t="shared" si="12"/>
        <v>0</v>
      </c>
      <c r="H27" s="31"/>
      <c r="I27" s="30">
        <f t="shared" si="13"/>
        <v>0</v>
      </c>
      <c r="J27" s="31"/>
      <c r="K27" s="30">
        <f t="shared" si="11"/>
        <v>0</v>
      </c>
      <c r="L27" s="31"/>
      <c r="M27" s="30">
        <f t="shared" si="14"/>
        <v>0</v>
      </c>
      <c r="N27" s="31"/>
      <c r="O27" s="30">
        <f t="shared" si="15"/>
        <v>0</v>
      </c>
      <c r="P27" s="31"/>
      <c r="Q27" s="30">
        <f t="shared" si="16"/>
        <v>0</v>
      </c>
      <c r="R27" s="31"/>
      <c r="S27" s="30">
        <f t="shared" si="17"/>
        <v>0</v>
      </c>
      <c r="T27" s="47"/>
      <c r="U27" s="30">
        <f t="shared" si="18"/>
        <v>0</v>
      </c>
      <c r="V27" s="31"/>
      <c r="W27" s="30">
        <f t="shared" si="19"/>
        <v>0</v>
      </c>
      <c r="X27" s="31"/>
      <c r="Y27" s="30">
        <f t="shared" si="20"/>
        <v>0</v>
      </c>
      <c r="Z27" s="31"/>
      <c r="AA27" s="49">
        <f t="shared" si="21"/>
        <v>0</v>
      </c>
      <c r="AB27" s="50"/>
    </row>
    <row r="28" s="15" customFormat="1" ht="18" customHeight="1" spans="1:28">
      <c r="A28" s="32" t="s">
        <v>231</v>
      </c>
      <c r="B28" s="33">
        <f>B27-D27-F27-H27-J27-L27-N27-P27-R27-T27-V27-X27-Z27</f>
        <v>0</v>
      </c>
      <c r="C28" s="34" t="s">
        <v>276</v>
      </c>
      <c r="D28" s="35"/>
      <c r="E28" s="36">
        <f t="shared" si="10"/>
        <v>0</v>
      </c>
      <c r="F28" s="37"/>
      <c r="G28" s="36">
        <f t="shared" si="12"/>
        <v>0</v>
      </c>
      <c r="H28" s="37"/>
      <c r="I28" s="36">
        <f t="shared" si="13"/>
        <v>0</v>
      </c>
      <c r="J28" s="37"/>
      <c r="K28" s="45">
        <f t="shared" si="11"/>
        <v>0</v>
      </c>
      <c r="L28" s="37"/>
      <c r="M28" s="36">
        <f t="shared" si="14"/>
        <v>0</v>
      </c>
      <c r="N28" s="37"/>
      <c r="O28" s="36">
        <f t="shared" si="15"/>
        <v>0</v>
      </c>
      <c r="P28" s="37"/>
      <c r="Q28" s="36">
        <f t="shared" si="16"/>
        <v>0</v>
      </c>
      <c r="R28" s="37"/>
      <c r="S28" s="36">
        <f t="shared" si="17"/>
        <v>0</v>
      </c>
      <c r="T28" s="37"/>
      <c r="U28" s="36">
        <f t="shared" si="18"/>
        <v>0</v>
      </c>
      <c r="V28" s="37"/>
      <c r="W28" s="36">
        <f t="shared" si="19"/>
        <v>0</v>
      </c>
      <c r="X28" s="37"/>
      <c r="Y28" s="36">
        <f t="shared" si="20"/>
        <v>0</v>
      </c>
      <c r="Z28" s="37"/>
      <c r="AA28" s="51">
        <f t="shared" si="21"/>
        <v>0</v>
      </c>
      <c r="AB28" s="50"/>
    </row>
    <row r="29" s="15" customFormat="1" ht="18" customHeight="1" spans="1:28">
      <c r="A29" s="26" t="str">
        <f>⑦原価詳細!A21</f>
        <v>○○</v>
      </c>
      <c r="B29" s="27">
        <f>⑦原価詳細!F21/1000000</f>
        <v>0</v>
      </c>
      <c r="C29" s="28" t="s">
        <v>303</v>
      </c>
      <c r="D29" s="29"/>
      <c r="E29" s="30">
        <f t="shared" si="10"/>
        <v>0</v>
      </c>
      <c r="F29" s="31"/>
      <c r="G29" s="30">
        <f t="shared" si="12"/>
        <v>0</v>
      </c>
      <c r="H29" s="31"/>
      <c r="I29" s="30">
        <f t="shared" si="13"/>
        <v>0</v>
      </c>
      <c r="J29" s="31"/>
      <c r="K29" s="30">
        <f t="shared" si="11"/>
        <v>0</v>
      </c>
      <c r="L29" s="31"/>
      <c r="M29" s="30">
        <f t="shared" si="14"/>
        <v>0</v>
      </c>
      <c r="N29" s="31"/>
      <c r="O29" s="30">
        <f t="shared" si="15"/>
        <v>0</v>
      </c>
      <c r="P29" s="31"/>
      <c r="Q29" s="30">
        <f t="shared" si="16"/>
        <v>0</v>
      </c>
      <c r="R29" s="31"/>
      <c r="S29" s="30">
        <f t="shared" si="17"/>
        <v>0</v>
      </c>
      <c r="T29" s="47"/>
      <c r="U29" s="30">
        <f t="shared" si="18"/>
        <v>0</v>
      </c>
      <c r="V29" s="31"/>
      <c r="W29" s="30">
        <f t="shared" si="19"/>
        <v>0</v>
      </c>
      <c r="X29" s="31"/>
      <c r="Y29" s="30">
        <f t="shared" si="20"/>
        <v>0</v>
      </c>
      <c r="Z29" s="31"/>
      <c r="AA29" s="49">
        <f t="shared" si="21"/>
        <v>0</v>
      </c>
      <c r="AB29" s="50"/>
    </row>
    <row r="30" s="15" customFormat="1" ht="18" customHeight="1" spans="1:28">
      <c r="A30" s="32" t="s">
        <v>231</v>
      </c>
      <c r="B30" s="33">
        <f>B29-D29-F29-H29-J29-L29-N29-P29-R29-T29-V29-X29-Z29</f>
        <v>0</v>
      </c>
      <c r="C30" s="34" t="s">
        <v>276</v>
      </c>
      <c r="D30" s="35"/>
      <c r="E30" s="36">
        <f t="shared" si="10"/>
        <v>0</v>
      </c>
      <c r="F30" s="37"/>
      <c r="G30" s="36">
        <f t="shared" si="12"/>
        <v>0</v>
      </c>
      <c r="H30" s="37"/>
      <c r="I30" s="36">
        <f t="shared" si="13"/>
        <v>0</v>
      </c>
      <c r="J30" s="37"/>
      <c r="K30" s="45">
        <f t="shared" si="11"/>
        <v>0</v>
      </c>
      <c r="L30" s="37"/>
      <c r="M30" s="36">
        <f t="shared" si="14"/>
        <v>0</v>
      </c>
      <c r="N30" s="37"/>
      <c r="O30" s="36">
        <f t="shared" si="15"/>
        <v>0</v>
      </c>
      <c r="P30" s="37"/>
      <c r="Q30" s="36">
        <f t="shared" si="16"/>
        <v>0</v>
      </c>
      <c r="R30" s="37"/>
      <c r="S30" s="36">
        <f t="shared" si="17"/>
        <v>0</v>
      </c>
      <c r="T30" s="37"/>
      <c r="U30" s="36">
        <f t="shared" si="18"/>
        <v>0</v>
      </c>
      <c r="V30" s="37"/>
      <c r="W30" s="36">
        <f t="shared" si="19"/>
        <v>0</v>
      </c>
      <c r="X30" s="37"/>
      <c r="Y30" s="36">
        <f t="shared" si="20"/>
        <v>0</v>
      </c>
      <c r="Z30" s="37"/>
      <c r="AA30" s="51">
        <f t="shared" si="21"/>
        <v>0</v>
      </c>
      <c r="AB30" s="50"/>
    </row>
    <row r="31" s="15" customFormat="1" ht="18" customHeight="1" spans="1:28">
      <c r="A31" s="26" t="str">
        <f>⑦原価詳細!A22</f>
        <v>○○</v>
      </c>
      <c r="B31" s="27">
        <f>⑦原価詳細!F22/1000000</f>
        <v>0</v>
      </c>
      <c r="C31" s="28" t="s">
        <v>303</v>
      </c>
      <c r="D31" s="29"/>
      <c r="E31" s="30">
        <f t="shared" si="10"/>
        <v>0</v>
      </c>
      <c r="F31" s="31"/>
      <c r="G31" s="30">
        <f t="shared" si="12"/>
        <v>0</v>
      </c>
      <c r="H31" s="31"/>
      <c r="I31" s="30">
        <f t="shared" si="13"/>
        <v>0</v>
      </c>
      <c r="J31" s="31"/>
      <c r="K31" s="30">
        <f t="shared" si="11"/>
        <v>0</v>
      </c>
      <c r="L31" s="31"/>
      <c r="M31" s="30">
        <f t="shared" si="14"/>
        <v>0</v>
      </c>
      <c r="N31" s="31"/>
      <c r="O31" s="30">
        <f t="shared" si="15"/>
        <v>0</v>
      </c>
      <c r="P31" s="31"/>
      <c r="Q31" s="30">
        <f t="shared" si="16"/>
        <v>0</v>
      </c>
      <c r="R31" s="31"/>
      <c r="S31" s="30">
        <f t="shared" si="17"/>
        <v>0</v>
      </c>
      <c r="T31" s="47"/>
      <c r="U31" s="30">
        <f t="shared" si="18"/>
        <v>0</v>
      </c>
      <c r="V31" s="31"/>
      <c r="W31" s="30">
        <f t="shared" si="19"/>
        <v>0</v>
      </c>
      <c r="X31" s="31"/>
      <c r="Y31" s="30">
        <f t="shared" si="20"/>
        <v>0</v>
      </c>
      <c r="Z31" s="31"/>
      <c r="AA31" s="49">
        <f t="shared" si="21"/>
        <v>0</v>
      </c>
      <c r="AB31" s="50"/>
    </row>
    <row r="32" s="15" customFormat="1" ht="18" customHeight="1" spans="1:28">
      <c r="A32" s="32" t="s">
        <v>231</v>
      </c>
      <c r="B32" s="33">
        <f>B31-D31-F31-H31-J31-L31-N31-P31-R31-T31-V31-X31-Z31</f>
        <v>0</v>
      </c>
      <c r="C32" s="34" t="s">
        <v>276</v>
      </c>
      <c r="D32" s="35"/>
      <c r="E32" s="36">
        <f t="shared" si="10"/>
        <v>0</v>
      </c>
      <c r="F32" s="37"/>
      <c r="G32" s="36">
        <f t="shared" si="12"/>
        <v>0</v>
      </c>
      <c r="H32" s="37"/>
      <c r="I32" s="36">
        <f t="shared" si="13"/>
        <v>0</v>
      </c>
      <c r="J32" s="37"/>
      <c r="K32" s="45">
        <f t="shared" si="11"/>
        <v>0</v>
      </c>
      <c r="L32" s="37"/>
      <c r="M32" s="36">
        <f t="shared" si="14"/>
        <v>0</v>
      </c>
      <c r="N32" s="37"/>
      <c r="O32" s="36">
        <f t="shared" si="15"/>
        <v>0</v>
      </c>
      <c r="P32" s="37"/>
      <c r="Q32" s="36">
        <f t="shared" si="16"/>
        <v>0</v>
      </c>
      <c r="R32" s="37"/>
      <c r="S32" s="36">
        <f t="shared" si="17"/>
        <v>0</v>
      </c>
      <c r="T32" s="37"/>
      <c r="U32" s="36">
        <f t="shared" si="18"/>
        <v>0</v>
      </c>
      <c r="V32" s="37"/>
      <c r="W32" s="36">
        <f t="shared" si="19"/>
        <v>0</v>
      </c>
      <c r="X32" s="37"/>
      <c r="Y32" s="36">
        <f t="shared" si="20"/>
        <v>0</v>
      </c>
      <c r="Z32" s="37"/>
      <c r="AA32" s="51">
        <f t="shared" si="21"/>
        <v>0</v>
      </c>
      <c r="AB32" s="50"/>
    </row>
    <row r="33" s="15" customFormat="1" ht="18" customHeight="1" spans="1:28">
      <c r="A33" s="26" t="str">
        <f>⑦原価詳細!A23</f>
        <v>○○</v>
      </c>
      <c r="B33" s="27">
        <f>⑦原価詳細!F23/1000000</f>
        <v>0</v>
      </c>
      <c r="C33" s="28" t="s">
        <v>303</v>
      </c>
      <c r="D33" s="29"/>
      <c r="E33" s="30">
        <f t="shared" si="10"/>
        <v>0</v>
      </c>
      <c r="F33" s="31"/>
      <c r="G33" s="30">
        <f t="shared" si="12"/>
        <v>0</v>
      </c>
      <c r="H33" s="31"/>
      <c r="I33" s="30">
        <f t="shared" si="13"/>
        <v>0</v>
      </c>
      <c r="J33" s="31"/>
      <c r="K33" s="30">
        <f t="shared" si="11"/>
        <v>0</v>
      </c>
      <c r="L33" s="31"/>
      <c r="M33" s="30">
        <f t="shared" si="14"/>
        <v>0</v>
      </c>
      <c r="N33" s="31"/>
      <c r="O33" s="30">
        <f t="shared" si="15"/>
        <v>0</v>
      </c>
      <c r="P33" s="31"/>
      <c r="Q33" s="30">
        <f t="shared" si="16"/>
        <v>0</v>
      </c>
      <c r="R33" s="31"/>
      <c r="S33" s="30">
        <f t="shared" si="17"/>
        <v>0</v>
      </c>
      <c r="T33" s="47"/>
      <c r="U33" s="30">
        <f t="shared" si="18"/>
        <v>0</v>
      </c>
      <c r="V33" s="31"/>
      <c r="W33" s="30">
        <f t="shared" si="19"/>
        <v>0</v>
      </c>
      <c r="X33" s="31"/>
      <c r="Y33" s="30">
        <f t="shared" si="20"/>
        <v>0</v>
      </c>
      <c r="Z33" s="31"/>
      <c r="AA33" s="49">
        <f t="shared" si="21"/>
        <v>0</v>
      </c>
      <c r="AB33" s="50"/>
    </row>
    <row r="34" s="15" customFormat="1" ht="18" customHeight="1" spans="1:28">
      <c r="A34" s="32" t="s">
        <v>231</v>
      </c>
      <c r="B34" s="33">
        <f>B33-D33-F33-H33-J33-L33-N33-P33-R33-T33-V33-X33-Z33</f>
        <v>0</v>
      </c>
      <c r="C34" s="34" t="s">
        <v>276</v>
      </c>
      <c r="D34" s="35"/>
      <c r="E34" s="36">
        <f t="shared" si="10"/>
        <v>0</v>
      </c>
      <c r="F34" s="37"/>
      <c r="G34" s="36">
        <f t="shared" si="12"/>
        <v>0</v>
      </c>
      <c r="H34" s="37"/>
      <c r="I34" s="36">
        <f t="shared" si="13"/>
        <v>0</v>
      </c>
      <c r="J34" s="37"/>
      <c r="K34" s="45">
        <f t="shared" si="11"/>
        <v>0</v>
      </c>
      <c r="L34" s="37"/>
      <c r="M34" s="36">
        <f t="shared" si="14"/>
        <v>0</v>
      </c>
      <c r="N34" s="37"/>
      <c r="O34" s="36">
        <f t="shared" si="15"/>
        <v>0</v>
      </c>
      <c r="P34" s="37"/>
      <c r="Q34" s="36">
        <f t="shared" si="16"/>
        <v>0</v>
      </c>
      <c r="R34" s="37"/>
      <c r="S34" s="36">
        <f t="shared" si="17"/>
        <v>0</v>
      </c>
      <c r="T34" s="37"/>
      <c r="U34" s="36">
        <f t="shared" si="18"/>
        <v>0</v>
      </c>
      <c r="V34" s="37"/>
      <c r="W34" s="36">
        <f t="shared" si="19"/>
        <v>0</v>
      </c>
      <c r="X34" s="37"/>
      <c r="Y34" s="36">
        <f t="shared" si="20"/>
        <v>0</v>
      </c>
      <c r="Z34" s="37"/>
      <c r="AA34" s="51">
        <f t="shared" si="21"/>
        <v>0</v>
      </c>
      <c r="AB34" s="50"/>
    </row>
    <row r="35" s="15" customFormat="1" ht="18" customHeight="1" spans="1:28">
      <c r="A35" s="26" t="str">
        <f>⑦原価詳細!A24</f>
        <v>○○</v>
      </c>
      <c r="B35" s="27">
        <f>⑦原価詳細!F24/1000000</f>
        <v>0</v>
      </c>
      <c r="C35" s="28" t="s">
        <v>303</v>
      </c>
      <c r="D35" s="29"/>
      <c r="E35" s="30">
        <f t="shared" si="10"/>
        <v>0</v>
      </c>
      <c r="F35" s="31"/>
      <c r="G35" s="30">
        <f t="shared" si="12"/>
        <v>0</v>
      </c>
      <c r="H35" s="31"/>
      <c r="I35" s="30">
        <f t="shared" si="13"/>
        <v>0</v>
      </c>
      <c r="J35" s="31"/>
      <c r="K35" s="30">
        <f t="shared" si="11"/>
        <v>0</v>
      </c>
      <c r="L35" s="31"/>
      <c r="M35" s="30">
        <f t="shared" si="14"/>
        <v>0</v>
      </c>
      <c r="N35" s="31"/>
      <c r="O35" s="30">
        <f t="shared" si="15"/>
        <v>0</v>
      </c>
      <c r="P35" s="31"/>
      <c r="Q35" s="30">
        <f t="shared" si="16"/>
        <v>0</v>
      </c>
      <c r="R35" s="31"/>
      <c r="S35" s="30">
        <f t="shared" si="17"/>
        <v>0</v>
      </c>
      <c r="T35" s="47"/>
      <c r="U35" s="30">
        <f t="shared" si="18"/>
        <v>0</v>
      </c>
      <c r="V35" s="31"/>
      <c r="W35" s="30">
        <f t="shared" si="19"/>
        <v>0</v>
      </c>
      <c r="X35" s="31"/>
      <c r="Y35" s="30">
        <f t="shared" si="20"/>
        <v>0</v>
      </c>
      <c r="Z35" s="31"/>
      <c r="AA35" s="49">
        <f t="shared" si="21"/>
        <v>0</v>
      </c>
      <c r="AB35" s="50"/>
    </row>
    <row r="36" s="15" customFormat="1" ht="18" customHeight="1" spans="1:28">
      <c r="A36" s="32" t="s">
        <v>231</v>
      </c>
      <c r="B36" s="33">
        <f>B35-D35-F35-H35-J35-L35-N35-P35-R35-T35-V35-X35-Z35</f>
        <v>0</v>
      </c>
      <c r="C36" s="34" t="s">
        <v>276</v>
      </c>
      <c r="D36" s="35"/>
      <c r="E36" s="36">
        <f t="shared" si="10"/>
        <v>0</v>
      </c>
      <c r="F36" s="37"/>
      <c r="G36" s="36">
        <f t="shared" si="12"/>
        <v>0</v>
      </c>
      <c r="H36" s="37"/>
      <c r="I36" s="36">
        <f t="shared" si="13"/>
        <v>0</v>
      </c>
      <c r="J36" s="37"/>
      <c r="K36" s="45">
        <f t="shared" si="11"/>
        <v>0</v>
      </c>
      <c r="L36" s="37"/>
      <c r="M36" s="36">
        <f t="shared" si="14"/>
        <v>0</v>
      </c>
      <c r="N36" s="37"/>
      <c r="O36" s="36">
        <f t="shared" si="15"/>
        <v>0</v>
      </c>
      <c r="P36" s="37"/>
      <c r="Q36" s="36">
        <f t="shared" si="16"/>
        <v>0</v>
      </c>
      <c r="R36" s="37"/>
      <c r="S36" s="36">
        <f t="shared" si="17"/>
        <v>0</v>
      </c>
      <c r="T36" s="37"/>
      <c r="U36" s="36">
        <f t="shared" si="18"/>
        <v>0</v>
      </c>
      <c r="V36" s="37"/>
      <c r="W36" s="36">
        <f t="shared" si="19"/>
        <v>0</v>
      </c>
      <c r="X36" s="37"/>
      <c r="Y36" s="36">
        <f t="shared" si="20"/>
        <v>0</v>
      </c>
      <c r="Z36" s="37"/>
      <c r="AA36" s="51">
        <f t="shared" si="21"/>
        <v>0</v>
      </c>
      <c r="AB36" s="50"/>
    </row>
    <row r="37" s="15" customFormat="1" ht="18" customHeight="1" spans="1:28">
      <c r="A37" s="26" t="str">
        <f>⑦原価詳細!A25</f>
        <v>○○</v>
      </c>
      <c r="B37" s="27">
        <f>⑦原価詳細!F25/1000000</f>
        <v>0</v>
      </c>
      <c r="C37" s="28" t="s">
        <v>303</v>
      </c>
      <c r="D37" s="29"/>
      <c r="E37" s="30">
        <f t="shared" si="10"/>
        <v>0</v>
      </c>
      <c r="F37" s="31"/>
      <c r="G37" s="30">
        <f t="shared" si="12"/>
        <v>0</v>
      </c>
      <c r="H37" s="31"/>
      <c r="I37" s="30">
        <f t="shared" si="13"/>
        <v>0</v>
      </c>
      <c r="J37" s="31"/>
      <c r="K37" s="30">
        <f t="shared" si="11"/>
        <v>0</v>
      </c>
      <c r="L37" s="31"/>
      <c r="M37" s="30">
        <f t="shared" si="14"/>
        <v>0</v>
      </c>
      <c r="N37" s="31"/>
      <c r="O37" s="30">
        <f t="shared" si="15"/>
        <v>0</v>
      </c>
      <c r="P37" s="31"/>
      <c r="Q37" s="30">
        <f t="shared" si="16"/>
        <v>0</v>
      </c>
      <c r="R37" s="31"/>
      <c r="S37" s="30">
        <f t="shared" si="17"/>
        <v>0</v>
      </c>
      <c r="T37" s="47"/>
      <c r="U37" s="30">
        <f t="shared" si="18"/>
        <v>0</v>
      </c>
      <c r="V37" s="31"/>
      <c r="W37" s="30">
        <f t="shared" si="19"/>
        <v>0</v>
      </c>
      <c r="X37" s="31"/>
      <c r="Y37" s="30">
        <f t="shared" si="20"/>
        <v>0</v>
      </c>
      <c r="Z37" s="31"/>
      <c r="AA37" s="49">
        <f t="shared" si="21"/>
        <v>0</v>
      </c>
      <c r="AB37" s="50"/>
    </row>
    <row r="38" s="15" customFormat="1" ht="18" customHeight="1" spans="1:28">
      <c r="A38" s="32" t="s">
        <v>231</v>
      </c>
      <c r="B38" s="33">
        <f>B37-D37-F37-H37-J37-L37-N37-P37-R37-T37-V37-X37-Z37</f>
        <v>0</v>
      </c>
      <c r="C38" s="34" t="s">
        <v>276</v>
      </c>
      <c r="D38" s="35"/>
      <c r="E38" s="36">
        <f t="shared" si="10"/>
        <v>0</v>
      </c>
      <c r="F38" s="37"/>
      <c r="G38" s="36">
        <f t="shared" si="12"/>
        <v>0</v>
      </c>
      <c r="H38" s="37"/>
      <c r="I38" s="36">
        <f t="shared" si="13"/>
        <v>0</v>
      </c>
      <c r="J38" s="37"/>
      <c r="K38" s="45">
        <f t="shared" si="11"/>
        <v>0</v>
      </c>
      <c r="L38" s="37"/>
      <c r="M38" s="36">
        <f t="shared" si="14"/>
        <v>0</v>
      </c>
      <c r="N38" s="37"/>
      <c r="O38" s="36">
        <f t="shared" si="15"/>
        <v>0</v>
      </c>
      <c r="P38" s="37"/>
      <c r="Q38" s="36">
        <f t="shared" si="16"/>
        <v>0</v>
      </c>
      <c r="R38" s="37"/>
      <c r="S38" s="36">
        <f t="shared" si="17"/>
        <v>0</v>
      </c>
      <c r="T38" s="37"/>
      <c r="U38" s="36">
        <f t="shared" si="18"/>
        <v>0</v>
      </c>
      <c r="V38" s="37"/>
      <c r="W38" s="36">
        <f t="shared" si="19"/>
        <v>0</v>
      </c>
      <c r="X38" s="37"/>
      <c r="Y38" s="36">
        <f t="shared" si="20"/>
        <v>0</v>
      </c>
      <c r="Z38" s="37"/>
      <c r="AA38" s="51">
        <f t="shared" si="21"/>
        <v>0</v>
      </c>
      <c r="AB38" s="50"/>
    </row>
    <row r="39" s="15" customFormat="1" ht="18" customHeight="1" spans="1:28">
      <c r="A39" s="26" t="str">
        <f>⑦原価詳細!A26</f>
        <v>○○</v>
      </c>
      <c r="B39" s="27">
        <f>⑦原価詳細!F26/1000000</f>
        <v>0</v>
      </c>
      <c r="C39" s="28" t="s">
        <v>303</v>
      </c>
      <c r="D39" s="29"/>
      <c r="E39" s="30">
        <f t="shared" si="10"/>
        <v>0</v>
      </c>
      <c r="F39" s="31"/>
      <c r="G39" s="30">
        <f t="shared" si="12"/>
        <v>0</v>
      </c>
      <c r="H39" s="31"/>
      <c r="I39" s="30">
        <f t="shared" si="13"/>
        <v>0</v>
      </c>
      <c r="J39" s="31"/>
      <c r="K39" s="30">
        <f t="shared" si="11"/>
        <v>0</v>
      </c>
      <c r="L39" s="31"/>
      <c r="M39" s="30">
        <f t="shared" si="14"/>
        <v>0</v>
      </c>
      <c r="N39" s="31"/>
      <c r="O39" s="30">
        <f t="shared" si="15"/>
        <v>0</v>
      </c>
      <c r="P39" s="31"/>
      <c r="Q39" s="30">
        <f t="shared" si="16"/>
        <v>0</v>
      </c>
      <c r="R39" s="31"/>
      <c r="S39" s="30">
        <f t="shared" si="17"/>
        <v>0</v>
      </c>
      <c r="T39" s="47"/>
      <c r="U39" s="30">
        <f t="shared" si="18"/>
        <v>0</v>
      </c>
      <c r="V39" s="31"/>
      <c r="W39" s="30">
        <f t="shared" si="19"/>
        <v>0</v>
      </c>
      <c r="X39" s="31"/>
      <c r="Y39" s="30">
        <f t="shared" si="20"/>
        <v>0</v>
      </c>
      <c r="Z39" s="31"/>
      <c r="AA39" s="49">
        <f t="shared" si="21"/>
        <v>0</v>
      </c>
      <c r="AB39" s="50"/>
    </row>
    <row r="40" s="15" customFormat="1" ht="18" customHeight="1" spans="1:28">
      <c r="A40" s="32" t="s">
        <v>231</v>
      </c>
      <c r="B40" s="33">
        <f>B39-D39-F39-H39-J39-L39-N39-P39-R39-T39-V39-X39-Z39</f>
        <v>0</v>
      </c>
      <c r="C40" s="34" t="s">
        <v>276</v>
      </c>
      <c r="D40" s="35"/>
      <c r="E40" s="36">
        <f t="shared" si="10"/>
        <v>0</v>
      </c>
      <c r="F40" s="37"/>
      <c r="G40" s="36">
        <f t="shared" si="12"/>
        <v>0</v>
      </c>
      <c r="H40" s="37"/>
      <c r="I40" s="36">
        <f t="shared" si="13"/>
        <v>0</v>
      </c>
      <c r="J40" s="37"/>
      <c r="K40" s="45">
        <f t="shared" si="11"/>
        <v>0</v>
      </c>
      <c r="L40" s="37"/>
      <c r="M40" s="36">
        <f t="shared" si="14"/>
        <v>0</v>
      </c>
      <c r="N40" s="37"/>
      <c r="O40" s="36">
        <f t="shared" si="15"/>
        <v>0</v>
      </c>
      <c r="P40" s="37"/>
      <c r="Q40" s="36">
        <f t="shared" si="16"/>
        <v>0</v>
      </c>
      <c r="R40" s="37"/>
      <c r="S40" s="36">
        <f t="shared" si="17"/>
        <v>0</v>
      </c>
      <c r="T40" s="37"/>
      <c r="U40" s="36">
        <f t="shared" si="18"/>
        <v>0</v>
      </c>
      <c r="V40" s="37"/>
      <c r="W40" s="36">
        <f t="shared" si="19"/>
        <v>0</v>
      </c>
      <c r="X40" s="37"/>
      <c r="Y40" s="36">
        <f t="shared" si="20"/>
        <v>0</v>
      </c>
      <c r="Z40" s="37"/>
      <c r="AA40" s="51">
        <f t="shared" si="21"/>
        <v>0</v>
      </c>
      <c r="AB40" s="50"/>
    </row>
    <row r="41" s="15" customFormat="1" ht="18" customHeight="1" spans="1:28">
      <c r="A41" s="26" t="str">
        <f>⑦原価詳細!A27</f>
        <v>○○</v>
      </c>
      <c r="B41" s="27">
        <f>⑦原価詳細!F27/1000000</f>
        <v>0</v>
      </c>
      <c r="C41" s="28" t="s">
        <v>303</v>
      </c>
      <c r="D41" s="29"/>
      <c r="E41" s="30">
        <f t="shared" si="10"/>
        <v>0</v>
      </c>
      <c r="F41" s="31"/>
      <c r="G41" s="30">
        <f t="shared" si="12"/>
        <v>0</v>
      </c>
      <c r="H41" s="31"/>
      <c r="I41" s="30">
        <f t="shared" si="13"/>
        <v>0</v>
      </c>
      <c r="J41" s="31"/>
      <c r="K41" s="30">
        <f t="shared" si="11"/>
        <v>0</v>
      </c>
      <c r="L41" s="31"/>
      <c r="M41" s="30">
        <f t="shared" si="14"/>
        <v>0</v>
      </c>
      <c r="N41" s="31"/>
      <c r="O41" s="30">
        <f t="shared" si="15"/>
        <v>0</v>
      </c>
      <c r="P41" s="31"/>
      <c r="Q41" s="30">
        <f t="shared" si="16"/>
        <v>0</v>
      </c>
      <c r="R41" s="31"/>
      <c r="S41" s="30">
        <f t="shared" si="17"/>
        <v>0</v>
      </c>
      <c r="T41" s="47"/>
      <c r="U41" s="30">
        <f t="shared" si="18"/>
        <v>0</v>
      </c>
      <c r="V41" s="31"/>
      <c r="W41" s="30">
        <f t="shared" si="19"/>
        <v>0</v>
      </c>
      <c r="X41" s="31"/>
      <c r="Y41" s="30">
        <f t="shared" si="20"/>
        <v>0</v>
      </c>
      <c r="Z41" s="31"/>
      <c r="AA41" s="49">
        <f t="shared" si="21"/>
        <v>0</v>
      </c>
      <c r="AB41" s="50"/>
    </row>
    <row r="42" s="15" customFormat="1" ht="18" customHeight="1" spans="1:28">
      <c r="A42" s="32" t="s">
        <v>231</v>
      </c>
      <c r="B42" s="33">
        <f>B41-D41-F41-H41-J41-L41-N41-P41-R41-T41-V41-X41-Z41</f>
        <v>0</v>
      </c>
      <c r="C42" s="34" t="s">
        <v>276</v>
      </c>
      <c r="D42" s="35"/>
      <c r="E42" s="36">
        <f t="shared" si="10"/>
        <v>0</v>
      </c>
      <c r="F42" s="37"/>
      <c r="G42" s="36">
        <f t="shared" si="12"/>
        <v>0</v>
      </c>
      <c r="H42" s="37"/>
      <c r="I42" s="36">
        <f t="shared" si="13"/>
        <v>0</v>
      </c>
      <c r="J42" s="37"/>
      <c r="K42" s="45">
        <f t="shared" si="11"/>
        <v>0</v>
      </c>
      <c r="L42" s="37"/>
      <c r="M42" s="36">
        <f t="shared" si="14"/>
        <v>0</v>
      </c>
      <c r="N42" s="37"/>
      <c r="O42" s="36">
        <f t="shared" si="15"/>
        <v>0</v>
      </c>
      <c r="P42" s="37"/>
      <c r="Q42" s="36">
        <f t="shared" si="16"/>
        <v>0</v>
      </c>
      <c r="R42" s="37"/>
      <c r="S42" s="36">
        <f t="shared" si="17"/>
        <v>0</v>
      </c>
      <c r="T42" s="37"/>
      <c r="U42" s="36">
        <f t="shared" si="18"/>
        <v>0</v>
      </c>
      <c r="V42" s="37"/>
      <c r="W42" s="36">
        <f t="shared" si="19"/>
        <v>0</v>
      </c>
      <c r="X42" s="37"/>
      <c r="Y42" s="36">
        <f t="shared" si="20"/>
        <v>0</v>
      </c>
      <c r="Z42" s="37"/>
      <c r="AA42" s="51">
        <f t="shared" si="21"/>
        <v>0</v>
      </c>
      <c r="AB42" s="50"/>
    </row>
    <row r="43" s="15" customFormat="1" ht="18" customHeight="1" spans="1:28">
      <c r="A43" s="26" t="str">
        <f>⑦原価詳細!A28</f>
        <v>○○</v>
      </c>
      <c r="B43" s="27">
        <f>⑦原価詳細!F28/1000000</f>
        <v>0</v>
      </c>
      <c r="C43" s="28" t="s">
        <v>303</v>
      </c>
      <c r="D43" s="29"/>
      <c r="E43" s="30">
        <f t="shared" si="10"/>
        <v>0</v>
      </c>
      <c r="F43" s="31"/>
      <c r="G43" s="30">
        <f t="shared" si="12"/>
        <v>0</v>
      </c>
      <c r="H43" s="31"/>
      <c r="I43" s="30">
        <f t="shared" si="13"/>
        <v>0</v>
      </c>
      <c r="J43" s="31"/>
      <c r="K43" s="30">
        <f t="shared" si="11"/>
        <v>0</v>
      </c>
      <c r="L43" s="31"/>
      <c r="M43" s="30">
        <f t="shared" si="14"/>
        <v>0</v>
      </c>
      <c r="N43" s="31"/>
      <c r="O43" s="30">
        <f t="shared" si="15"/>
        <v>0</v>
      </c>
      <c r="P43" s="31"/>
      <c r="Q43" s="30">
        <f t="shared" si="16"/>
        <v>0</v>
      </c>
      <c r="R43" s="31"/>
      <c r="S43" s="30">
        <f t="shared" si="17"/>
        <v>0</v>
      </c>
      <c r="T43" s="47"/>
      <c r="U43" s="30">
        <f t="shared" si="18"/>
        <v>0</v>
      </c>
      <c r="V43" s="31"/>
      <c r="W43" s="30">
        <f t="shared" si="19"/>
        <v>0</v>
      </c>
      <c r="X43" s="31"/>
      <c r="Y43" s="30">
        <f t="shared" si="20"/>
        <v>0</v>
      </c>
      <c r="Z43" s="31"/>
      <c r="AA43" s="49">
        <f t="shared" si="21"/>
        <v>0</v>
      </c>
      <c r="AB43" s="50"/>
    </row>
    <row r="44" s="15" customFormat="1" ht="18" customHeight="1" spans="1:28">
      <c r="A44" s="32" t="s">
        <v>231</v>
      </c>
      <c r="B44" s="33">
        <f>B43-D43-F43-H43-J43-L43-N43-P43-R43-T43-V43-X43-Z43</f>
        <v>0</v>
      </c>
      <c r="C44" s="34" t="s">
        <v>276</v>
      </c>
      <c r="D44" s="35"/>
      <c r="E44" s="36">
        <f t="shared" si="10"/>
        <v>0</v>
      </c>
      <c r="F44" s="37"/>
      <c r="G44" s="36">
        <f t="shared" si="12"/>
        <v>0</v>
      </c>
      <c r="H44" s="37"/>
      <c r="I44" s="36">
        <f t="shared" si="13"/>
        <v>0</v>
      </c>
      <c r="J44" s="37"/>
      <c r="K44" s="45">
        <f t="shared" si="11"/>
        <v>0</v>
      </c>
      <c r="L44" s="37"/>
      <c r="M44" s="36">
        <f t="shared" si="14"/>
        <v>0</v>
      </c>
      <c r="N44" s="37"/>
      <c r="O44" s="36">
        <f t="shared" si="15"/>
        <v>0</v>
      </c>
      <c r="P44" s="37"/>
      <c r="Q44" s="36">
        <f t="shared" si="16"/>
        <v>0</v>
      </c>
      <c r="R44" s="37"/>
      <c r="S44" s="36">
        <f t="shared" si="17"/>
        <v>0</v>
      </c>
      <c r="T44" s="37"/>
      <c r="U44" s="36">
        <f t="shared" si="18"/>
        <v>0</v>
      </c>
      <c r="V44" s="37"/>
      <c r="W44" s="36">
        <f t="shared" si="19"/>
        <v>0</v>
      </c>
      <c r="X44" s="37"/>
      <c r="Y44" s="36">
        <f t="shared" si="20"/>
        <v>0</v>
      </c>
      <c r="Z44" s="37"/>
      <c r="AA44" s="51">
        <f t="shared" si="21"/>
        <v>0</v>
      </c>
      <c r="AB44" s="50"/>
    </row>
    <row r="45" s="15" customFormat="1" ht="18" customHeight="1" spans="1:28">
      <c r="A45" s="26" t="str">
        <f>⑦原価詳細!A29</f>
        <v>○○</v>
      </c>
      <c r="B45" s="27">
        <f>⑦原価詳細!F29/1000000</f>
        <v>0</v>
      </c>
      <c r="C45" s="28" t="s">
        <v>303</v>
      </c>
      <c r="D45" s="29"/>
      <c r="E45" s="30">
        <f t="shared" si="10"/>
        <v>0</v>
      </c>
      <c r="F45" s="31"/>
      <c r="G45" s="30">
        <f t="shared" si="12"/>
        <v>0</v>
      </c>
      <c r="H45" s="31"/>
      <c r="I45" s="30">
        <f t="shared" si="13"/>
        <v>0</v>
      </c>
      <c r="J45" s="31"/>
      <c r="K45" s="30">
        <f t="shared" si="11"/>
        <v>0</v>
      </c>
      <c r="L45" s="31"/>
      <c r="M45" s="30">
        <f t="shared" si="14"/>
        <v>0</v>
      </c>
      <c r="N45" s="31"/>
      <c r="O45" s="30">
        <f t="shared" si="15"/>
        <v>0</v>
      </c>
      <c r="P45" s="31"/>
      <c r="Q45" s="30">
        <f t="shared" si="16"/>
        <v>0</v>
      </c>
      <c r="R45" s="31"/>
      <c r="S45" s="30">
        <f t="shared" si="17"/>
        <v>0</v>
      </c>
      <c r="T45" s="47"/>
      <c r="U45" s="30">
        <f t="shared" si="18"/>
        <v>0</v>
      </c>
      <c r="V45" s="31"/>
      <c r="W45" s="30">
        <f t="shared" si="19"/>
        <v>0</v>
      </c>
      <c r="X45" s="31"/>
      <c r="Y45" s="30">
        <f t="shared" si="20"/>
        <v>0</v>
      </c>
      <c r="Z45" s="31"/>
      <c r="AA45" s="49">
        <f t="shared" si="21"/>
        <v>0</v>
      </c>
      <c r="AB45" s="50"/>
    </row>
    <row r="46" s="15" customFormat="1" ht="18" customHeight="1" spans="1:28">
      <c r="A46" s="32" t="s">
        <v>231</v>
      </c>
      <c r="B46" s="38">
        <f>B45-D45-F45-H45-J45-L45-N45-P45-R45-T45-V45-X45-Z45</f>
        <v>0</v>
      </c>
      <c r="C46" s="39" t="s">
        <v>276</v>
      </c>
      <c r="D46" s="35"/>
      <c r="E46" s="36">
        <f t="shared" si="10"/>
        <v>0</v>
      </c>
      <c r="F46" s="37"/>
      <c r="G46" s="36">
        <f t="shared" si="12"/>
        <v>0</v>
      </c>
      <c r="H46" s="37"/>
      <c r="I46" s="36">
        <f t="shared" si="13"/>
        <v>0</v>
      </c>
      <c r="J46" s="37"/>
      <c r="K46" s="45">
        <f t="shared" si="11"/>
        <v>0</v>
      </c>
      <c r="L46" s="37"/>
      <c r="M46" s="36">
        <f t="shared" si="14"/>
        <v>0</v>
      </c>
      <c r="N46" s="37"/>
      <c r="O46" s="36">
        <f t="shared" si="15"/>
        <v>0</v>
      </c>
      <c r="P46" s="37"/>
      <c r="Q46" s="36">
        <f t="shared" si="16"/>
        <v>0</v>
      </c>
      <c r="R46" s="37"/>
      <c r="S46" s="36">
        <f t="shared" si="17"/>
        <v>0</v>
      </c>
      <c r="T46" s="37"/>
      <c r="U46" s="36">
        <f t="shared" si="18"/>
        <v>0</v>
      </c>
      <c r="V46" s="37"/>
      <c r="W46" s="36">
        <f t="shared" si="19"/>
        <v>0</v>
      </c>
      <c r="X46" s="37"/>
      <c r="Y46" s="36">
        <f t="shared" si="20"/>
        <v>0</v>
      </c>
      <c r="Z46" s="37"/>
      <c r="AA46" s="51">
        <f t="shared" si="21"/>
        <v>0</v>
      </c>
      <c r="AB46" s="50"/>
    </row>
    <row r="47" spans="1:28">
      <c r="A47" s="40"/>
      <c r="B47" s="41"/>
      <c r="C47" s="41"/>
      <c r="D47" s="40"/>
      <c r="E47" s="41"/>
      <c r="F47" s="41"/>
      <c r="G47" s="41"/>
      <c r="H47" s="41"/>
      <c r="I47" s="41"/>
      <c r="J47" s="41"/>
      <c r="K47" s="41"/>
      <c r="L47" s="41"/>
      <c r="M47" s="41"/>
      <c r="N47" s="41"/>
      <c r="O47" s="41"/>
      <c r="P47" s="41"/>
      <c r="Q47" s="41"/>
      <c r="R47" s="41"/>
      <c r="S47" s="41"/>
      <c r="T47" s="41"/>
      <c r="U47" s="41"/>
      <c r="V47" s="41"/>
      <c r="W47" s="41"/>
      <c r="X47" s="41"/>
      <c r="Y47" s="41"/>
      <c r="Z47" s="41"/>
      <c r="AA47" s="41"/>
      <c r="AB47" s="40"/>
    </row>
    <row r="48" spans="1:28">
      <c r="A48" s="40"/>
      <c r="B48" s="42"/>
      <c r="C48" s="43"/>
      <c r="D48" s="42"/>
      <c r="E48" s="42"/>
      <c r="F48" s="42"/>
      <c r="G48" s="42"/>
      <c r="H48" s="42"/>
      <c r="I48" s="42"/>
      <c r="J48" s="42"/>
      <c r="K48" s="42"/>
      <c r="L48" s="42"/>
      <c r="M48" s="42"/>
      <c r="N48" s="42"/>
      <c r="O48" s="42"/>
      <c r="P48" s="42"/>
      <c r="Q48" s="42"/>
      <c r="R48" s="42"/>
      <c r="S48" s="42"/>
      <c r="T48" s="42"/>
      <c r="U48" s="42"/>
      <c r="V48" s="42"/>
      <c r="W48" s="42"/>
      <c r="X48" s="42"/>
      <c r="Y48" s="42"/>
      <c r="Z48" s="42"/>
      <c r="AA48" s="42"/>
      <c r="AB48" s="40"/>
    </row>
    <row r="49" spans="1:28">
      <c r="A49" s="40"/>
      <c r="B49" s="42"/>
      <c r="C49" s="43"/>
      <c r="D49" s="42"/>
      <c r="E49" s="42"/>
      <c r="F49" s="42"/>
      <c r="G49" s="42"/>
      <c r="H49" s="42"/>
      <c r="I49" s="42"/>
      <c r="J49" s="42"/>
      <c r="K49" s="42"/>
      <c r="L49" s="42"/>
      <c r="M49" s="42"/>
      <c r="N49" s="42"/>
      <c r="O49" s="42"/>
      <c r="P49" s="42"/>
      <c r="Q49" s="42"/>
      <c r="R49" s="42"/>
      <c r="S49" s="42"/>
      <c r="T49" s="42"/>
      <c r="U49" s="42"/>
      <c r="V49" s="42"/>
      <c r="W49" s="42"/>
      <c r="X49" s="42"/>
      <c r="Y49" s="42"/>
      <c r="Z49" s="42"/>
      <c r="AA49" s="42"/>
      <c r="AB49" s="40"/>
    </row>
    <row r="50" spans="2:27">
      <c r="B50" s="44"/>
      <c r="D50" s="44"/>
      <c r="E50" s="44"/>
      <c r="F50" s="44"/>
      <c r="G50" s="44"/>
      <c r="H50" s="44"/>
      <c r="I50" s="44"/>
      <c r="J50" s="44"/>
      <c r="K50" s="44"/>
      <c r="L50" s="44"/>
      <c r="M50" s="44"/>
      <c r="N50" s="44"/>
      <c r="O50" s="44"/>
      <c r="P50" s="44"/>
      <c r="Q50" s="44"/>
      <c r="R50" s="44"/>
      <c r="S50" s="44"/>
      <c r="T50" s="44"/>
      <c r="U50" s="44"/>
      <c r="V50" s="44"/>
      <c r="W50" s="44"/>
      <c r="X50" s="44"/>
      <c r="Y50" s="44"/>
      <c r="Z50" s="44"/>
      <c r="AA50" s="44"/>
    </row>
    <row r="51" spans="2:27">
      <c r="B51" s="44"/>
      <c r="D51" s="44"/>
      <c r="E51" s="44"/>
      <c r="F51" s="44"/>
      <c r="G51" s="44"/>
      <c r="H51" s="44"/>
      <c r="I51" s="44"/>
      <c r="J51" s="44"/>
      <c r="K51" s="44"/>
      <c r="L51" s="44"/>
      <c r="M51" s="44"/>
      <c r="N51" s="44"/>
      <c r="O51" s="44"/>
      <c r="P51" s="44"/>
      <c r="Q51" s="44"/>
      <c r="R51" s="44"/>
      <c r="S51" s="44"/>
      <c r="T51" s="44"/>
      <c r="U51" s="44"/>
      <c r="V51" s="44"/>
      <c r="W51" s="44"/>
      <c r="X51" s="44"/>
      <c r="Y51" s="44"/>
      <c r="Z51" s="44"/>
      <c r="AA51" s="44"/>
    </row>
    <row r="52" spans="2:27">
      <c r="B52" s="44"/>
      <c r="D52" s="44"/>
      <c r="E52" s="44"/>
      <c r="F52" s="44"/>
      <c r="G52" s="44"/>
      <c r="H52" s="44"/>
      <c r="I52" s="44"/>
      <c r="J52" s="44"/>
      <c r="K52" s="44"/>
      <c r="L52" s="44"/>
      <c r="M52" s="44"/>
      <c r="N52" s="44"/>
      <c r="O52" s="44"/>
      <c r="P52" s="44"/>
      <c r="Q52" s="44"/>
      <c r="R52" s="44"/>
      <c r="S52" s="44"/>
      <c r="T52" s="44"/>
      <c r="U52" s="44"/>
      <c r="V52" s="44"/>
      <c r="W52" s="44"/>
      <c r="X52" s="44"/>
      <c r="Y52" s="44"/>
      <c r="Z52" s="44"/>
      <c r="AA52" s="44"/>
    </row>
    <row r="53" spans="2:27">
      <c r="B53" s="44"/>
      <c r="D53" s="44"/>
      <c r="E53" s="44"/>
      <c r="F53" s="44"/>
      <c r="G53" s="44"/>
      <c r="H53" s="44"/>
      <c r="I53" s="44"/>
      <c r="J53" s="44"/>
      <c r="K53" s="44"/>
      <c r="L53" s="44"/>
      <c r="M53" s="44"/>
      <c r="N53" s="44"/>
      <c r="O53" s="44"/>
      <c r="P53" s="44"/>
      <c r="Q53" s="44"/>
      <c r="R53" s="44"/>
      <c r="S53" s="44"/>
      <c r="T53" s="44"/>
      <c r="U53" s="44"/>
      <c r="V53" s="44"/>
      <c r="W53" s="44"/>
      <c r="X53" s="44"/>
      <c r="Y53" s="44"/>
      <c r="Z53" s="44"/>
      <c r="AA53" s="44"/>
    </row>
    <row r="54" spans="2:27">
      <c r="B54" s="44"/>
      <c r="D54" s="44"/>
      <c r="E54" s="44"/>
      <c r="F54" s="44"/>
      <c r="G54" s="44"/>
      <c r="H54" s="44"/>
      <c r="I54" s="44"/>
      <c r="J54" s="44"/>
      <c r="K54" s="44"/>
      <c r="L54" s="44"/>
      <c r="M54" s="44"/>
      <c r="N54" s="44"/>
      <c r="O54" s="44"/>
      <c r="P54" s="44"/>
      <c r="Q54" s="44"/>
      <c r="R54" s="44"/>
      <c r="S54" s="44"/>
      <c r="T54" s="44"/>
      <c r="U54" s="44"/>
      <c r="V54" s="44"/>
      <c r="W54" s="44"/>
      <c r="X54" s="44"/>
      <c r="Y54" s="44"/>
      <c r="Z54" s="44"/>
      <c r="AA54" s="44"/>
    </row>
    <row r="55" spans="2:27">
      <c r="B55" s="44"/>
      <c r="D55" s="44"/>
      <c r="E55" s="44"/>
      <c r="F55" s="44"/>
      <c r="G55" s="44"/>
      <c r="H55" s="44"/>
      <c r="I55" s="44"/>
      <c r="J55" s="44"/>
      <c r="K55" s="44"/>
      <c r="L55" s="44"/>
      <c r="M55" s="44"/>
      <c r="N55" s="44"/>
      <c r="O55" s="44"/>
      <c r="P55" s="44"/>
      <c r="Q55" s="44"/>
      <c r="R55" s="44"/>
      <c r="S55" s="44"/>
      <c r="T55" s="44"/>
      <c r="U55" s="44"/>
      <c r="V55" s="44"/>
      <c r="W55" s="44"/>
      <c r="X55" s="44"/>
      <c r="Y55" s="44"/>
      <c r="Z55" s="44"/>
      <c r="AA55" s="44"/>
    </row>
    <row r="56" spans="2:27">
      <c r="B56" s="44"/>
      <c r="D56" s="44"/>
      <c r="E56" s="44"/>
      <c r="F56" s="44"/>
      <c r="G56" s="44"/>
      <c r="H56" s="44"/>
      <c r="I56" s="44"/>
      <c r="J56" s="44"/>
      <c r="K56" s="44"/>
      <c r="L56" s="44"/>
      <c r="M56" s="44"/>
      <c r="N56" s="44"/>
      <c r="O56" s="44"/>
      <c r="P56" s="44"/>
      <c r="Q56" s="44"/>
      <c r="R56" s="44"/>
      <c r="S56" s="44"/>
      <c r="T56" s="44"/>
      <c r="U56" s="44"/>
      <c r="V56" s="44"/>
      <c r="W56" s="44"/>
      <c r="X56" s="44"/>
      <c r="Y56" s="44"/>
      <c r="Z56" s="44"/>
      <c r="AA56" s="44"/>
    </row>
    <row r="57" spans="2:27">
      <c r="B57" s="44"/>
      <c r="D57" s="44"/>
      <c r="E57" s="44"/>
      <c r="F57" s="44"/>
      <c r="G57" s="44"/>
      <c r="H57" s="44"/>
      <c r="I57" s="44"/>
      <c r="J57" s="44"/>
      <c r="K57" s="44"/>
      <c r="L57" s="44"/>
      <c r="M57" s="44"/>
      <c r="N57" s="44"/>
      <c r="O57" s="44"/>
      <c r="P57" s="44"/>
      <c r="Q57" s="44"/>
      <c r="R57" s="44"/>
      <c r="S57" s="44"/>
      <c r="T57" s="44"/>
      <c r="U57" s="44"/>
      <c r="V57" s="44"/>
      <c r="W57" s="44"/>
      <c r="X57" s="44"/>
      <c r="Y57" s="44"/>
      <c r="Z57" s="44"/>
      <c r="AA57" s="44"/>
    </row>
    <row r="58" spans="2:27">
      <c r="B58" s="44"/>
      <c r="D58" s="44"/>
      <c r="E58" s="44"/>
      <c r="F58" s="44"/>
      <c r="G58" s="44"/>
      <c r="H58" s="44"/>
      <c r="I58" s="44"/>
      <c r="J58" s="44"/>
      <c r="K58" s="44"/>
      <c r="L58" s="44"/>
      <c r="M58" s="44"/>
      <c r="N58" s="44"/>
      <c r="O58" s="44"/>
      <c r="P58" s="44"/>
      <c r="Q58" s="44"/>
      <c r="R58" s="44"/>
      <c r="S58" s="44"/>
      <c r="T58" s="44"/>
      <c r="U58" s="44"/>
      <c r="V58" s="44"/>
      <c r="W58" s="44"/>
      <c r="X58" s="44"/>
      <c r="Y58" s="44"/>
      <c r="Z58" s="44"/>
      <c r="AA58" s="44"/>
    </row>
    <row r="59" spans="2:27">
      <c r="B59" s="44"/>
      <c r="D59" s="44"/>
      <c r="E59" s="44"/>
      <c r="F59" s="44"/>
      <c r="G59" s="44"/>
      <c r="H59" s="44"/>
      <c r="I59" s="44"/>
      <c r="J59" s="44"/>
      <c r="K59" s="44"/>
      <c r="L59" s="44"/>
      <c r="M59" s="44"/>
      <c r="N59" s="44"/>
      <c r="O59" s="44"/>
      <c r="P59" s="44"/>
      <c r="Q59" s="44"/>
      <c r="R59" s="44"/>
      <c r="S59" s="44"/>
      <c r="T59" s="44"/>
      <c r="U59" s="44"/>
      <c r="V59" s="44"/>
      <c r="W59" s="44"/>
      <c r="X59" s="44"/>
      <c r="Y59" s="44"/>
      <c r="Z59" s="44"/>
      <c r="AA59" s="44"/>
    </row>
    <row r="60" spans="2:27">
      <c r="B60" s="44"/>
      <c r="D60" s="44"/>
      <c r="E60" s="44"/>
      <c r="F60" s="44"/>
      <c r="G60" s="44"/>
      <c r="H60" s="44"/>
      <c r="I60" s="44"/>
      <c r="J60" s="44"/>
      <c r="K60" s="44"/>
      <c r="L60" s="44"/>
      <c r="M60" s="44"/>
      <c r="N60" s="44"/>
      <c r="O60" s="44"/>
      <c r="P60" s="44"/>
      <c r="Q60" s="44"/>
      <c r="R60" s="44"/>
      <c r="S60" s="44"/>
      <c r="T60" s="44"/>
      <c r="U60" s="44"/>
      <c r="V60" s="44"/>
      <c r="W60" s="44"/>
      <c r="X60" s="44"/>
      <c r="Y60" s="44"/>
      <c r="Z60" s="44"/>
      <c r="AA60" s="44"/>
    </row>
    <row r="61" spans="2:27">
      <c r="B61" s="44"/>
      <c r="D61" s="44"/>
      <c r="E61" s="44"/>
      <c r="F61" s="44"/>
      <c r="G61" s="44"/>
      <c r="H61" s="44"/>
      <c r="I61" s="44"/>
      <c r="J61" s="44"/>
      <c r="K61" s="44"/>
      <c r="L61" s="44"/>
      <c r="M61" s="44"/>
      <c r="N61" s="44"/>
      <c r="O61" s="44"/>
      <c r="P61" s="44"/>
      <c r="Q61" s="44"/>
      <c r="R61" s="44"/>
      <c r="S61" s="44"/>
      <c r="T61" s="44"/>
      <c r="U61" s="44"/>
      <c r="V61" s="44"/>
      <c r="W61" s="44"/>
      <c r="X61" s="44"/>
      <c r="Y61" s="44"/>
      <c r="Z61" s="44"/>
      <c r="AA61" s="44"/>
    </row>
    <row r="62" spans="2:27">
      <c r="B62" s="44"/>
      <c r="D62" s="44"/>
      <c r="E62" s="44"/>
      <c r="F62" s="44"/>
      <c r="G62" s="44"/>
      <c r="H62" s="44"/>
      <c r="I62" s="44"/>
      <c r="J62" s="44"/>
      <c r="K62" s="44"/>
      <c r="L62" s="44"/>
      <c r="M62" s="44"/>
      <c r="N62" s="44"/>
      <c r="O62" s="44"/>
      <c r="P62" s="44"/>
      <c r="Q62" s="44"/>
      <c r="R62" s="44"/>
      <c r="S62" s="44"/>
      <c r="T62" s="44"/>
      <c r="U62" s="44"/>
      <c r="V62" s="44"/>
      <c r="W62" s="44"/>
      <c r="X62" s="44"/>
      <c r="Y62" s="44"/>
      <c r="Z62" s="44"/>
      <c r="AA62" s="44"/>
    </row>
    <row r="63" spans="2:27">
      <c r="B63" s="44"/>
      <c r="D63" s="44"/>
      <c r="E63" s="44"/>
      <c r="F63" s="44"/>
      <c r="G63" s="44"/>
      <c r="H63" s="44"/>
      <c r="I63" s="44"/>
      <c r="J63" s="44"/>
      <c r="K63" s="44"/>
      <c r="L63" s="44"/>
      <c r="M63" s="44"/>
      <c r="N63" s="44"/>
      <c r="O63" s="44"/>
      <c r="P63" s="44"/>
      <c r="Q63" s="44"/>
      <c r="R63" s="44"/>
      <c r="S63" s="44"/>
      <c r="T63" s="44"/>
      <c r="U63" s="44"/>
      <c r="V63" s="44"/>
      <c r="W63" s="44"/>
      <c r="X63" s="44"/>
      <c r="Y63" s="44"/>
      <c r="Z63" s="44"/>
      <c r="AA63" s="44"/>
    </row>
    <row r="64" spans="2:27">
      <c r="B64" s="44"/>
      <c r="D64" s="44"/>
      <c r="E64" s="44"/>
      <c r="F64" s="44"/>
      <c r="G64" s="44"/>
      <c r="H64" s="44"/>
      <c r="I64" s="44"/>
      <c r="J64" s="44"/>
      <c r="K64" s="44"/>
      <c r="L64" s="44"/>
      <c r="M64" s="44"/>
      <c r="N64" s="44"/>
      <c r="O64" s="44"/>
      <c r="P64" s="44"/>
      <c r="Q64" s="44"/>
      <c r="R64" s="44"/>
      <c r="S64" s="44"/>
      <c r="T64" s="44"/>
      <c r="U64" s="44"/>
      <c r="V64" s="44"/>
      <c r="W64" s="44"/>
      <c r="X64" s="44"/>
      <c r="Y64" s="44"/>
      <c r="Z64" s="44"/>
      <c r="AA64" s="44"/>
    </row>
    <row r="65" spans="2:27">
      <c r="B65" s="44"/>
      <c r="D65" s="44"/>
      <c r="E65" s="44"/>
      <c r="F65" s="44"/>
      <c r="G65" s="44"/>
      <c r="H65" s="44"/>
      <c r="I65" s="44"/>
      <c r="J65" s="44"/>
      <c r="K65" s="44"/>
      <c r="L65" s="44"/>
      <c r="M65" s="44"/>
      <c r="N65" s="44"/>
      <c r="O65" s="44"/>
      <c r="P65" s="44"/>
      <c r="Q65" s="44"/>
      <c r="R65" s="44"/>
      <c r="S65" s="44"/>
      <c r="T65" s="44"/>
      <c r="U65" s="44"/>
      <c r="V65" s="44"/>
      <c r="W65" s="44"/>
      <c r="X65" s="44"/>
      <c r="Y65" s="44"/>
      <c r="Z65" s="44"/>
      <c r="AA65" s="44"/>
    </row>
    <row r="66" spans="2:27">
      <c r="B66" s="44"/>
      <c r="D66" s="44"/>
      <c r="E66" s="44"/>
      <c r="F66" s="44"/>
      <c r="G66" s="44"/>
      <c r="H66" s="44"/>
      <c r="I66" s="44"/>
      <c r="J66" s="44"/>
      <c r="K66" s="44"/>
      <c r="L66" s="44"/>
      <c r="M66" s="44"/>
      <c r="N66" s="44"/>
      <c r="O66" s="44"/>
      <c r="P66" s="44"/>
      <c r="Q66" s="44"/>
      <c r="R66" s="44"/>
      <c r="S66" s="44"/>
      <c r="T66" s="44"/>
      <c r="U66" s="44"/>
      <c r="V66" s="44"/>
      <c r="W66" s="44"/>
      <c r="X66" s="44"/>
      <c r="Y66" s="44"/>
      <c r="Z66" s="44"/>
      <c r="AA66" s="44"/>
    </row>
    <row r="67" spans="2:27">
      <c r="B67" s="44"/>
      <c r="D67" s="44"/>
      <c r="E67" s="44"/>
      <c r="F67" s="44"/>
      <c r="G67" s="44"/>
      <c r="H67" s="44"/>
      <c r="I67" s="44"/>
      <c r="J67" s="44"/>
      <c r="K67" s="44"/>
      <c r="L67" s="44"/>
      <c r="M67" s="44"/>
      <c r="N67" s="44"/>
      <c r="O67" s="44"/>
      <c r="P67" s="44"/>
      <c r="Q67" s="44"/>
      <c r="R67" s="44"/>
      <c r="S67" s="44"/>
      <c r="T67" s="44"/>
      <c r="U67" s="44"/>
      <c r="V67" s="44"/>
      <c r="W67" s="44"/>
      <c r="X67" s="44"/>
      <c r="Y67" s="44"/>
      <c r="Z67" s="44"/>
      <c r="AA67" s="44"/>
    </row>
    <row r="68" spans="2:27">
      <c r="B68" s="44"/>
      <c r="D68" s="44"/>
      <c r="E68" s="44"/>
      <c r="F68" s="44"/>
      <c r="G68" s="44"/>
      <c r="H68" s="44"/>
      <c r="I68" s="44"/>
      <c r="J68" s="44"/>
      <c r="K68" s="44"/>
      <c r="L68" s="44"/>
      <c r="M68" s="44"/>
      <c r="N68" s="44"/>
      <c r="O68" s="44"/>
      <c r="P68" s="44"/>
      <c r="Q68" s="44"/>
      <c r="R68" s="44"/>
      <c r="S68" s="44"/>
      <c r="T68" s="44"/>
      <c r="U68" s="44"/>
      <c r="V68" s="44"/>
      <c r="W68" s="44"/>
      <c r="X68" s="44"/>
      <c r="Y68" s="44"/>
      <c r="Z68" s="44"/>
      <c r="AA68" s="44"/>
    </row>
    <row r="69" spans="2:27">
      <c r="B69" s="44"/>
      <c r="D69" s="44"/>
      <c r="E69" s="44"/>
      <c r="F69" s="44"/>
      <c r="G69" s="44"/>
      <c r="H69" s="44"/>
      <c r="I69" s="44"/>
      <c r="J69" s="44"/>
      <c r="K69" s="44"/>
      <c r="L69" s="44"/>
      <c r="M69" s="44"/>
      <c r="N69" s="44"/>
      <c r="O69" s="44"/>
      <c r="P69" s="44"/>
      <c r="Q69" s="44"/>
      <c r="R69" s="44"/>
      <c r="S69" s="44"/>
      <c r="T69" s="44"/>
      <c r="U69" s="44"/>
      <c r="V69" s="44"/>
      <c r="W69" s="44"/>
      <c r="X69" s="44"/>
      <c r="Y69" s="44"/>
      <c r="Z69" s="44"/>
      <c r="AA69" s="44"/>
    </row>
    <row r="70" spans="2:27">
      <c r="B70" s="44"/>
      <c r="D70" s="44"/>
      <c r="E70" s="44"/>
      <c r="F70" s="44"/>
      <c r="G70" s="44"/>
      <c r="H70" s="44"/>
      <c r="I70" s="44"/>
      <c r="J70" s="44"/>
      <c r="K70" s="44"/>
      <c r="L70" s="44"/>
      <c r="M70" s="44"/>
      <c r="N70" s="44"/>
      <c r="O70" s="44"/>
      <c r="P70" s="44"/>
      <c r="Q70" s="44"/>
      <c r="R70" s="44"/>
      <c r="S70" s="44"/>
      <c r="T70" s="44"/>
      <c r="U70" s="44"/>
      <c r="V70" s="44"/>
      <c r="W70" s="44"/>
      <c r="X70" s="44"/>
      <c r="Y70" s="44"/>
      <c r="Z70" s="44"/>
      <c r="AA70" s="44"/>
    </row>
    <row r="71" spans="2:27">
      <c r="B71" s="44"/>
      <c r="D71" s="44"/>
      <c r="E71" s="44"/>
      <c r="F71" s="44"/>
      <c r="G71" s="44"/>
      <c r="H71" s="44"/>
      <c r="I71" s="44"/>
      <c r="J71" s="44"/>
      <c r="K71" s="44"/>
      <c r="L71" s="44"/>
      <c r="M71" s="44"/>
      <c r="N71" s="44"/>
      <c r="O71" s="44"/>
      <c r="P71" s="44"/>
      <c r="Q71" s="44"/>
      <c r="R71" s="44"/>
      <c r="S71" s="44"/>
      <c r="T71" s="44"/>
      <c r="U71" s="44"/>
      <c r="V71" s="44"/>
      <c r="W71" s="44"/>
      <c r="X71" s="44"/>
      <c r="Y71" s="44"/>
      <c r="Z71" s="44"/>
      <c r="AA71" s="44"/>
    </row>
    <row r="72" spans="2:27">
      <c r="B72" s="44"/>
      <c r="D72" s="44"/>
      <c r="E72" s="44"/>
      <c r="F72" s="44"/>
      <c r="G72" s="44"/>
      <c r="H72" s="44"/>
      <c r="I72" s="44"/>
      <c r="J72" s="44"/>
      <c r="K72" s="44"/>
      <c r="L72" s="44"/>
      <c r="M72" s="44"/>
      <c r="N72" s="44"/>
      <c r="O72" s="44"/>
      <c r="P72" s="44"/>
      <c r="Q72" s="44"/>
      <c r="R72" s="44"/>
      <c r="S72" s="44"/>
      <c r="T72" s="44"/>
      <c r="U72" s="44"/>
      <c r="V72" s="44"/>
      <c r="W72" s="44"/>
      <c r="X72" s="44"/>
      <c r="Y72" s="44"/>
      <c r="Z72" s="44"/>
      <c r="AA72" s="44"/>
    </row>
    <row r="73" spans="2:27">
      <c r="B73" s="44"/>
      <c r="D73" s="44"/>
      <c r="E73" s="44"/>
      <c r="F73" s="44"/>
      <c r="G73" s="44"/>
      <c r="H73" s="44"/>
      <c r="I73" s="44"/>
      <c r="J73" s="44"/>
      <c r="K73" s="44"/>
      <c r="L73" s="44"/>
      <c r="M73" s="44"/>
      <c r="N73" s="44"/>
      <c r="O73" s="44"/>
      <c r="P73" s="44"/>
      <c r="Q73" s="44"/>
      <c r="R73" s="44"/>
      <c r="S73" s="44"/>
      <c r="T73" s="44"/>
      <c r="U73" s="44"/>
      <c r="V73" s="44"/>
      <c r="W73" s="44"/>
      <c r="X73" s="44"/>
      <c r="Y73" s="44"/>
      <c r="Z73" s="44"/>
      <c r="AA73" s="44"/>
    </row>
    <row r="74" spans="2:27">
      <c r="B74" s="44"/>
      <c r="D74" s="44"/>
      <c r="E74" s="44"/>
      <c r="F74" s="44"/>
      <c r="G74" s="44"/>
      <c r="H74" s="44"/>
      <c r="I74" s="44"/>
      <c r="J74" s="44"/>
      <c r="K74" s="44"/>
      <c r="L74" s="44"/>
      <c r="M74" s="44"/>
      <c r="N74" s="44"/>
      <c r="O74" s="44"/>
      <c r="P74" s="44"/>
      <c r="Q74" s="44"/>
      <c r="R74" s="44"/>
      <c r="S74" s="44"/>
      <c r="T74" s="44"/>
      <c r="U74" s="44"/>
      <c r="V74" s="44"/>
      <c r="W74" s="44"/>
      <c r="X74" s="44"/>
      <c r="Y74" s="44"/>
      <c r="Z74" s="44"/>
      <c r="AA74" s="44"/>
    </row>
    <row r="75" spans="2:27">
      <c r="B75" s="44"/>
      <c r="D75" s="44"/>
      <c r="E75" s="44"/>
      <c r="F75" s="44"/>
      <c r="G75" s="44"/>
      <c r="H75" s="44"/>
      <c r="I75" s="44"/>
      <c r="J75" s="44"/>
      <c r="K75" s="44"/>
      <c r="L75" s="44"/>
      <c r="M75" s="44"/>
      <c r="N75" s="44"/>
      <c r="O75" s="44"/>
      <c r="P75" s="44"/>
      <c r="Q75" s="44"/>
      <c r="R75" s="44"/>
      <c r="S75" s="44"/>
      <c r="T75" s="44"/>
      <c r="U75" s="44"/>
      <c r="V75" s="44"/>
      <c r="W75" s="44"/>
      <c r="X75" s="44"/>
      <c r="Y75" s="44"/>
      <c r="Z75" s="44"/>
      <c r="AA75" s="44"/>
    </row>
    <row r="76" spans="2:27">
      <c r="B76" s="44"/>
      <c r="D76" s="44"/>
      <c r="E76" s="44"/>
      <c r="F76" s="44"/>
      <c r="G76" s="44"/>
      <c r="H76" s="44"/>
      <c r="I76" s="44"/>
      <c r="J76" s="44"/>
      <c r="K76" s="44"/>
      <c r="L76" s="44"/>
      <c r="M76" s="44"/>
      <c r="N76" s="44"/>
      <c r="O76" s="44"/>
      <c r="P76" s="44"/>
      <c r="Q76" s="44"/>
      <c r="R76" s="44"/>
      <c r="S76" s="44"/>
      <c r="T76" s="44"/>
      <c r="U76" s="44"/>
      <c r="V76" s="44"/>
      <c r="W76" s="44"/>
      <c r="X76" s="44"/>
      <c r="Y76" s="44"/>
      <c r="Z76" s="44"/>
      <c r="AA76" s="44"/>
    </row>
    <row r="77" spans="2:27">
      <c r="B77" s="44"/>
      <c r="D77" s="44"/>
      <c r="E77" s="44"/>
      <c r="F77" s="44"/>
      <c r="G77" s="44"/>
      <c r="H77" s="44"/>
      <c r="I77" s="44"/>
      <c r="J77" s="44"/>
      <c r="K77" s="44"/>
      <c r="L77" s="44"/>
      <c r="M77" s="44"/>
      <c r="N77" s="44"/>
      <c r="O77" s="44"/>
      <c r="P77" s="44"/>
      <c r="Q77" s="44"/>
      <c r="R77" s="44"/>
      <c r="S77" s="44"/>
      <c r="T77" s="44"/>
      <c r="U77" s="44"/>
      <c r="V77" s="44"/>
      <c r="W77" s="44"/>
      <c r="X77" s="44"/>
      <c r="Y77" s="44"/>
      <c r="Z77" s="44"/>
      <c r="AA77" s="44"/>
    </row>
    <row r="78" spans="2:27">
      <c r="B78" s="44"/>
      <c r="D78" s="44"/>
      <c r="E78" s="44"/>
      <c r="F78" s="44"/>
      <c r="G78" s="44"/>
      <c r="H78" s="44"/>
      <c r="I78" s="44"/>
      <c r="J78" s="44"/>
      <c r="K78" s="44"/>
      <c r="L78" s="44"/>
      <c r="M78" s="44"/>
      <c r="N78" s="44"/>
      <c r="O78" s="44"/>
      <c r="P78" s="44"/>
      <c r="Q78" s="44"/>
      <c r="R78" s="44"/>
      <c r="S78" s="44"/>
      <c r="T78" s="44"/>
      <c r="U78" s="44"/>
      <c r="V78" s="44"/>
      <c r="W78" s="44"/>
      <c r="X78" s="44"/>
      <c r="Y78" s="44"/>
      <c r="Z78" s="44"/>
      <c r="AA78" s="44"/>
    </row>
    <row r="79" spans="2:27">
      <c r="B79" s="44"/>
      <c r="D79" s="44"/>
      <c r="E79" s="44"/>
      <c r="F79" s="44"/>
      <c r="G79" s="44"/>
      <c r="H79" s="44"/>
      <c r="I79" s="44"/>
      <c r="J79" s="44"/>
      <c r="K79" s="44"/>
      <c r="L79" s="44"/>
      <c r="M79" s="44"/>
      <c r="N79" s="44"/>
      <c r="O79" s="44"/>
      <c r="P79" s="44"/>
      <c r="Q79" s="44"/>
      <c r="R79" s="44"/>
      <c r="S79" s="44"/>
      <c r="T79" s="44"/>
      <c r="U79" s="44"/>
      <c r="V79" s="44"/>
      <c r="W79" s="44"/>
      <c r="X79" s="44"/>
      <c r="Y79" s="44"/>
      <c r="Z79" s="44"/>
      <c r="AA79" s="44"/>
    </row>
    <row r="80" spans="2:27">
      <c r="B80" s="44"/>
      <c r="D80" s="44"/>
      <c r="E80" s="44"/>
      <c r="F80" s="44"/>
      <c r="G80" s="44"/>
      <c r="H80" s="44"/>
      <c r="I80" s="44"/>
      <c r="J80" s="44"/>
      <c r="K80" s="44"/>
      <c r="L80" s="44"/>
      <c r="M80" s="44"/>
      <c r="N80" s="44"/>
      <c r="O80" s="44"/>
      <c r="P80" s="44"/>
      <c r="Q80" s="44"/>
      <c r="R80" s="44"/>
      <c r="S80" s="44"/>
      <c r="T80" s="44"/>
      <c r="U80" s="44"/>
      <c r="V80" s="44"/>
      <c r="W80" s="44"/>
      <c r="X80" s="44"/>
      <c r="Y80" s="44"/>
      <c r="Z80" s="44"/>
      <c r="AA80" s="44"/>
    </row>
    <row r="81" spans="2:27">
      <c r="B81" s="44"/>
      <c r="D81" s="44"/>
      <c r="E81" s="44"/>
      <c r="F81" s="44"/>
      <c r="G81" s="44"/>
      <c r="H81" s="44"/>
      <c r="I81" s="44"/>
      <c r="J81" s="44"/>
      <c r="K81" s="44"/>
      <c r="L81" s="44"/>
      <c r="M81" s="44"/>
      <c r="N81" s="44"/>
      <c r="O81" s="44"/>
      <c r="P81" s="44"/>
      <c r="Q81" s="44"/>
      <c r="R81" s="44"/>
      <c r="S81" s="44"/>
      <c r="T81" s="44"/>
      <c r="U81" s="44"/>
      <c r="V81" s="44"/>
      <c r="W81" s="44"/>
      <c r="X81" s="44"/>
      <c r="Y81" s="44"/>
      <c r="Z81" s="44"/>
      <c r="AA81" s="44"/>
    </row>
    <row r="82" spans="2:27">
      <c r="B82" s="44"/>
      <c r="D82" s="44"/>
      <c r="E82" s="44"/>
      <c r="F82" s="44"/>
      <c r="G82" s="44"/>
      <c r="H82" s="44"/>
      <c r="I82" s="44"/>
      <c r="J82" s="44"/>
      <c r="K82" s="44"/>
      <c r="L82" s="44"/>
      <c r="M82" s="44"/>
      <c r="N82" s="44"/>
      <c r="O82" s="44"/>
      <c r="P82" s="44"/>
      <c r="Q82" s="44"/>
      <c r="R82" s="44"/>
      <c r="S82" s="44"/>
      <c r="T82" s="44"/>
      <c r="U82" s="44"/>
      <c r="V82" s="44"/>
      <c r="W82" s="44"/>
      <c r="X82" s="44"/>
      <c r="Y82" s="44"/>
      <c r="Z82" s="44"/>
      <c r="AA82" s="44"/>
    </row>
    <row r="83" spans="2:27">
      <c r="B83" s="44"/>
      <c r="D83" s="44"/>
      <c r="E83" s="44"/>
      <c r="F83" s="44"/>
      <c r="G83" s="44"/>
      <c r="H83" s="44"/>
      <c r="I83" s="44"/>
      <c r="J83" s="44"/>
      <c r="K83" s="44"/>
      <c r="L83" s="44"/>
      <c r="M83" s="44"/>
      <c r="N83" s="44"/>
      <c r="O83" s="44"/>
      <c r="P83" s="44"/>
      <c r="Q83" s="44"/>
      <c r="R83" s="44"/>
      <c r="S83" s="44"/>
      <c r="T83" s="44"/>
      <c r="U83" s="44"/>
      <c r="V83" s="44"/>
      <c r="W83" s="44"/>
      <c r="X83" s="44"/>
      <c r="Y83" s="44"/>
      <c r="Z83" s="44"/>
      <c r="AA83" s="44"/>
    </row>
    <row r="84" spans="2:27">
      <c r="B84" s="44"/>
      <c r="D84" s="44"/>
      <c r="E84" s="44"/>
      <c r="F84" s="44"/>
      <c r="G84" s="44"/>
      <c r="H84" s="44"/>
      <c r="I84" s="44"/>
      <c r="J84" s="44"/>
      <c r="K84" s="44"/>
      <c r="L84" s="44"/>
      <c r="M84" s="44"/>
      <c r="N84" s="44"/>
      <c r="O84" s="44"/>
      <c r="P84" s="44"/>
      <c r="Q84" s="44"/>
      <c r="R84" s="44"/>
      <c r="S84" s="44"/>
      <c r="T84" s="44"/>
      <c r="U84" s="44"/>
      <c r="V84" s="44"/>
      <c r="W84" s="44"/>
      <c r="X84" s="44"/>
      <c r="Y84" s="44"/>
      <c r="Z84" s="44"/>
      <c r="AA84" s="44"/>
    </row>
    <row r="85" spans="2:27">
      <c r="B85" s="44"/>
      <c r="D85" s="44"/>
      <c r="E85" s="44"/>
      <c r="F85" s="44"/>
      <c r="G85" s="44"/>
      <c r="H85" s="44"/>
      <c r="I85" s="44"/>
      <c r="J85" s="44"/>
      <c r="K85" s="44"/>
      <c r="L85" s="44"/>
      <c r="M85" s="44"/>
      <c r="N85" s="44"/>
      <c r="O85" s="44"/>
      <c r="P85" s="44"/>
      <c r="Q85" s="44"/>
      <c r="R85" s="44"/>
      <c r="S85" s="44"/>
      <c r="T85" s="44"/>
      <c r="U85" s="44"/>
      <c r="V85" s="44"/>
      <c r="W85" s="44"/>
      <c r="X85" s="44"/>
      <c r="Y85" s="44"/>
      <c r="Z85" s="44"/>
      <c r="AA85" s="44"/>
    </row>
    <row r="86" spans="2:27">
      <c r="B86" s="44"/>
      <c r="D86" s="44"/>
      <c r="E86" s="44"/>
      <c r="F86" s="44"/>
      <c r="G86" s="44"/>
      <c r="H86" s="44"/>
      <c r="I86" s="44"/>
      <c r="J86" s="44"/>
      <c r="K86" s="44"/>
      <c r="L86" s="44"/>
      <c r="M86" s="44"/>
      <c r="N86" s="44"/>
      <c r="O86" s="44"/>
      <c r="P86" s="44"/>
      <c r="Q86" s="44"/>
      <c r="R86" s="44"/>
      <c r="S86" s="44"/>
      <c r="T86" s="44"/>
      <c r="U86" s="44"/>
      <c r="V86" s="44"/>
      <c r="W86" s="44"/>
      <c r="X86" s="44"/>
      <c r="Y86" s="44"/>
      <c r="Z86" s="44"/>
      <c r="AA86" s="44"/>
    </row>
    <row r="87" spans="2:27">
      <c r="B87" s="44"/>
      <c r="D87" s="44"/>
      <c r="E87" s="44"/>
      <c r="F87" s="44"/>
      <c r="G87" s="44"/>
      <c r="H87" s="44"/>
      <c r="I87" s="44"/>
      <c r="J87" s="44"/>
      <c r="K87" s="44"/>
      <c r="L87" s="44"/>
      <c r="M87" s="44"/>
      <c r="N87" s="44"/>
      <c r="O87" s="44"/>
      <c r="P87" s="44"/>
      <c r="Q87" s="44"/>
      <c r="R87" s="44"/>
      <c r="S87" s="44"/>
      <c r="T87" s="44"/>
      <c r="U87" s="44"/>
      <c r="V87" s="44"/>
      <c r="W87" s="44"/>
      <c r="X87" s="44"/>
      <c r="Y87" s="44"/>
      <c r="Z87" s="44"/>
      <c r="AA87" s="44"/>
    </row>
    <row r="88" spans="2:27">
      <c r="B88" s="44"/>
      <c r="D88" s="44"/>
      <c r="E88" s="44"/>
      <c r="F88" s="44"/>
      <c r="G88" s="44"/>
      <c r="H88" s="44"/>
      <c r="I88" s="44"/>
      <c r="J88" s="44"/>
      <c r="K88" s="44"/>
      <c r="L88" s="44"/>
      <c r="M88" s="44"/>
      <c r="N88" s="44"/>
      <c r="O88" s="44"/>
      <c r="P88" s="44"/>
      <c r="Q88" s="44"/>
      <c r="R88" s="44"/>
      <c r="S88" s="44"/>
      <c r="T88" s="44"/>
      <c r="U88" s="44"/>
      <c r="V88" s="44"/>
      <c r="W88" s="44"/>
      <c r="X88" s="44"/>
      <c r="Y88" s="44"/>
      <c r="Z88" s="44"/>
      <c r="AA88" s="44"/>
    </row>
    <row r="89" spans="2:27">
      <c r="B89" s="44"/>
      <c r="D89" s="44"/>
      <c r="E89" s="44"/>
      <c r="F89" s="44"/>
      <c r="G89" s="44"/>
      <c r="H89" s="44"/>
      <c r="I89" s="44"/>
      <c r="J89" s="44"/>
      <c r="K89" s="44"/>
      <c r="L89" s="44"/>
      <c r="M89" s="44"/>
      <c r="N89" s="44"/>
      <c r="O89" s="44"/>
      <c r="P89" s="44"/>
      <c r="Q89" s="44"/>
      <c r="R89" s="44"/>
      <c r="S89" s="44"/>
      <c r="T89" s="44"/>
      <c r="U89" s="44"/>
      <c r="V89" s="44"/>
      <c r="W89" s="44"/>
      <c r="X89" s="44"/>
      <c r="Y89" s="44"/>
      <c r="Z89" s="44"/>
      <c r="AA89" s="44"/>
    </row>
    <row r="90" spans="2:27">
      <c r="B90" s="44"/>
      <c r="D90" s="44"/>
      <c r="E90" s="44"/>
      <c r="F90" s="44"/>
      <c r="G90" s="44"/>
      <c r="H90" s="44"/>
      <c r="I90" s="44"/>
      <c r="J90" s="44"/>
      <c r="K90" s="44"/>
      <c r="L90" s="44"/>
      <c r="M90" s="44"/>
      <c r="N90" s="44"/>
      <c r="O90" s="44"/>
      <c r="P90" s="44"/>
      <c r="Q90" s="44"/>
      <c r="R90" s="44"/>
      <c r="S90" s="44"/>
      <c r="T90" s="44"/>
      <c r="U90" s="44"/>
      <c r="V90" s="44"/>
      <c r="W90" s="44"/>
      <c r="X90" s="44"/>
      <c r="Y90" s="44"/>
      <c r="Z90" s="44"/>
      <c r="AA90" s="44"/>
    </row>
    <row r="91" spans="2:27">
      <c r="B91" s="44"/>
      <c r="D91" s="44"/>
      <c r="E91" s="44"/>
      <c r="F91" s="44"/>
      <c r="G91" s="44"/>
      <c r="H91" s="44"/>
      <c r="I91" s="44"/>
      <c r="J91" s="44"/>
      <c r="K91" s="44"/>
      <c r="L91" s="44"/>
      <c r="M91" s="44"/>
      <c r="N91" s="44"/>
      <c r="O91" s="44"/>
      <c r="P91" s="44"/>
      <c r="Q91" s="44"/>
      <c r="R91" s="44"/>
      <c r="S91" s="44"/>
      <c r="T91" s="44"/>
      <c r="U91" s="44"/>
      <c r="V91" s="44"/>
      <c r="W91" s="44"/>
      <c r="X91" s="44"/>
      <c r="Y91" s="44"/>
      <c r="Z91" s="44"/>
      <c r="AA91" s="44"/>
    </row>
    <row r="92" spans="2:27">
      <c r="B92" s="44"/>
      <c r="D92" s="44"/>
      <c r="E92" s="44"/>
      <c r="F92" s="44"/>
      <c r="G92" s="44"/>
      <c r="H92" s="44"/>
      <c r="I92" s="44"/>
      <c r="J92" s="44"/>
      <c r="K92" s="44"/>
      <c r="L92" s="44"/>
      <c r="M92" s="44"/>
      <c r="N92" s="44"/>
      <c r="O92" s="44"/>
      <c r="P92" s="44"/>
      <c r="Q92" s="44"/>
      <c r="R92" s="44"/>
      <c r="S92" s="44"/>
      <c r="T92" s="44"/>
      <c r="U92" s="44"/>
      <c r="V92" s="44"/>
      <c r="W92" s="44"/>
      <c r="X92" s="44"/>
      <c r="Y92" s="44"/>
      <c r="Z92" s="44"/>
      <c r="AA92" s="44"/>
    </row>
    <row r="93" spans="2:27">
      <c r="B93" s="44"/>
      <c r="D93" s="44"/>
      <c r="E93" s="44"/>
      <c r="F93" s="44"/>
      <c r="G93" s="44"/>
      <c r="H93" s="44"/>
      <c r="I93" s="44"/>
      <c r="J93" s="44"/>
      <c r="K93" s="44"/>
      <c r="L93" s="44"/>
      <c r="M93" s="44"/>
      <c r="N93" s="44"/>
      <c r="O93" s="44"/>
      <c r="P93" s="44"/>
      <c r="Q93" s="44"/>
      <c r="R93" s="44"/>
      <c r="S93" s="44"/>
      <c r="T93" s="44"/>
      <c r="U93" s="44"/>
      <c r="V93" s="44"/>
      <c r="W93" s="44"/>
      <c r="X93" s="44"/>
      <c r="Y93" s="44"/>
      <c r="Z93" s="44"/>
      <c r="AA93" s="44"/>
    </row>
    <row r="94" spans="2:27">
      <c r="B94" s="44"/>
      <c r="D94" s="44"/>
      <c r="E94" s="44"/>
      <c r="F94" s="44"/>
      <c r="G94" s="44"/>
      <c r="H94" s="44"/>
      <c r="I94" s="44"/>
      <c r="J94" s="44"/>
      <c r="K94" s="44"/>
      <c r="L94" s="44"/>
      <c r="M94" s="44"/>
      <c r="N94" s="44"/>
      <c r="O94" s="44"/>
      <c r="P94" s="44"/>
      <c r="Q94" s="44"/>
      <c r="R94" s="44"/>
      <c r="S94" s="44"/>
      <c r="T94" s="44"/>
      <c r="U94" s="44"/>
      <c r="V94" s="44"/>
      <c r="W94" s="44"/>
      <c r="X94" s="44"/>
      <c r="Y94" s="44"/>
      <c r="Z94" s="44"/>
      <c r="AA94" s="44"/>
    </row>
    <row r="95" spans="2:27">
      <c r="B95" s="44"/>
      <c r="D95" s="44"/>
      <c r="E95" s="44"/>
      <c r="F95" s="44"/>
      <c r="G95" s="44"/>
      <c r="H95" s="44"/>
      <c r="I95" s="44"/>
      <c r="J95" s="44"/>
      <c r="K95" s="44"/>
      <c r="L95" s="44"/>
      <c r="M95" s="44"/>
      <c r="N95" s="44"/>
      <c r="O95" s="44"/>
      <c r="P95" s="44"/>
      <c r="Q95" s="44"/>
      <c r="R95" s="44"/>
      <c r="S95" s="44"/>
      <c r="T95" s="44"/>
      <c r="U95" s="44"/>
      <c r="V95" s="44"/>
      <c r="W95" s="44"/>
      <c r="X95" s="44"/>
      <c r="Y95" s="44"/>
      <c r="Z95" s="44"/>
      <c r="AA95" s="44"/>
    </row>
    <row r="96" spans="2:27">
      <c r="B96" s="44"/>
      <c r="D96" s="44"/>
      <c r="E96" s="44"/>
      <c r="F96" s="44"/>
      <c r="G96" s="44"/>
      <c r="H96" s="44"/>
      <c r="I96" s="44"/>
      <c r="J96" s="44"/>
      <c r="K96" s="44"/>
      <c r="L96" s="44"/>
      <c r="M96" s="44"/>
      <c r="N96" s="44"/>
      <c r="O96" s="44"/>
      <c r="P96" s="44"/>
      <c r="Q96" s="44"/>
      <c r="R96" s="44"/>
      <c r="S96" s="44"/>
      <c r="T96" s="44"/>
      <c r="U96" s="44"/>
      <c r="V96" s="44"/>
      <c r="W96" s="44"/>
      <c r="X96" s="44"/>
      <c r="Y96" s="44"/>
      <c r="Z96" s="44"/>
      <c r="AA96" s="44"/>
    </row>
    <row r="97" spans="2:27">
      <c r="B97" s="44"/>
      <c r="D97" s="44"/>
      <c r="E97" s="44"/>
      <c r="F97" s="44"/>
      <c r="G97" s="44"/>
      <c r="H97" s="44"/>
      <c r="I97" s="44"/>
      <c r="J97" s="44"/>
      <c r="K97" s="44"/>
      <c r="L97" s="44"/>
      <c r="M97" s="44"/>
      <c r="N97" s="44"/>
      <c r="O97" s="44"/>
      <c r="P97" s="44"/>
      <c r="Q97" s="44"/>
      <c r="R97" s="44"/>
      <c r="S97" s="44"/>
      <c r="T97" s="44"/>
      <c r="U97" s="44"/>
      <c r="V97" s="44"/>
      <c r="W97" s="44"/>
      <c r="X97" s="44"/>
      <c r="Y97" s="44"/>
      <c r="Z97" s="44"/>
      <c r="AA97" s="44"/>
    </row>
    <row r="98" spans="2:27">
      <c r="B98" s="44"/>
      <c r="D98" s="44"/>
      <c r="E98" s="44"/>
      <c r="F98" s="44"/>
      <c r="G98" s="44"/>
      <c r="H98" s="44"/>
      <c r="I98" s="44"/>
      <c r="J98" s="44"/>
      <c r="K98" s="44"/>
      <c r="L98" s="44"/>
      <c r="M98" s="44"/>
      <c r="N98" s="44"/>
      <c r="O98" s="44"/>
      <c r="P98" s="44"/>
      <c r="Q98" s="44"/>
      <c r="R98" s="44"/>
      <c r="S98" s="44"/>
      <c r="T98" s="44"/>
      <c r="U98" s="44"/>
      <c r="V98" s="44"/>
      <c r="W98" s="44"/>
      <c r="X98" s="44"/>
      <c r="Y98" s="44"/>
      <c r="Z98" s="44"/>
      <c r="AA98" s="44"/>
    </row>
    <row r="99" spans="2:27">
      <c r="B99" s="44"/>
      <c r="D99" s="44"/>
      <c r="E99" s="44"/>
      <c r="F99" s="44"/>
      <c r="G99" s="44"/>
      <c r="H99" s="44"/>
      <c r="I99" s="44"/>
      <c r="J99" s="44"/>
      <c r="K99" s="44"/>
      <c r="L99" s="44"/>
      <c r="M99" s="44"/>
      <c r="N99" s="44"/>
      <c r="O99" s="44"/>
      <c r="P99" s="44"/>
      <c r="Q99" s="44"/>
      <c r="R99" s="44"/>
      <c r="S99" s="44"/>
      <c r="T99" s="44"/>
      <c r="U99" s="44"/>
      <c r="V99" s="44"/>
      <c r="W99" s="44"/>
      <c r="X99" s="44"/>
      <c r="Y99" s="44"/>
      <c r="Z99" s="44"/>
      <c r="AA99" s="44"/>
    </row>
    <row r="100" spans="2:27">
      <c r="B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c r="AA100" s="44"/>
    </row>
    <row r="101" spans="2:27">
      <c r="B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c r="AA101" s="44"/>
    </row>
    <row r="102" spans="2:27">
      <c r="B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c r="AA102" s="44"/>
    </row>
    <row r="103" spans="2:27">
      <c r="B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row>
    <row r="104" spans="2:27">
      <c r="B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row>
    <row r="105" spans="2:27">
      <c r="B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row>
    <row r="106" spans="2:27">
      <c r="B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row>
    <row r="107" spans="2:27">
      <c r="B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row>
    <row r="108" spans="2:27">
      <c r="B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row>
    <row r="109" spans="2:27">
      <c r="B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row>
    <row r="141" spans="1:1">
      <c r="A141" s="52"/>
    </row>
  </sheetData>
  <sheetProtection algorithmName="SHA-512" hashValue="OzS2aTM5sSSv4Le+1ZUPqZrZqNbbBF35SnEkyJzlcEKFvToRjCBq5Vtp6dxRYBirXcbGrSavzRL2RFDynNQBSg==" saltValue="fUvUBZ2WV6LFLH5sUCGrNg==" spinCount="100000" sheet="1" object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7"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M26"/>
  <sheetViews>
    <sheetView view="pageBreakPreview" zoomScale="115" zoomScaleNormal="90" topLeftCell="A9" workbookViewId="0">
      <selection activeCell="C13" sqref="C13"/>
    </sheetView>
  </sheetViews>
  <sheetFormatPr defaultColWidth="9" defaultRowHeight="15"/>
  <cols>
    <col min="2" max="2" width="14" customWidth="1"/>
    <col min="3" max="12" width="14.4" customWidth="1"/>
  </cols>
  <sheetData>
    <row r="1" ht="36" customHeight="1" spans="1:13">
      <c r="A1" s="1" t="s">
        <v>315</v>
      </c>
      <c r="B1" s="2"/>
      <c r="C1" s="2"/>
      <c r="D1" s="2"/>
      <c r="E1" s="2"/>
      <c r="F1" s="2"/>
      <c r="G1" s="2"/>
      <c r="H1" s="2"/>
      <c r="I1" s="2"/>
      <c r="J1" s="2"/>
      <c r="K1" s="2"/>
      <c r="L1" s="14"/>
      <c r="M1" s="11"/>
    </row>
    <row r="2" ht="34.95" customHeight="1" spans="1:13">
      <c r="A2" s="3"/>
      <c r="B2" s="4" t="s">
        <v>244</v>
      </c>
      <c r="C2" s="3" t="s">
        <v>316</v>
      </c>
      <c r="D2" s="3" t="s">
        <v>317</v>
      </c>
      <c r="E2" s="3" t="s">
        <v>318</v>
      </c>
      <c r="F2" s="3" t="s">
        <v>319</v>
      </c>
      <c r="G2" s="3" t="s">
        <v>320</v>
      </c>
      <c r="H2" s="3" t="s">
        <v>321</v>
      </c>
      <c r="I2" s="3" t="s">
        <v>322</v>
      </c>
      <c r="J2" s="3" t="s">
        <v>323</v>
      </c>
      <c r="K2" s="3" t="s">
        <v>324</v>
      </c>
      <c r="L2" s="3" t="s">
        <v>325</v>
      </c>
      <c r="M2" s="11"/>
    </row>
    <row r="3" spans="1:13">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c r="M3" s="11"/>
    </row>
    <row r="4" spans="1:13">
      <c r="A4" s="5" t="s">
        <v>11</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c r="M4" s="11"/>
    </row>
    <row r="5" spans="1:13">
      <c r="A5" s="5" t="s">
        <v>293</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c r="M5" s="11"/>
    </row>
    <row r="6" spans="1:13">
      <c r="A6" s="5" t="s">
        <v>326</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c r="M6" s="11"/>
    </row>
    <row r="7" spans="1:13">
      <c r="A7" s="5" t="s">
        <v>294</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c r="M7" s="11"/>
    </row>
    <row r="8" spans="1:13">
      <c r="A8" s="5" t="s">
        <v>211</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c r="M8" s="11"/>
    </row>
    <row r="9" spans="1:13">
      <c r="A9" s="5" t="s">
        <v>15</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c r="M9" s="11"/>
    </row>
    <row r="10" ht="34.95" customHeight="1" spans="1:13">
      <c r="A10" s="3"/>
      <c r="B10" s="4" t="s">
        <v>244</v>
      </c>
      <c r="C10" s="8" t="s">
        <v>327</v>
      </c>
      <c r="D10" s="8" t="s">
        <v>328</v>
      </c>
      <c r="E10" s="8" t="s">
        <v>329</v>
      </c>
      <c r="F10" s="8" t="s">
        <v>330</v>
      </c>
      <c r="G10" s="8" t="s">
        <v>331</v>
      </c>
      <c r="H10" s="8" t="s">
        <v>332</v>
      </c>
      <c r="I10" s="8" t="s">
        <v>333</v>
      </c>
      <c r="J10" s="8" t="s">
        <v>334</v>
      </c>
      <c r="K10" s="8" t="s">
        <v>335</v>
      </c>
      <c r="L10" s="8" t="s">
        <v>336</v>
      </c>
      <c r="M10" s="11"/>
    </row>
    <row r="11" spans="1:13">
      <c r="A11" s="5"/>
      <c r="B11" s="6" t="e">
        <f>B6/B4</f>
        <v>#DIV/0!</v>
      </c>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c r="M11" s="11"/>
    </row>
    <row r="12" spans="1:13">
      <c r="A12" s="5" t="s">
        <v>11</v>
      </c>
      <c r="B12" s="7">
        <f>⑦原価詳細!F31</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c r="M12" s="11"/>
    </row>
    <row r="13" spans="1:13">
      <c r="A13" s="5" t="s">
        <v>293</v>
      </c>
      <c r="B13" s="7">
        <f>'②⑧MQ（未来）'!F3*1000000</f>
        <v>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c r="M13" s="11"/>
    </row>
    <row r="14" spans="1:13">
      <c r="A14" s="5" t="s">
        <v>326</v>
      </c>
      <c r="B14" s="7">
        <f>B4-B5</f>
        <v>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c r="M14" s="11"/>
    </row>
    <row r="15" spans="1:13">
      <c r="A15" s="5" t="s">
        <v>294</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c r="M15" s="11"/>
    </row>
    <row r="16" spans="1:13">
      <c r="A16" s="5" t="s">
        <v>211</v>
      </c>
      <c r="B16" s="7">
        <f>B4-B5-B7</f>
        <v>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c r="M16" s="11"/>
    </row>
    <row r="17" ht="18.75" spans="1:13">
      <c r="A17" s="5" t="s">
        <v>15</v>
      </c>
      <c r="B17" s="9" t="e">
        <f>B8/B4</f>
        <v>#DIV/0!</v>
      </c>
      <c r="C17" s="10" t="e">
        <f>C16/C12</f>
        <v>#DIV/0!</v>
      </c>
      <c r="D17" s="10" t="e">
        <f t="shared" ref="D17:L17" si="29">D16/D12</f>
        <v>#DIV/0!</v>
      </c>
      <c r="E17" s="10" t="e">
        <f t="shared" si="29"/>
        <v>#DIV/0!</v>
      </c>
      <c r="F17" s="10" t="e">
        <f t="shared" si="29"/>
        <v>#DIV/0!</v>
      </c>
      <c r="G17" s="10" t="e">
        <f t="shared" si="29"/>
        <v>#DIV/0!</v>
      </c>
      <c r="H17" s="10" t="e">
        <f t="shared" si="29"/>
        <v>#DIV/0!</v>
      </c>
      <c r="I17" s="10" t="e">
        <f t="shared" si="29"/>
        <v>#DIV/0!</v>
      </c>
      <c r="J17" s="10" t="e">
        <f t="shared" si="29"/>
        <v>#DIV/0!</v>
      </c>
      <c r="K17" s="10" t="e">
        <f t="shared" si="29"/>
        <v>#DIV/0!</v>
      </c>
      <c r="L17" s="10" t="e">
        <f t="shared" si="29"/>
        <v>#DIV/0!</v>
      </c>
      <c r="M17" s="11"/>
    </row>
    <row r="18" spans="1:13">
      <c r="A18" s="11" t="s">
        <v>337</v>
      </c>
      <c r="B18" s="11"/>
      <c r="C18" s="11"/>
      <c r="D18" s="12" t="s">
        <v>338</v>
      </c>
      <c r="E18" s="12"/>
      <c r="F18" s="12"/>
      <c r="G18" s="12"/>
      <c r="H18" s="12"/>
      <c r="I18" s="12"/>
      <c r="J18" s="11"/>
      <c r="K18" s="11"/>
      <c r="L18" s="11"/>
      <c r="M18" s="11"/>
    </row>
    <row r="19" spans="1:13">
      <c r="A19" s="11" t="s">
        <v>339</v>
      </c>
      <c r="B19" s="11"/>
      <c r="C19" s="11"/>
      <c r="D19" s="13"/>
      <c r="E19" s="13"/>
      <c r="F19" s="13"/>
      <c r="G19" s="13"/>
      <c r="H19" s="13"/>
      <c r="I19" s="13"/>
      <c r="J19" s="11"/>
      <c r="K19" s="11"/>
      <c r="L19" s="11"/>
      <c r="M19" s="11"/>
    </row>
    <row r="20" spans="1:13">
      <c r="A20" s="11"/>
      <c r="B20" s="11"/>
      <c r="C20" s="11"/>
      <c r="D20" s="13"/>
      <c r="E20" s="13"/>
      <c r="F20" s="13"/>
      <c r="G20" s="13"/>
      <c r="H20" s="13"/>
      <c r="I20" s="13"/>
      <c r="J20" s="11"/>
      <c r="K20" s="11"/>
      <c r="L20" s="11"/>
      <c r="M20" s="11"/>
    </row>
    <row r="21" spans="1:13">
      <c r="A21" s="11"/>
      <c r="B21" s="11"/>
      <c r="C21" s="11"/>
      <c r="D21" s="13"/>
      <c r="E21" s="13"/>
      <c r="F21" s="13"/>
      <c r="G21" s="13"/>
      <c r="H21" s="13"/>
      <c r="I21" s="13"/>
      <c r="J21" s="11"/>
      <c r="K21" s="11"/>
      <c r="L21" s="11"/>
      <c r="M21" s="11"/>
    </row>
    <row r="22" spans="1:13">
      <c r="A22" s="11"/>
      <c r="B22" s="11"/>
      <c r="C22" s="11"/>
      <c r="D22" s="13"/>
      <c r="E22" s="13"/>
      <c r="F22" s="13"/>
      <c r="G22" s="13"/>
      <c r="H22" s="13"/>
      <c r="I22" s="13"/>
      <c r="J22" s="11"/>
      <c r="K22" s="11"/>
      <c r="L22" s="11"/>
      <c r="M22" s="11"/>
    </row>
    <row r="23" spans="1:13">
      <c r="A23" s="11"/>
      <c r="B23" s="11"/>
      <c r="C23" s="11"/>
      <c r="D23" s="13"/>
      <c r="E23" s="13"/>
      <c r="F23" s="13"/>
      <c r="G23" s="13"/>
      <c r="H23" s="13"/>
      <c r="I23" s="13"/>
      <c r="J23" s="11"/>
      <c r="K23" s="11"/>
      <c r="L23" s="11"/>
      <c r="M23" s="11"/>
    </row>
    <row r="24" spans="1:13">
      <c r="A24" s="11"/>
      <c r="B24" s="11"/>
      <c r="C24" s="11"/>
      <c r="D24" s="13"/>
      <c r="E24" s="13"/>
      <c r="F24" s="13"/>
      <c r="G24" s="13"/>
      <c r="H24" s="13"/>
      <c r="I24" s="13"/>
      <c r="J24" s="11"/>
      <c r="K24" s="11"/>
      <c r="L24" s="11"/>
      <c r="M24" s="11"/>
    </row>
    <row r="25" spans="1:13">
      <c r="A25" s="11"/>
      <c r="B25" s="11"/>
      <c r="C25" s="11"/>
      <c r="D25" s="13"/>
      <c r="E25" s="13"/>
      <c r="F25" s="13"/>
      <c r="G25" s="13"/>
      <c r="H25" s="13"/>
      <c r="I25" s="13"/>
      <c r="J25" s="11"/>
      <c r="K25" s="11"/>
      <c r="L25" s="11"/>
      <c r="M25" s="11"/>
    </row>
    <row r="26" spans="1:13">
      <c r="A26" s="11"/>
      <c r="B26" s="11"/>
      <c r="C26" s="11"/>
      <c r="D26" s="11"/>
      <c r="E26" s="11"/>
      <c r="F26" s="11"/>
      <c r="G26" s="11"/>
      <c r="H26" s="11"/>
      <c r="I26" s="11"/>
      <c r="J26" s="11"/>
      <c r="K26" s="11"/>
      <c r="L26" s="11"/>
      <c r="M26" s="11"/>
    </row>
  </sheetData>
  <sheetProtection algorithmName="SHA-512" hashValue="Alsg8o5CEx6NFeh9cWaWu9JKSaIG4RjF7Ce5wP04l/0ES+TkkWd7G1Xa+J+GlmfLhrHZ+kDo05+fn6g6fF783Q==" saltValue="Uj4yW2LMfG5Nxp6xZ4RtNg==" spinCount="100000" sheet="1" objects="1"/>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2025-11-01T06:33:06Z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53C84E089A2947B9AE5BEF0EC2AE8EA2_12</vt:lpwstr>
  </property>
  <property fmtid="{D5CDD505-2E9C-101B-9397-08002B2CF9AE}" pid="3" name="KSOProductBuildVer">
    <vt:lpwstr>1033-12.2.0.23131</vt:lpwstr>
  </property>
</Properties>
</file>