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d.docs.live.net/876f88a93dfbf6cb/多能工協会/短期計画初級/各社短期計画会員用/"/>
    </mc:Choice>
  </mc:AlternateContent>
  <xr:revisionPtr revIDLastSave="4" documentId="8_{6B499933-58C3-485E-9D9F-B3F96CF9435B}" xr6:coauthVersionLast="47" xr6:coauthVersionMax="47" xr10:uidLastSave="{30C1FCFD-6F16-42CB-8D9E-3AD6FC198549}"/>
  <bookViews>
    <workbookView xWindow="1584" yWindow="192" windowWidth="20280" windowHeight="11760" tabRatio="789" activeTab="2" xr2:uid="{35CDF2A0-2EE0-44E8-AEFC-3D215060BCE2}"/>
  </bookViews>
  <sheets>
    <sheet name="スタート" sheetId="9" r:id="rId1"/>
    <sheet name="MQ（現状）" sheetId="10" r:id="rId2"/>
    <sheet name="①利益" sheetId="4" r:id="rId3"/>
    <sheet name="②⑧MQ（未来）" sheetId="3" r:id="rId4"/>
    <sheet name="③給料" sheetId="5" r:id="rId5"/>
    <sheet name="④経費" sheetId="6" r:id="rId6"/>
    <sheet name="⑤製造原価 (人）" sheetId="13" r:id="rId7"/>
    <sheet name="⑥製造（経費)" sheetId="14" r:id="rId8"/>
    <sheet name="⑦原価詳細" sheetId="15" r:id="rId9"/>
    <sheet name="損益分岐点" sheetId="17" r:id="rId10"/>
    <sheet name="進捗実績値入力シート" sheetId="1" r:id="rId11"/>
    <sheet name="部門別販売計画" sheetId="16" r:id="rId12"/>
    <sheet name="利益計画表" sheetId="18" r:id="rId13"/>
  </sheets>
  <externalReferences>
    <externalReference r:id="rId14"/>
  </externalReferences>
  <definedNames>
    <definedName name="_xlnm._FilterDatabase" localSheetId="8" hidden="1">⑦原価詳細!$B$17:$B$24</definedName>
    <definedName name="_xlnm.Print_Area" localSheetId="2">①利益!$A$1:$O$9</definedName>
    <definedName name="_xlnm.Print_Area" localSheetId="3">'②⑧MQ（未来）'!$A$1:$U$39</definedName>
    <definedName name="_xlnm.Print_Area" localSheetId="4">③給料!$A$1:$P$28</definedName>
    <definedName name="_xlnm.Print_Area" localSheetId="5">④経費!$A$1:$L$44</definedName>
    <definedName name="_xlnm.Print_Area" localSheetId="6">'⑤製造原価 (人）'!$A$1:$P$29</definedName>
    <definedName name="_xlnm.Print_Area" localSheetId="7">'⑥製造（経費)'!$A$1:$N$45</definedName>
    <definedName name="_xlnm.Print_Area" localSheetId="8">⑦原価詳細!$A$1:$J$40</definedName>
    <definedName name="_xlnm.Print_Area" localSheetId="1">'MQ（現状）'!$A$1:$T$36</definedName>
    <definedName name="_xlnm.Print_Area" localSheetId="0">スタート!$A$1:$H$107</definedName>
    <definedName name="_xlnm.Print_Area" localSheetId="10">進捗実績値入力シート!$A$1:$R$61</definedName>
    <definedName name="_xlnm.Print_Area" localSheetId="9">損益分岐点!$A$1:$J$28</definedName>
    <definedName name="_xlnm.Print_Area" localSheetId="11">部門別販売計画!$A$1:$AA$46</definedName>
    <definedName name="_xlnm.Print_Area" localSheetId="12">利益計画表!$A$1:$L$25</definedName>
    <definedName name="その他経費">'[1]直近データ (損益)'!$H$57:$H$60</definedName>
    <definedName name="その他経費2">'[1]直近データ (製造原価)'!$H$69:$H$70</definedName>
    <definedName name="単位">[1]直近データ!$J$8:$J$12</definedName>
    <definedName name="福利厚生">'[1]直近データ (損益)'!$I$57:$I$58</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18" l="1"/>
  <c r="B9" i="18"/>
  <c r="B15" i="18"/>
  <c r="E4" i="18"/>
  <c r="D4" i="18"/>
  <c r="B7" i="18"/>
  <c r="B5" i="18"/>
  <c r="B6" i="18"/>
  <c r="B3" i="18" s="1"/>
  <c r="C13" i="1"/>
  <c r="C11" i="1"/>
  <c r="C10" i="1"/>
  <c r="C9" i="1"/>
  <c r="I2" i="6"/>
  <c r="L38" i="1"/>
  <c r="L39" i="1"/>
  <c r="L40" i="1"/>
  <c r="L41" i="1"/>
  <c r="L42" i="1"/>
  <c r="L43" i="1"/>
  <c r="L44" i="1"/>
  <c r="L45" i="1"/>
  <c r="L37" i="1"/>
  <c r="K38" i="1"/>
  <c r="K39" i="1"/>
  <c r="K40" i="1"/>
  <c r="K41" i="1"/>
  <c r="K42" i="1"/>
  <c r="K43" i="1"/>
  <c r="K44" i="1"/>
  <c r="K45" i="1"/>
  <c r="K37" i="1"/>
  <c r="L25" i="1"/>
  <c r="L26" i="1"/>
  <c r="L27" i="1"/>
  <c r="L28" i="1"/>
  <c r="L29" i="1"/>
  <c r="L30" i="1"/>
  <c r="L31" i="1"/>
  <c r="L32" i="1"/>
  <c r="L33" i="1"/>
  <c r="L34" i="1"/>
  <c r="L24" i="1"/>
  <c r="K25" i="1"/>
  <c r="K26" i="1"/>
  <c r="K27" i="1"/>
  <c r="K28" i="1"/>
  <c r="K29" i="1"/>
  <c r="K30" i="1"/>
  <c r="K31" i="1"/>
  <c r="K32" i="1"/>
  <c r="K33" i="1"/>
  <c r="K34" i="1"/>
  <c r="K24" i="1"/>
  <c r="C61" i="1"/>
  <c r="G17" i="1"/>
  <c r="L21" i="1"/>
  <c r="L16" i="1"/>
  <c r="L17" i="1"/>
  <c r="L18" i="1"/>
  <c r="L19" i="1"/>
  <c r="L20" i="1"/>
  <c r="M21" i="1"/>
  <c r="K16" i="1"/>
  <c r="K17" i="1"/>
  <c r="K18" i="1"/>
  <c r="K19" i="1"/>
  <c r="K20" i="1"/>
  <c r="M35" i="1"/>
  <c r="M46" i="1"/>
  <c r="G39" i="1"/>
  <c r="H39" i="1"/>
  <c r="F42" i="1"/>
  <c r="F43" i="1"/>
  <c r="F44" i="1"/>
  <c r="F45" i="1"/>
  <c r="F46" i="1"/>
  <c r="F47" i="1"/>
  <c r="F48" i="1"/>
  <c r="F49" i="1"/>
  <c r="F41" i="1"/>
  <c r="H50" i="1"/>
  <c r="G49" i="1"/>
  <c r="G48" i="1"/>
  <c r="G47" i="1"/>
  <c r="G46" i="1"/>
  <c r="G45" i="1"/>
  <c r="G44" i="1"/>
  <c r="G42" i="1"/>
  <c r="G41" i="1"/>
  <c r="G50" i="1" s="1"/>
  <c r="C12" i="1" s="1"/>
  <c r="G31" i="1"/>
  <c r="G32" i="1"/>
  <c r="G33" i="1"/>
  <c r="G34" i="1"/>
  <c r="G35" i="1"/>
  <c r="G36" i="1"/>
  <c r="G37" i="1"/>
  <c r="G38" i="1"/>
  <c r="F38" i="1"/>
  <c r="F37" i="1"/>
  <c r="F36" i="1"/>
  <c r="F35" i="1"/>
  <c r="F34" i="1"/>
  <c r="F33" i="1"/>
  <c r="F32" i="1"/>
  <c r="F31" i="1"/>
  <c r="C7" i="1"/>
  <c r="C6" i="1"/>
  <c r="C5" i="1"/>
  <c r="G36" i="15"/>
  <c r="B11" i="15"/>
  <c r="I2" i="14"/>
  <c r="C31" i="15"/>
  <c r="D31" i="15"/>
  <c r="F8" i="15"/>
  <c r="B8" i="15"/>
  <c r="B31" i="15"/>
  <c r="L21" i="14"/>
  <c r="L20" i="14"/>
  <c r="I7" i="14"/>
  <c r="I6" i="14"/>
  <c r="I5" i="14"/>
  <c r="E18" i="13"/>
  <c r="E15" i="5"/>
  <c r="I25" i="6"/>
  <c r="F14" i="6"/>
  <c r="J15" i="5"/>
  <c r="G102" i="9"/>
  <c r="F3" i="10" s="1"/>
  <c r="G103" i="9"/>
  <c r="C106" i="9"/>
  <c r="C105" i="9"/>
  <c r="C103" i="9"/>
  <c r="C102" i="9"/>
  <c r="B13" i="10"/>
  <c r="I22" i="3"/>
  <c r="B3" i="10"/>
  <c r="L46" i="1" l="1"/>
  <c r="L35" i="1"/>
  <c r="C19" i="5"/>
  <c r="H13" i="10"/>
  <c r="Z1" i="16"/>
  <c r="X1" i="16"/>
  <c r="V1" i="16"/>
  <c r="T1" i="16"/>
  <c r="R1" i="16"/>
  <c r="P1" i="16"/>
  <c r="N1" i="16"/>
  <c r="L1" i="16"/>
  <c r="J1" i="16"/>
  <c r="H1" i="16"/>
  <c r="F1" i="16"/>
  <c r="E5" i="16"/>
  <c r="G5" i="16"/>
  <c r="I5" i="16" s="1"/>
  <c r="K5" i="16" s="1"/>
  <c r="M5" i="16" s="1"/>
  <c r="O5" i="16" s="1"/>
  <c r="Q5" i="16" s="1"/>
  <c r="S5" i="16" s="1"/>
  <c r="U5" i="16" s="1"/>
  <c r="W5" i="16" s="1"/>
  <c r="Y5" i="16" s="1"/>
  <c r="AA5" i="16" s="1"/>
  <c r="E6" i="16"/>
  <c r="G6" i="16" s="1"/>
  <c r="I6" i="16" s="1"/>
  <c r="K6" i="16" s="1"/>
  <c r="M6" i="16" s="1"/>
  <c r="O6" i="16" s="1"/>
  <c r="Q6" i="16" s="1"/>
  <c r="S6" i="16" s="1"/>
  <c r="U6" i="16" s="1"/>
  <c r="W6" i="16" s="1"/>
  <c r="Y6" i="16" s="1"/>
  <c r="AA6" i="16" s="1"/>
  <c r="E7" i="16"/>
  <c r="G7" i="16" s="1"/>
  <c r="I7" i="16" s="1"/>
  <c r="K7" i="16" s="1"/>
  <c r="M7" i="16" s="1"/>
  <c r="O7" i="16" s="1"/>
  <c r="Q7" i="16" s="1"/>
  <c r="S7" i="16" s="1"/>
  <c r="U7" i="16" s="1"/>
  <c r="W7" i="16" s="1"/>
  <c r="Y7" i="16" s="1"/>
  <c r="AA7" i="16" s="1"/>
  <c r="E8" i="16"/>
  <c r="G8" i="16" s="1"/>
  <c r="I8" i="16" s="1"/>
  <c r="K8" i="16" s="1"/>
  <c r="M8" i="16" s="1"/>
  <c r="O8" i="16" s="1"/>
  <c r="Q8" i="16" s="1"/>
  <c r="S8" i="16" s="1"/>
  <c r="U8" i="16" s="1"/>
  <c r="W8" i="16" s="1"/>
  <c r="Y8" i="16" s="1"/>
  <c r="AA8" i="16" s="1"/>
  <c r="E9" i="16"/>
  <c r="G9" i="16" s="1"/>
  <c r="I9" i="16" s="1"/>
  <c r="K9" i="16" s="1"/>
  <c r="M9" i="16" s="1"/>
  <c r="O9" i="16" s="1"/>
  <c r="Q9" i="16" s="1"/>
  <c r="S9" i="16" s="1"/>
  <c r="U9" i="16" s="1"/>
  <c r="W9" i="16" s="1"/>
  <c r="Y9" i="16" s="1"/>
  <c r="AA9" i="16" s="1"/>
  <c r="E10" i="16"/>
  <c r="G10" i="16" s="1"/>
  <c r="I10" i="16" s="1"/>
  <c r="K10" i="16" s="1"/>
  <c r="M10" i="16" s="1"/>
  <c r="O10" i="16" s="1"/>
  <c r="Q10" i="16" s="1"/>
  <c r="S10" i="16" s="1"/>
  <c r="U10" i="16" s="1"/>
  <c r="W10" i="16" s="1"/>
  <c r="Y10" i="16" s="1"/>
  <c r="AA10" i="16" s="1"/>
  <c r="E11" i="16"/>
  <c r="G11" i="16" s="1"/>
  <c r="I11" i="16" s="1"/>
  <c r="K11" i="16" s="1"/>
  <c r="M11" i="16" s="1"/>
  <c r="O11" i="16" s="1"/>
  <c r="Q11" i="16" s="1"/>
  <c r="S11" i="16" s="1"/>
  <c r="U11" i="16" s="1"/>
  <c r="W11" i="16" s="1"/>
  <c r="Y11" i="16" s="1"/>
  <c r="AA11" i="16" s="1"/>
  <c r="E12" i="16"/>
  <c r="G12" i="16" s="1"/>
  <c r="I12" i="16" s="1"/>
  <c r="K12" i="16" s="1"/>
  <c r="M12" i="16" s="1"/>
  <c r="O12" i="16" s="1"/>
  <c r="Q12" i="16" s="1"/>
  <c r="S12" i="16" s="1"/>
  <c r="U12" i="16" s="1"/>
  <c r="W12" i="16" s="1"/>
  <c r="Y12" i="16" s="1"/>
  <c r="AA12" i="16" s="1"/>
  <c r="E13" i="16"/>
  <c r="G13" i="16" s="1"/>
  <c r="I13" i="16" s="1"/>
  <c r="K13" i="16" s="1"/>
  <c r="M13" i="16" s="1"/>
  <c r="O13" i="16" s="1"/>
  <c r="Q13" i="16" s="1"/>
  <c r="S13" i="16" s="1"/>
  <c r="U13" i="16" s="1"/>
  <c r="W13" i="16" s="1"/>
  <c r="Y13" i="16" s="1"/>
  <c r="AA13" i="16" s="1"/>
  <c r="E14" i="16"/>
  <c r="G14" i="16" s="1"/>
  <c r="I14" i="16" s="1"/>
  <c r="K14" i="16" s="1"/>
  <c r="M14" i="16" s="1"/>
  <c r="O14" i="16" s="1"/>
  <c r="Q14" i="16" s="1"/>
  <c r="S14" i="16" s="1"/>
  <c r="U14" i="16" s="1"/>
  <c r="W14" i="16" s="1"/>
  <c r="Y14" i="16" s="1"/>
  <c r="AA14" i="16" s="1"/>
  <c r="E15" i="16"/>
  <c r="G15" i="16"/>
  <c r="I15" i="16" s="1"/>
  <c r="K15" i="16" s="1"/>
  <c r="M15" i="16" s="1"/>
  <c r="O15" i="16" s="1"/>
  <c r="Q15" i="16" s="1"/>
  <c r="S15" i="16" s="1"/>
  <c r="U15" i="16" s="1"/>
  <c r="W15" i="16" s="1"/>
  <c r="Y15" i="16" s="1"/>
  <c r="AA15" i="16" s="1"/>
  <c r="E16" i="16"/>
  <c r="G16" i="16" s="1"/>
  <c r="I16" i="16" s="1"/>
  <c r="K16" i="16" s="1"/>
  <c r="M16" i="16" s="1"/>
  <c r="O16" i="16" s="1"/>
  <c r="Q16" i="16" s="1"/>
  <c r="S16" i="16" s="1"/>
  <c r="U16" i="16" s="1"/>
  <c r="W16" i="16" s="1"/>
  <c r="Y16" i="16" s="1"/>
  <c r="AA16" i="16" s="1"/>
  <c r="E17" i="16"/>
  <c r="G17" i="16" s="1"/>
  <c r="I17" i="16" s="1"/>
  <c r="K17" i="16" s="1"/>
  <c r="M17" i="16" s="1"/>
  <c r="O17" i="16" s="1"/>
  <c r="Q17" i="16" s="1"/>
  <c r="S17" i="16" s="1"/>
  <c r="U17" i="16" s="1"/>
  <c r="W17" i="16" s="1"/>
  <c r="Y17" i="16" s="1"/>
  <c r="AA17" i="16" s="1"/>
  <c r="E18" i="16"/>
  <c r="G18" i="16" s="1"/>
  <c r="I18" i="16" s="1"/>
  <c r="K18" i="16" s="1"/>
  <c r="M18" i="16" s="1"/>
  <c r="O18" i="16" s="1"/>
  <c r="Q18" i="16" s="1"/>
  <c r="S18" i="16" s="1"/>
  <c r="U18" i="16" s="1"/>
  <c r="W18" i="16" s="1"/>
  <c r="Y18" i="16" s="1"/>
  <c r="AA18" i="16" s="1"/>
  <c r="E19" i="16"/>
  <c r="G19" i="16"/>
  <c r="I19" i="16" s="1"/>
  <c r="K19" i="16" s="1"/>
  <c r="M19" i="16" s="1"/>
  <c r="O19" i="16" s="1"/>
  <c r="Q19" i="16" s="1"/>
  <c r="S19" i="16" s="1"/>
  <c r="U19" i="16" s="1"/>
  <c r="W19" i="16" s="1"/>
  <c r="Y19" i="16" s="1"/>
  <c r="AA19" i="16" s="1"/>
  <c r="E20" i="16"/>
  <c r="G20" i="16" s="1"/>
  <c r="I20" i="16" s="1"/>
  <c r="K20" i="16" s="1"/>
  <c r="M20" i="16" s="1"/>
  <c r="O20" i="16" s="1"/>
  <c r="Q20" i="16" s="1"/>
  <c r="S20" i="16" s="1"/>
  <c r="U20" i="16" s="1"/>
  <c r="W20" i="16" s="1"/>
  <c r="Y20" i="16" s="1"/>
  <c r="AA20" i="16" s="1"/>
  <c r="E21" i="16"/>
  <c r="G21" i="16"/>
  <c r="I21" i="16" s="1"/>
  <c r="K21" i="16" s="1"/>
  <c r="M21" i="16" s="1"/>
  <c r="O21" i="16" s="1"/>
  <c r="Q21" i="16" s="1"/>
  <c r="S21" i="16" s="1"/>
  <c r="U21" i="16" s="1"/>
  <c r="W21" i="16" s="1"/>
  <c r="Y21" i="16" s="1"/>
  <c r="AA21" i="16" s="1"/>
  <c r="E22" i="16"/>
  <c r="G22" i="16" s="1"/>
  <c r="I22" i="16" s="1"/>
  <c r="K22" i="16" s="1"/>
  <c r="M22" i="16" s="1"/>
  <c r="O22" i="16" s="1"/>
  <c r="Q22" i="16" s="1"/>
  <c r="S22" i="16" s="1"/>
  <c r="U22" i="16" s="1"/>
  <c r="W22" i="16" s="1"/>
  <c r="Y22" i="16" s="1"/>
  <c r="AA22" i="16" s="1"/>
  <c r="E23" i="16"/>
  <c r="G23" i="16" s="1"/>
  <c r="I23" i="16" s="1"/>
  <c r="K23" i="16" s="1"/>
  <c r="M23" i="16" s="1"/>
  <c r="O23" i="16" s="1"/>
  <c r="Q23" i="16" s="1"/>
  <c r="S23" i="16" s="1"/>
  <c r="U23" i="16" s="1"/>
  <c r="W23" i="16" s="1"/>
  <c r="Y23" i="16" s="1"/>
  <c r="AA23" i="16" s="1"/>
  <c r="E24" i="16"/>
  <c r="G24" i="16" s="1"/>
  <c r="I24" i="16" s="1"/>
  <c r="K24" i="16" s="1"/>
  <c r="M24" i="16" s="1"/>
  <c r="O24" i="16" s="1"/>
  <c r="Q24" i="16" s="1"/>
  <c r="S24" i="16" s="1"/>
  <c r="U24" i="16" s="1"/>
  <c r="W24" i="16" s="1"/>
  <c r="Y24" i="16" s="1"/>
  <c r="AA24" i="16" s="1"/>
  <c r="E25" i="16"/>
  <c r="G25" i="16" s="1"/>
  <c r="I25" i="16" s="1"/>
  <c r="K25" i="16" s="1"/>
  <c r="M25" i="16" s="1"/>
  <c r="O25" i="16" s="1"/>
  <c r="Q25" i="16" s="1"/>
  <c r="S25" i="16" s="1"/>
  <c r="U25" i="16" s="1"/>
  <c r="W25" i="16" s="1"/>
  <c r="Y25" i="16" s="1"/>
  <c r="AA25" i="16" s="1"/>
  <c r="E26" i="16"/>
  <c r="G26" i="16" s="1"/>
  <c r="I26" i="16" s="1"/>
  <c r="K26" i="16" s="1"/>
  <c r="M26" i="16" s="1"/>
  <c r="O26" i="16" s="1"/>
  <c r="Q26" i="16" s="1"/>
  <c r="S26" i="16" s="1"/>
  <c r="U26" i="16" s="1"/>
  <c r="W26" i="16" s="1"/>
  <c r="Y26" i="16" s="1"/>
  <c r="AA26" i="16" s="1"/>
  <c r="E27" i="16"/>
  <c r="G27" i="16"/>
  <c r="I27" i="16" s="1"/>
  <c r="K27" i="16" s="1"/>
  <c r="M27" i="16" s="1"/>
  <c r="O27" i="16" s="1"/>
  <c r="Q27" i="16" s="1"/>
  <c r="S27" i="16" s="1"/>
  <c r="U27" i="16" s="1"/>
  <c r="W27" i="16" s="1"/>
  <c r="Y27" i="16" s="1"/>
  <c r="AA27" i="16" s="1"/>
  <c r="E28" i="16"/>
  <c r="G28" i="16" s="1"/>
  <c r="I28" i="16" s="1"/>
  <c r="K28" i="16" s="1"/>
  <c r="M28" i="16" s="1"/>
  <c r="O28" i="16" s="1"/>
  <c r="Q28" i="16" s="1"/>
  <c r="S28" i="16" s="1"/>
  <c r="U28" i="16" s="1"/>
  <c r="W28" i="16" s="1"/>
  <c r="Y28" i="16" s="1"/>
  <c r="AA28" i="16" s="1"/>
  <c r="E29" i="16"/>
  <c r="G29" i="16" s="1"/>
  <c r="I29" i="16" s="1"/>
  <c r="K29" i="16" s="1"/>
  <c r="M29" i="16" s="1"/>
  <c r="O29" i="16" s="1"/>
  <c r="Q29" i="16" s="1"/>
  <c r="S29" i="16" s="1"/>
  <c r="U29" i="16" s="1"/>
  <c r="W29" i="16" s="1"/>
  <c r="Y29" i="16" s="1"/>
  <c r="AA29" i="16" s="1"/>
  <c r="E30" i="16"/>
  <c r="G30" i="16" s="1"/>
  <c r="I30" i="16" s="1"/>
  <c r="K30" i="16" s="1"/>
  <c r="M30" i="16" s="1"/>
  <c r="O30" i="16" s="1"/>
  <c r="Q30" i="16" s="1"/>
  <c r="S30" i="16" s="1"/>
  <c r="U30" i="16" s="1"/>
  <c r="W30" i="16" s="1"/>
  <c r="Y30" i="16" s="1"/>
  <c r="AA30" i="16" s="1"/>
  <c r="E31" i="16"/>
  <c r="G31" i="16" s="1"/>
  <c r="I31" i="16" s="1"/>
  <c r="K31" i="16" s="1"/>
  <c r="M31" i="16" s="1"/>
  <c r="O31" i="16" s="1"/>
  <c r="Q31" i="16" s="1"/>
  <c r="S31" i="16" s="1"/>
  <c r="U31" i="16" s="1"/>
  <c r="W31" i="16" s="1"/>
  <c r="Y31" i="16" s="1"/>
  <c r="AA31" i="16" s="1"/>
  <c r="E32" i="16"/>
  <c r="G32" i="16" s="1"/>
  <c r="I32" i="16" s="1"/>
  <c r="K32" i="16" s="1"/>
  <c r="M32" i="16" s="1"/>
  <c r="O32" i="16" s="1"/>
  <c r="Q32" i="16" s="1"/>
  <c r="S32" i="16" s="1"/>
  <c r="U32" i="16" s="1"/>
  <c r="W32" i="16" s="1"/>
  <c r="Y32" i="16" s="1"/>
  <c r="AA32" i="16" s="1"/>
  <c r="E33" i="16"/>
  <c r="G33" i="16"/>
  <c r="I33" i="16"/>
  <c r="K33" i="16"/>
  <c r="M33" i="16" s="1"/>
  <c r="O33" i="16" s="1"/>
  <c r="Q33" i="16" s="1"/>
  <c r="S33" i="16" s="1"/>
  <c r="U33" i="16" s="1"/>
  <c r="W33" i="16" s="1"/>
  <c r="Y33" i="16" s="1"/>
  <c r="AA33" i="16" s="1"/>
  <c r="E34" i="16"/>
  <c r="G34" i="16" s="1"/>
  <c r="I34" i="16" s="1"/>
  <c r="K34" i="16" s="1"/>
  <c r="M34" i="16" s="1"/>
  <c r="O34" i="16" s="1"/>
  <c r="Q34" i="16" s="1"/>
  <c r="S34" i="16" s="1"/>
  <c r="U34" i="16" s="1"/>
  <c r="W34" i="16" s="1"/>
  <c r="Y34" i="16" s="1"/>
  <c r="AA34" i="16" s="1"/>
  <c r="E35" i="16"/>
  <c r="G35" i="16"/>
  <c r="I35" i="16" s="1"/>
  <c r="K35" i="16" s="1"/>
  <c r="M35" i="16" s="1"/>
  <c r="O35" i="16" s="1"/>
  <c r="Q35" i="16" s="1"/>
  <c r="S35" i="16" s="1"/>
  <c r="U35" i="16" s="1"/>
  <c r="W35" i="16" s="1"/>
  <c r="Y35" i="16" s="1"/>
  <c r="AA35" i="16" s="1"/>
  <c r="E36" i="16"/>
  <c r="G36" i="16" s="1"/>
  <c r="I36" i="16" s="1"/>
  <c r="K36" i="16" s="1"/>
  <c r="M36" i="16" s="1"/>
  <c r="O36" i="16" s="1"/>
  <c r="Q36" i="16" s="1"/>
  <c r="S36" i="16" s="1"/>
  <c r="U36" i="16" s="1"/>
  <c r="W36" i="16" s="1"/>
  <c r="Y36" i="16" s="1"/>
  <c r="AA36" i="16" s="1"/>
  <c r="E37" i="16"/>
  <c r="G37" i="16"/>
  <c r="I37" i="16"/>
  <c r="K37" i="16"/>
  <c r="M37" i="16" s="1"/>
  <c r="O37" i="16" s="1"/>
  <c r="Q37" i="16" s="1"/>
  <c r="S37" i="16" s="1"/>
  <c r="U37" i="16" s="1"/>
  <c r="W37" i="16" s="1"/>
  <c r="Y37" i="16" s="1"/>
  <c r="AA37" i="16" s="1"/>
  <c r="E38" i="16"/>
  <c r="G38" i="16" s="1"/>
  <c r="I38" i="16" s="1"/>
  <c r="K38" i="16" s="1"/>
  <c r="M38" i="16" s="1"/>
  <c r="O38" i="16" s="1"/>
  <c r="Q38" i="16" s="1"/>
  <c r="S38" i="16" s="1"/>
  <c r="U38" i="16" s="1"/>
  <c r="W38" i="16" s="1"/>
  <c r="Y38" i="16" s="1"/>
  <c r="AA38" i="16" s="1"/>
  <c r="E39" i="16"/>
  <c r="G39" i="16"/>
  <c r="I39" i="16" s="1"/>
  <c r="K39" i="16" s="1"/>
  <c r="M39" i="16" s="1"/>
  <c r="O39" i="16" s="1"/>
  <c r="Q39" i="16" s="1"/>
  <c r="S39" i="16" s="1"/>
  <c r="U39" i="16" s="1"/>
  <c r="W39" i="16" s="1"/>
  <c r="Y39" i="16" s="1"/>
  <c r="AA39" i="16" s="1"/>
  <c r="E40" i="16"/>
  <c r="G40" i="16" s="1"/>
  <c r="I40" i="16" s="1"/>
  <c r="K40" i="16" s="1"/>
  <c r="M40" i="16" s="1"/>
  <c r="O40" i="16" s="1"/>
  <c r="Q40" i="16" s="1"/>
  <c r="S40" i="16" s="1"/>
  <c r="U40" i="16" s="1"/>
  <c r="W40" i="16" s="1"/>
  <c r="Y40" i="16" s="1"/>
  <c r="AA40" i="16" s="1"/>
  <c r="E41" i="16"/>
  <c r="G41" i="16"/>
  <c r="I41" i="16"/>
  <c r="K41" i="16"/>
  <c r="M41" i="16" s="1"/>
  <c r="O41" i="16" s="1"/>
  <c r="Q41" i="16" s="1"/>
  <c r="S41" i="16" s="1"/>
  <c r="U41" i="16" s="1"/>
  <c r="W41" i="16" s="1"/>
  <c r="Y41" i="16" s="1"/>
  <c r="AA41" i="16" s="1"/>
  <c r="E42" i="16"/>
  <c r="G42" i="16" s="1"/>
  <c r="I42" i="16" s="1"/>
  <c r="K42" i="16" s="1"/>
  <c r="M42" i="16" s="1"/>
  <c r="O42" i="16" s="1"/>
  <c r="Q42" i="16" s="1"/>
  <c r="S42" i="16" s="1"/>
  <c r="U42" i="16" s="1"/>
  <c r="W42" i="16" s="1"/>
  <c r="Y42" i="16" s="1"/>
  <c r="AA42" i="16" s="1"/>
  <c r="E43" i="16"/>
  <c r="G43" i="16"/>
  <c r="I43" i="16" s="1"/>
  <c r="K43" i="16" s="1"/>
  <c r="M43" i="16" s="1"/>
  <c r="O43" i="16" s="1"/>
  <c r="Q43" i="16" s="1"/>
  <c r="S43" i="16" s="1"/>
  <c r="U43" i="16" s="1"/>
  <c r="W43" i="16" s="1"/>
  <c r="Y43" i="16" s="1"/>
  <c r="AA43" i="16" s="1"/>
  <c r="E44" i="16"/>
  <c r="G44" i="16" s="1"/>
  <c r="I44" i="16" s="1"/>
  <c r="K44" i="16" s="1"/>
  <c r="M44" i="16" s="1"/>
  <c r="O44" i="16" s="1"/>
  <c r="Q44" i="16" s="1"/>
  <c r="S44" i="16" s="1"/>
  <c r="U44" i="16" s="1"/>
  <c r="W44" i="16" s="1"/>
  <c r="Y44" i="16" s="1"/>
  <c r="AA44" i="16" s="1"/>
  <c r="E45" i="16"/>
  <c r="G45" i="16"/>
  <c r="I45" i="16"/>
  <c r="K45" i="16"/>
  <c r="M45" i="16" s="1"/>
  <c r="O45" i="16" s="1"/>
  <c r="Q45" i="16" s="1"/>
  <c r="S45" i="16" s="1"/>
  <c r="U45" i="16" s="1"/>
  <c r="W45" i="16" s="1"/>
  <c r="Y45" i="16" s="1"/>
  <c r="AA45" i="16" s="1"/>
  <c r="E46" i="16"/>
  <c r="G46" i="16" s="1"/>
  <c r="I46" i="16" s="1"/>
  <c r="K46" i="16" s="1"/>
  <c r="M46" i="16" s="1"/>
  <c r="O46" i="16" s="1"/>
  <c r="Q46" i="16" s="1"/>
  <c r="S46" i="16" s="1"/>
  <c r="U46" i="16" s="1"/>
  <c r="W46" i="16" s="1"/>
  <c r="Y46" i="16" s="1"/>
  <c r="AA46" i="16" s="1"/>
  <c r="E4" i="16"/>
  <c r="G4" i="16"/>
  <c r="I4" i="16" s="1"/>
  <c r="K4" i="16" s="1"/>
  <c r="M4" i="16" l="1"/>
  <c r="O4" i="16" s="1"/>
  <c r="Q4" i="16" s="1"/>
  <c r="S4" i="16" s="1"/>
  <c r="U4" i="16" s="1"/>
  <c r="W4" i="16" s="1"/>
  <c r="Y4" i="16" s="1"/>
  <c r="AA4" i="16" s="1"/>
  <c r="D1" i="16" l="1"/>
  <c r="E3" i="16"/>
  <c r="G3" i="16" s="1"/>
  <c r="I3" i="16" s="1"/>
  <c r="K3" i="16" s="1"/>
  <c r="M3" i="16" s="1"/>
  <c r="O3" i="16" s="1"/>
  <c r="Q3" i="16" s="1"/>
  <c r="S3" i="16" s="1"/>
  <c r="U3" i="16" s="1"/>
  <c r="W3" i="16" s="1"/>
  <c r="Y3" i="16" s="1"/>
  <c r="AA3" i="16" s="1"/>
  <c r="A11" i="16"/>
  <c r="A45" i="16"/>
  <c r="A43" i="16"/>
  <c r="A41" i="16"/>
  <c r="A39" i="16"/>
  <c r="A37" i="16"/>
  <c r="A35" i="16"/>
  <c r="A33" i="16"/>
  <c r="A31" i="16"/>
  <c r="A29" i="16"/>
  <c r="A27" i="16"/>
  <c r="A25" i="16"/>
  <c r="A23" i="16"/>
  <c r="A21" i="16"/>
  <c r="A19" i="16"/>
  <c r="A17" i="16"/>
  <c r="A15" i="16"/>
  <c r="A13" i="16"/>
  <c r="A9" i="16"/>
  <c r="A7" i="16"/>
  <c r="A5" i="16"/>
  <c r="A3" i="16"/>
  <c r="E2" i="17"/>
  <c r="N9" i="17"/>
  <c r="N6" i="17"/>
  <c r="N7" i="17"/>
  <c r="N5" i="17" l="1"/>
  <c r="N8" i="17"/>
  <c r="N4" i="17"/>
  <c r="B2" i="1" l="1"/>
  <c r="C43" i="14"/>
  <c r="I17" i="14"/>
  <c r="F14" i="14"/>
  <c r="C44" i="14"/>
  <c r="E15" i="13"/>
  <c r="C44" i="6"/>
  <c r="L17" i="6"/>
  <c r="D57" i="9"/>
  <c r="D20" i="1"/>
  <c r="B1" i="1"/>
  <c r="A1" i="13"/>
  <c r="C18" i="1"/>
  <c r="C17" i="1"/>
  <c r="C15" i="1"/>
  <c r="C14" i="1"/>
  <c r="G7" i="1"/>
  <c r="G8" i="1"/>
  <c r="G9" i="1"/>
  <c r="G10" i="1"/>
  <c r="G11" i="1"/>
  <c r="G12" i="1"/>
  <c r="G13" i="1"/>
  <c r="G14" i="1"/>
  <c r="G15" i="1"/>
  <c r="G16" i="1"/>
  <c r="G6" i="1"/>
  <c r="F7" i="1"/>
  <c r="F8" i="1"/>
  <c r="F9" i="1"/>
  <c r="F10" i="1"/>
  <c r="F11" i="1"/>
  <c r="F12" i="1"/>
  <c r="F13" i="1"/>
  <c r="F14" i="1"/>
  <c r="F15" i="1"/>
  <c r="F16" i="1"/>
  <c r="F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6" i="1"/>
  <c r="G23" i="1"/>
  <c r="G24" i="1"/>
  <c r="G25" i="1"/>
  <c r="G26" i="1"/>
  <c r="G27" i="1"/>
  <c r="G28" i="1"/>
  <c r="G29" i="1"/>
  <c r="G30" i="1"/>
  <c r="F21" i="1"/>
  <c r="F22" i="1"/>
  <c r="F23" i="1"/>
  <c r="F24" i="1"/>
  <c r="F25" i="1"/>
  <c r="F26" i="1"/>
  <c r="F27" i="1"/>
  <c r="F28" i="1"/>
  <c r="F29" i="1"/>
  <c r="F30" i="1"/>
  <c r="F20"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23" i="1"/>
  <c r="H17" i="1"/>
  <c r="D61" i="1"/>
  <c r="R44" i="1"/>
  <c r="K7" i="1"/>
  <c r="K8" i="1"/>
  <c r="K9" i="1"/>
  <c r="K10" i="1"/>
  <c r="K11" i="1"/>
  <c r="K12" i="1"/>
  <c r="K13" i="1"/>
  <c r="K14" i="1"/>
  <c r="K15" i="1"/>
  <c r="L7" i="1"/>
  <c r="L8" i="1"/>
  <c r="L9" i="1"/>
  <c r="L10" i="1"/>
  <c r="L11" i="1"/>
  <c r="L12" i="1"/>
  <c r="L13" i="1"/>
  <c r="L14" i="1"/>
  <c r="L15" i="1"/>
  <c r="L6" i="1"/>
  <c r="K6" i="1"/>
  <c r="B9" i="15"/>
  <c r="B10" i="15"/>
  <c r="A1" i="15"/>
  <c r="A1" i="14"/>
  <c r="Q44" i="1" l="1"/>
  <c r="A1" i="6"/>
  <c r="G9" i="15"/>
  <c r="G10" i="15"/>
  <c r="G11" i="15"/>
  <c r="G12" i="15"/>
  <c r="G13" i="15"/>
  <c r="G14" i="15"/>
  <c r="G15" i="15"/>
  <c r="G16" i="15"/>
  <c r="G17" i="15"/>
  <c r="G18" i="15"/>
  <c r="G19" i="15"/>
  <c r="G20" i="15"/>
  <c r="G21" i="15"/>
  <c r="G22" i="15"/>
  <c r="G23" i="15"/>
  <c r="G24" i="15"/>
  <c r="G25" i="15"/>
  <c r="G26" i="15"/>
  <c r="G27" i="15"/>
  <c r="G28" i="15"/>
  <c r="G29" i="15"/>
  <c r="G8" i="15"/>
  <c r="E4" i="17"/>
  <c r="O15" i="13"/>
  <c r="J15" i="13"/>
  <c r="A1" i="5"/>
  <c r="A1" i="4"/>
  <c r="B1" i="10"/>
  <c r="B1" i="3"/>
  <c r="F12" i="15"/>
  <c r="B11" i="16" s="1"/>
  <c r="B12" i="16" s="1"/>
  <c r="O15" i="5"/>
  <c r="B28" i="15"/>
  <c r="B29" i="15"/>
  <c r="B3" i="16"/>
  <c r="B4" i="16" s="1"/>
  <c r="B12" i="15"/>
  <c r="B13" i="15"/>
  <c r="B14" i="15"/>
  <c r="B15" i="15"/>
  <c r="B16" i="15"/>
  <c r="B17" i="15"/>
  <c r="B18" i="15"/>
  <c r="B19" i="15"/>
  <c r="B20" i="15"/>
  <c r="B21" i="15"/>
  <c r="B22" i="15"/>
  <c r="B23" i="15"/>
  <c r="B24" i="15"/>
  <c r="B25" i="15"/>
  <c r="B26" i="15"/>
  <c r="B27" i="15"/>
  <c r="F9" i="15"/>
  <c r="B5" i="16" s="1"/>
  <c r="B6" i="16" s="1"/>
  <c r="F10" i="15"/>
  <c r="B7" i="16" s="1"/>
  <c r="B8" i="16" s="1"/>
  <c r="F11" i="15"/>
  <c r="B9" i="16" s="1"/>
  <c r="B10" i="16" s="1"/>
  <c r="F13" i="15"/>
  <c r="B13" i="16" s="1"/>
  <c r="B14" i="16" s="1"/>
  <c r="F14" i="15"/>
  <c r="B15" i="16" s="1"/>
  <c r="B16" i="16" s="1"/>
  <c r="F15" i="15"/>
  <c r="B17" i="16" s="1"/>
  <c r="B18" i="16" s="1"/>
  <c r="F16" i="15"/>
  <c r="B19" i="16" s="1"/>
  <c r="B20" i="16" s="1"/>
  <c r="F17" i="15"/>
  <c r="B21" i="16" s="1"/>
  <c r="B22" i="16" s="1"/>
  <c r="F18" i="15"/>
  <c r="B23" i="16" s="1"/>
  <c r="B24" i="16" s="1"/>
  <c r="F19" i="15"/>
  <c r="B25" i="16" s="1"/>
  <c r="B26" i="16" s="1"/>
  <c r="F20" i="15"/>
  <c r="B27" i="16" s="1"/>
  <c r="B28" i="16" s="1"/>
  <c r="F21" i="15"/>
  <c r="B29" i="16" s="1"/>
  <c r="B30" i="16" s="1"/>
  <c r="F22" i="15"/>
  <c r="B31" i="16" s="1"/>
  <c r="B32" i="16" s="1"/>
  <c r="F23" i="15"/>
  <c r="B33" i="16" s="1"/>
  <c r="B34" i="16" s="1"/>
  <c r="F24" i="15"/>
  <c r="B35" i="16" s="1"/>
  <c r="B36" i="16" s="1"/>
  <c r="F25" i="15"/>
  <c r="B37" i="16" s="1"/>
  <c r="B38" i="16" s="1"/>
  <c r="F26" i="15"/>
  <c r="B39" i="16" s="1"/>
  <c r="B40" i="16" s="1"/>
  <c r="F27" i="15"/>
  <c r="B41" i="16" s="1"/>
  <c r="B42" i="16" s="1"/>
  <c r="F28" i="15"/>
  <c r="B43" i="16" s="1"/>
  <c r="B44" i="16" s="1"/>
  <c r="F29" i="15"/>
  <c r="B45" i="16" s="1"/>
  <c r="B46" i="16" s="1"/>
  <c r="F13" i="14"/>
  <c r="N14" i="13"/>
  <c r="I14" i="13"/>
  <c r="D14" i="13"/>
  <c r="O13" i="13"/>
  <c r="J13" i="13"/>
  <c r="E13" i="13"/>
  <c r="O12" i="13"/>
  <c r="J12" i="13"/>
  <c r="E12" i="13"/>
  <c r="O11" i="13"/>
  <c r="J11" i="13"/>
  <c r="E11" i="13"/>
  <c r="O10" i="13"/>
  <c r="J10" i="13"/>
  <c r="E10" i="13"/>
  <c r="O9" i="13"/>
  <c r="J9" i="13"/>
  <c r="E9" i="13"/>
  <c r="O8" i="13"/>
  <c r="J8" i="13"/>
  <c r="E8" i="13"/>
  <c r="O7" i="13"/>
  <c r="J7" i="13"/>
  <c r="E7" i="13"/>
  <c r="O6" i="13"/>
  <c r="J6" i="13"/>
  <c r="E6" i="13"/>
  <c r="L16" i="6"/>
  <c r="F13" i="6"/>
  <c r="C43" i="6"/>
  <c r="N14" i="5"/>
  <c r="I14" i="5"/>
  <c r="D14" i="5"/>
  <c r="E3" i="17" l="1"/>
  <c r="E5" i="17" s="1"/>
  <c r="O3" i="17"/>
  <c r="P3" i="17" s="1"/>
  <c r="J14" i="13"/>
  <c r="O14" i="13"/>
  <c r="E14" i="13"/>
  <c r="G33" i="15"/>
  <c r="C19" i="13"/>
  <c r="G31" i="15"/>
  <c r="Q3" i="3"/>
  <c r="F31" i="15"/>
  <c r="J6" i="5"/>
  <c r="E6" i="5"/>
  <c r="O7" i="5"/>
  <c r="O8" i="5"/>
  <c r="O9" i="5"/>
  <c r="O10" i="5"/>
  <c r="O11" i="5"/>
  <c r="O12" i="5"/>
  <c r="O13" i="5"/>
  <c r="O6" i="5"/>
  <c r="J7" i="5"/>
  <c r="J8" i="5"/>
  <c r="J9" i="5"/>
  <c r="J10" i="5"/>
  <c r="J11" i="5"/>
  <c r="J12" i="5"/>
  <c r="J13" i="5"/>
  <c r="E7" i="5"/>
  <c r="E8" i="5"/>
  <c r="E9" i="5"/>
  <c r="E10" i="5"/>
  <c r="E11" i="5"/>
  <c r="E12" i="5"/>
  <c r="E13" i="5"/>
  <c r="B3" i="3" l="1"/>
  <c r="F13" i="3" s="1"/>
  <c r="E31" i="15"/>
  <c r="L3" i="3" s="1"/>
  <c r="G105" i="9"/>
  <c r="C104" i="9" s="1"/>
  <c r="G106" i="9" s="1"/>
  <c r="O7" i="17"/>
  <c r="P7" i="17" s="1"/>
  <c r="Q7" i="17" s="1"/>
  <c r="O9" i="17"/>
  <c r="P9" i="17" s="1"/>
  <c r="Q9" i="17" s="1"/>
  <c r="E6" i="17"/>
  <c r="O8" i="17"/>
  <c r="P8" i="17" s="1"/>
  <c r="R8" i="17" s="1"/>
  <c r="O5" i="17"/>
  <c r="P5" i="17" s="1"/>
  <c r="Q5" i="17" s="1"/>
  <c r="O4" i="17"/>
  <c r="P4" i="17" s="1"/>
  <c r="R4" i="17" s="1"/>
  <c r="O6" i="17"/>
  <c r="P6" i="17" s="1"/>
  <c r="Q6" i="17" s="1"/>
  <c r="C8" i="9"/>
  <c r="F13" i="10"/>
  <c r="R3" i="17"/>
  <c r="Q3" i="17"/>
  <c r="G2" i="15"/>
  <c r="B2" i="16" s="1"/>
  <c r="B4" i="18"/>
  <c r="B2" i="17"/>
  <c r="J14" i="5"/>
  <c r="I6" i="6" s="1"/>
  <c r="G21" i="1" s="1"/>
  <c r="B36" i="15"/>
  <c r="F36" i="15" s="1"/>
  <c r="C34" i="15"/>
  <c r="C18" i="13"/>
  <c r="O14" i="5"/>
  <c r="I7" i="6" s="1"/>
  <c r="G22" i="1" s="1"/>
  <c r="E14" i="5"/>
  <c r="D12" i="18" l="1"/>
  <c r="H12" i="18"/>
  <c r="L12" i="18"/>
  <c r="I4" i="18"/>
  <c r="F12" i="18"/>
  <c r="J12" i="18"/>
  <c r="G4" i="18"/>
  <c r="K4" i="18"/>
  <c r="F4" i="18"/>
  <c r="C12" i="18"/>
  <c r="G12" i="18"/>
  <c r="H4" i="18"/>
  <c r="L4" i="18"/>
  <c r="E12" i="18"/>
  <c r="I12" i="18"/>
  <c r="B12" i="18"/>
  <c r="J4" i="18"/>
  <c r="K12" i="18"/>
  <c r="C4" i="18"/>
  <c r="I5" i="6"/>
  <c r="I24" i="6" s="1"/>
  <c r="C18" i="5"/>
  <c r="E18" i="5" s="1"/>
  <c r="H18" i="10"/>
  <c r="R5" i="17"/>
  <c r="R7" i="17"/>
  <c r="R9" i="17"/>
  <c r="R6" i="17"/>
  <c r="Q8" i="17"/>
  <c r="Q4" i="17"/>
  <c r="H8" i="17"/>
  <c r="H5" i="17"/>
  <c r="H6" i="17"/>
  <c r="H4" i="17"/>
  <c r="H7" i="17"/>
  <c r="H9" i="17"/>
  <c r="I16" i="14"/>
  <c r="F3" i="3" s="1"/>
  <c r="L2" i="1"/>
  <c r="C3" i="1"/>
  <c r="B6" i="4"/>
  <c r="I5" i="4" s="1"/>
  <c r="B3" i="17" l="1"/>
  <c r="B5" i="17" s="1"/>
  <c r="F17" i="3"/>
  <c r="B34" i="15" s="1"/>
  <c r="H13" i="3"/>
  <c r="G20" i="1"/>
  <c r="I7" i="4"/>
  <c r="C15" i="18" l="1"/>
  <c r="D15" i="18" s="1"/>
  <c r="E15" i="18" s="1"/>
  <c r="F15" i="18" s="1"/>
  <c r="G15" i="18" s="1"/>
  <c r="H15" i="18" s="1"/>
  <c r="I15" i="18" s="1"/>
  <c r="J15" i="18" s="1"/>
  <c r="K15" i="18" s="1"/>
  <c r="L15" i="18" s="1"/>
  <c r="H18" i="3"/>
  <c r="I21" i="3" s="1"/>
  <c r="C7" i="18"/>
  <c r="D7" i="18" s="1"/>
  <c r="E7" i="18" s="1"/>
  <c r="F7" i="18" s="1"/>
  <c r="G7" i="18" s="1"/>
  <c r="H7" i="18" s="1"/>
  <c r="I7" i="18" s="1"/>
  <c r="J7" i="18" s="1"/>
  <c r="K7" i="18" s="1"/>
  <c r="L7" i="18" s="1"/>
  <c r="B4" i="17"/>
  <c r="I10" i="3"/>
  <c r="C16" i="1"/>
  <c r="C19" i="1" s="1"/>
  <c r="C20" i="1" s="1"/>
  <c r="G16" i="3"/>
  <c r="C8" i="1" s="1"/>
  <c r="I16" i="3"/>
  <c r="B8" i="18" l="1"/>
  <c r="I3" i="17"/>
  <c r="J3" i="17" s="1"/>
  <c r="B6" i="17"/>
  <c r="I9" i="17"/>
  <c r="J9" i="17" s="1"/>
  <c r="I7" i="17"/>
  <c r="J7" i="17" s="1"/>
  <c r="I6" i="17"/>
  <c r="J6" i="17" s="1"/>
  <c r="I5" i="17"/>
  <c r="J5" i="17" s="1"/>
  <c r="I4" i="17"/>
  <c r="J4" i="17" s="1"/>
  <c r="I8" i="17"/>
  <c r="J8" i="17" s="1"/>
  <c r="L8" i="17" l="1"/>
  <c r="K8" i="17"/>
  <c r="L4" i="17"/>
  <c r="K4" i="17"/>
  <c r="K5" i="17"/>
  <c r="L5" i="17"/>
  <c r="L6" i="17"/>
  <c r="K6" i="17"/>
  <c r="K7" i="17"/>
  <c r="L7" i="17"/>
  <c r="K9" i="17"/>
  <c r="L9" i="17"/>
  <c r="L3" i="17"/>
  <c r="K3" i="17"/>
  <c r="C3" i="18"/>
  <c r="C6" i="18" s="1"/>
  <c r="C11" i="18"/>
  <c r="C14" i="18" s="1"/>
  <c r="C13" i="18" s="1"/>
  <c r="D11" i="18" l="1"/>
  <c r="C16" i="18"/>
  <c r="C17" i="18" s="1"/>
  <c r="D3" i="18"/>
  <c r="D6" i="18" s="1"/>
  <c r="C5" i="18"/>
  <c r="C8" i="18" s="1"/>
  <c r="C9" i="18" s="1"/>
  <c r="E3" i="18" l="1"/>
  <c r="E6" i="18" s="1"/>
  <c r="D5" i="18"/>
  <c r="D8" i="18" s="1"/>
  <c r="D9" i="18" s="1"/>
  <c r="E11" i="18"/>
  <c r="D14" i="18"/>
  <c r="D13" i="18" s="1"/>
  <c r="D16" i="18" s="1"/>
  <c r="D17" i="18" s="1"/>
  <c r="F11" i="18" l="1"/>
  <c r="E14" i="18"/>
  <c r="E13" i="18" s="1"/>
  <c r="E16" i="18" s="1"/>
  <c r="E17" i="18" s="1"/>
  <c r="F3" i="18"/>
  <c r="E5" i="18"/>
  <c r="E8" i="18" s="1"/>
  <c r="E9" i="18" s="1"/>
  <c r="G3" i="18" l="1"/>
  <c r="F6" i="18"/>
  <c r="F5" i="18" s="1"/>
  <c r="F8" i="18" s="1"/>
  <c r="F9" i="18" s="1"/>
  <c r="G11" i="18"/>
  <c r="F14" i="18"/>
  <c r="F13" i="18" s="1"/>
  <c r="F16" i="18" s="1"/>
  <c r="F17" i="18" s="1"/>
  <c r="H11" i="18" l="1"/>
  <c r="G14" i="18"/>
  <c r="G13" i="18" s="1"/>
  <c r="G16" i="18" s="1"/>
  <c r="G17" i="18" s="1"/>
  <c r="H3" i="18"/>
  <c r="G6" i="18"/>
  <c r="G5" i="18" s="1"/>
  <c r="G8" i="18" s="1"/>
  <c r="G9" i="18" s="1"/>
  <c r="I3" i="18" l="1"/>
  <c r="H6" i="18"/>
  <c r="H5" i="18" s="1"/>
  <c r="H8" i="18" s="1"/>
  <c r="H9" i="18" s="1"/>
  <c r="I11" i="18"/>
  <c r="H14" i="18"/>
  <c r="H13" i="18" s="1"/>
  <c r="H16" i="18" s="1"/>
  <c r="H17" i="18" s="1"/>
  <c r="J11" i="18" l="1"/>
  <c r="I14" i="18"/>
  <c r="I13" i="18" s="1"/>
  <c r="I16" i="18" s="1"/>
  <c r="I17" i="18" s="1"/>
  <c r="J3" i="18"/>
  <c r="I6" i="18"/>
  <c r="I5" i="18" s="1"/>
  <c r="I8" i="18" s="1"/>
  <c r="I9" i="18" s="1"/>
  <c r="K3" i="18" l="1"/>
  <c r="J6" i="18"/>
  <c r="J5" i="18" s="1"/>
  <c r="J8" i="18" s="1"/>
  <c r="J9" i="18" s="1"/>
  <c r="K11" i="18"/>
  <c r="J14" i="18"/>
  <c r="J13" i="18" s="1"/>
  <c r="J16" i="18" s="1"/>
  <c r="J17" i="18" s="1"/>
  <c r="L11" i="18" l="1"/>
  <c r="L14" i="18" s="1"/>
  <c r="L13" i="18" s="1"/>
  <c r="L16" i="18" s="1"/>
  <c r="L17" i="18" s="1"/>
  <c r="K14" i="18"/>
  <c r="K13" i="18" s="1"/>
  <c r="K16" i="18" s="1"/>
  <c r="K17" i="18" s="1"/>
  <c r="L3" i="18"/>
  <c r="L6" i="18" s="1"/>
  <c r="L5" i="18" s="1"/>
  <c r="L8" i="18" s="1"/>
  <c r="L9" i="18" s="1"/>
  <c r="K6" i="18"/>
  <c r="K5" i="18" s="1"/>
  <c r="K8" i="18" s="1"/>
  <c r="K9" i="18" s="1"/>
</calcChain>
</file>

<file path=xl/sharedStrings.xml><?xml version="1.0" encoding="utf-8"?>
<sst xmlns="http://schemas.openxmlformats.org/spreadsheetml/2006/main" count="1031" uniqueCount="437">
  <si>
    <t>会社名</t>
    <rPh sb="0" eb="3">
      <t>カイシャメイ</t>
    </rPh>
    <phoneticPr fontId="2"/>
  </si>
  <si>
    <t>第</t>
    <rPh sb="0" eb="1">
      <t>ダイ</t>
    </rPh>
    <phoneticPr fontId="2"/>
  </si>
  <si>
    <t>期</t>
    <rPh sb="0" eb="1">
      <t>キ</t>
    </rPh>
    <phoneticPr fontId="2"/>
  </si>
  <si>
    <t>製作：結城伸太郎</t>
    <rPh sb="0" eb="2">
      <t>セイサク</t>
    </rPh>
    <rPh sb="3" eb="8">
      <t>ユウキシンタロウ</t>
    </rPh>
    <phoneticPr fontId="2"/>
  </si>
  <si>
    <t>自</t>
    <rPh sb="0" eb="1">
      <t>ジ</t>
    </rPh>
    <phoneticPr fontId="4"/>
  </si>
  <si>
    <t>例：2024/11/1</t>
    <rPh sb="0" eb="1">
      <t>レイ</t>
    </rPh>
    <phoneticPr fontId="2"/>
  </si>
  <si>
    <t>至</t>
    <rPh sb="0" eb="1">
      <t>イタル</t>
    </rPh>
    <phoneticPr fontId="4"/>
  </si>
  <si>
    <t>現状</t>
    <rPh sb="0" eb="2">
      <t>ゲンジョウ</t>
    </rPh>
    <phoneticPr fontId="2"/>
  </si>
  <si>
    <t>（百万円）</t>
    <rPh sb="1" eb="3">
      <t>ヒャクマン</t>
    </rPh>
    <rPh sb="3" eb="4">
      <t>エン</t>
    </rPh>
    <phoneticPr fontId="2"/>
  </si>
  <si>
    <t>例：122　→　1億2200万円</t>
    <rPh sb="0" eb="1">
      <t>レイ</t>
    </rPh>
    <rPh sb="9" eb="10">
      <t>オク</t>
    </rPh>
    <rPh sb="14" eb="16">
      <t>マンエン</t>
    </rPh>
    <phoneticPr fontId="2"/>
  </si>
  <si>
    <t>コードNo</t>
    <phoneticPr fontId="4"/>
  </si>
  <si>
    <t>勘定科目</t>
    <phoneticPr fontId="4"/>
  </si>
  <si>
    <t>損益計算書</t>
    <rPh sb="0" eb="2">
      <t>ソンエキ</t>
    </rPh>
    <rPh sb="2" eb="4">
      <t>ケイサン</t>
    </rPh>
    <rPh sb="4" eb="5">
      <t>ショ</t>
    </rPh>
    <phoneticPr fontId="4"/>
  </si>
  <si>
    <t>製造原価報告書</t>
    <rPh sb="4" eb="7">
      <t>ホウコクショ</t>
    </rPh>
    <phoneticPr fontId="4"/>
  </si>
  <si>
    <t>売上</t>
  </si>
  <si>
    <t>直近売上</t>
    <phoneticPr fontId="2"/>
  </si>
  <si>
    <t>直近売上(現状)</t>
  </si>
  <si>
    <t>総益</t>
    <rPh sb="0" eb="1">
      <t>ソウ</t>
    </rPh>
    <rPh sb="1" eb="2">
      <t>エキ</t>
    </rPh>
    <phoneticPr fontId="4"/>
  </si>
  <si>
    <t>売上総利益</t>
  </si>
  <si>
    <t>益率</t>
    <rPh sb="0" eb="1">
      <t>エキ</t>
    </rPh>
    <rPh sb="1" eb="2">
      <t>リツ</t>
    </rPh>
    <phoneticPr fontId="4"/>
  </si>
  <si>
    <t>利益率(%)</t>
    <phoneticPr fontId="2"/>
  </si>
  <si>
    <t>利益率(0.**)</t>
  </si>
  <si>
    <t>変動費</t>
  </si>
  <si>
    <t>粗利益率(0.**)</t>
    <rPh sb="0" eb="3">
      <t>アラリエキ</t>
    </rPh>
    <rPh sb="3" eb="4">
      <t>リツ</t>
    </rPh>
    <phoneticPr fontId="4"/>
  </si>
  <si>
    <t>粗利益額</t>
    <rPh sb="0" eb="1">
      <t>アラ</t>
    </rPh>
    <rPh sb="1" eb="3">
      <t>リエキ</t>
    </rPh>
    <rPh sb="3" eb="4">
      <t>ガク</t>
    </rPh>
    <phoneticPr fontId="4"/>
  </si>
  <si>
    <t>人件1</t>
    <rPh sb="0" eb="2">
      <t>ジンケン</t>
    </rPh>
    <phoneticPr fontId="4"/>
  </si>
  <si>
    <t>社員給料</t>
    <rPh sb="2" eb="4">
      <t>キュウリョウ</t>
    </rPh>
    <phoneticPr fontId="4"/>
  </si>
  <si>
    <t>人件2</t>
    <rPh sb="0" eb="2">
      <t>ジンケン</t>
    </rPh>
    <phoneticPr fontId="4"/>
  </si>
  <si>
    <t>通勤手当</t>
  </si>
  <si>
    <t>人件3</t>
    <rPh sb="0" eb="2">
      <t>ジンケン</t>
    </rPh>
    <phoneticPr fontId="4"/>
  </si>
  <si>
    <t>賞与</t>
  </si>
  <si>
    <t>人件4</t>
    <rPh sb="0" eb="2">
      <t>ジンケン</t>
    </rPh>
    <phoneticPr fontId="4"/>
  </si>
  <si>
    <t>退職金</t>
  </si>
  <si>
    <t>人件5</t>
    <rPh sb="0" eb="2">
      <t>ジンケン</t>
    </rPh>
    <phoneticPr fontId="4"/>
  </si>
  <si>
    <t>雑給料</t>
    <phoneticPr fontId="4"/>
  </si>
  <si>
    <t>人件6</t>
    <rPh sb="0" eb="2">
      <t>ジンケン</t>
    </rPh>
    <phoneticPr fontId="4"/>
  </si>
  <si>
    <t>派遣社員費</t>
  </si>
  <si>
    <t>人件7</t>
    <rPh sb="0" eb="2">
      <t>ジンケン</t>
    </rPh>
    <phoneticPr fontId="4"/>
  </si>
  <si>
    <t>契約社員費</t>
    <rPh sb="0" eb="2">
      <t>ケイヤク</t>
    </rPh>
    <rPh sb="2" eb="4">
      <t>シャイン</t>
    </rPh>
    <rPh sb="4" eb="5">
      <t>ヒ</t>
    </rPh>
    <phoneticPr fontId="4"/>
  </si>
  <si>
    <t>人件8</t>
    <rPh sb="0" eb="2">
      <t>ジンケン</t>
    </rPh>
    <phoneticPr fontId="4"/>
  </si>
  <si>
    <t>諸費用</t>
  </si>
  <si>
    <t>人件9</t>
    <rPh sb="0" eb="2">
      <t>ジンケン</t>
    </rPh>
    <phoneticPr fontId="4"/>
  </si>
  <si>
    <t>役員報酬</t>
    <rPh sb="0" eb="2">
      <t>ヤクイン</t>
    </rPh>
    <rPh sb="2" eb="4">
      <t>ホウシュウ</t>
    </rPh>
    <phoneticPr fontId="4"/>
  </si>
  <si>
    <t>人件10</t>
    <rPh sb="0" eb="2">
      <t>ジンケン</t>
    </rPh>
    <phoneticPr fontId="4"/>
  </si>
  <si>
    <t>募集費</t>
    <phoneticPr fontId="4"/>
  </si>
  <si>
    <t>人件11</t>
    <rPh sb="0" eb="2">
      <t>ジンケン</t>
    </rPh>
    <phoneticPr fontId="4"/>
  </si>
  <si>
    <t>教育研修</t>
    <phoneticPr fontId="4"/>
  </si>
  <si>
    <t>人件12</t>
    <rPh sb="0" eb="2">
      <t>ジンケン</t>
    </rPh>
    <phoneticPr fontId="4"/>
  </si>
  <si>
    <t>研修費</t>
  </si>
  <si>
    <t>人件13</t>
    <rPh sb="0" eb="2">
      <t>ジンケン</t>
    </rPh>
    <phoneticPr fontId="4"/>
  </si>
  <si>
    <t>会議費</t>
  </si>
  <si>
    <t>人件14</t>
    <rPh sb="0" eb="2">
      <t>ジンケン</t>
    </rPh>
    <phoneticPr fontId="4"/>
  </si>
  <si>
    <t>図書教育費</t>
  </si>
  <si>
    <t>人件15</t>
    <rPh sb="0" eb="2">
      <t>ジンケン</t>
    </rPh>
    <phoneticPr fontId="4"/>
  </si>
  <si>
    <t>新聞図書費</t>
  </si>
  <si>
    <t>人件16</t>
    <rPh sb="0" eb="2">
      <t>ジンケン</t>
    </rPh>
    <phoneticPr fontId="4"/>
  </si>
  <si>
    <t>福利厚生費</t>
    <rPh sb="4" eb="5">
      <t>ヒ</t>
    </rPh>
    <phoneticPr fontId="4"/>
  </si>
  <si>
    <t>人件17</t>
    <rPh sb="0" eb="2">
      <t>ジンケン</t>
    </rPh>
    <phoneticPr fontId="4"/>
  </si>
  <si>
    <t>法定福利費</t>
  </si>
  <si>
    <t>事業戦略費</t>
    <rPh sb="0" eb="2">
      <t>ジギョウ</t>
    </rPh>
    <rPh sb="2" eb="4">
      <t>センリャク</t>
    </rPh>
    <rPh sb="4" eb="5">
      <t>ヒ</t>
    </rPh>
    <phoneticPr fontId="4"/>
  </si>
  <si>
    <t>開拓手数料</t>
    <rPh sb="2" eb="5">
      <t>テスウリョウ</t>
    </rPh>
    <phoneticPr fontId="4"/>
  </si>
  <si>
    <t>社長戦略費Ａ</t>
  </si>
  <si>
    <t>社長戦略費Ｂ</t>
  </si>
  <si>
    <t>販売促進費</t>
    <phoneticPr fontId="4"/>
  </si>
  <si>
    <t>開拓手数料(外交員)</t>
  </si>
  <si>
    <t>企画料</t>
  </si>
  <si>
    <t>テナント料</t>
  </si>
  <si>
    <t>消耗資材費</t>
    <rPh sb="4" eb="5">
      <t>ヒ</t>
    </rPh>
    <phoneticPr fontId="4"/>
  </si>
  <si>
    <t>ロイヤリティー</t>
  </si>
  <si>
    <t>運賃</t>
  </si>
  <si>
    <t>外注加工費</t>
  </si>
  <si>
    <t>運賃荷造費</t>
    <phoneticPr fontId="4"/>
  </si>
  <si>
    <t>包装費</t>
    <phoneticPr fontId="4"/>
  </si>
  <si>
    <t>試供品ＤＭ費</t>
    <rPh sb="0" eb="3">
      <t>シキョウヒン</t>
    </rPh>
    <rPh sb="5" eb="6">
      <t>ヒ</t>
    </rPh>
    <phoneticPr fontId="4"/>
  </si>
  <si>
    <t>外注加工費</t>
    <phoneticPr fontId="2"/>
  </si>
  <si>
    <t>広告宣伝費</t>
    <rPh sb="4" eb="5">
      <t>ヒ</t>
    </rPh>
    <phoneticPr fontId="4"/>
  </si>
  <si>
    <t>原価１</t>
    <rPh sb="0" eb="2">
      <t>ゲンカ</t>
    </rPh>
    <phoneticPr fontId="4"/>
  </si>
  <si>
    <t>期首商品棚卸高</t>
    <rPh sb="0" eb="2">
      <t>キシュ</t>
    </rPh>
    <rPh sb="2" eb="4">
      <t>ショウヒン</t>
    </rPh>
    <rPh sb="4" eb="6">
      <t>タナオロシ</t>
    </rPh>
    <rPh sb="6" eb="7">
      <t>ダカ</t>
    </rPh>
    <phoneticPr fontId="4"/>
  </si>
  <si>
    <t>原価２</t>
    <rPh sb="0" eb="2">
      <t>ゲンカ</t>
    </rPh>
    <phoneticPr fontId="4"/>
  </si>
  <si>
    <t>期首製品棚卸高</t>
    <rPh sb="0" eb="2">
      <t>キシュ</t>
    </rPh>
    <rPh sb="2" eb="4">
      <t>セイヒン</t>
    </rPh>
    <rPh sb="4" eb="6">
      <t>タナオロシ</t>
    </rPh>
    <rPh sb="6" eb="7">
      <t>ダカ</t>
    </rPh>
    <phoneticPr fontId="4"/>
  </si>
  <si>
    <t>原価３</t>
    <rPh sb="0" eb="2">
      <t>ゲンカ</t>
    </rPh>
    <phoneticPr fontId="4"/>
  </si>
  <si>
    <t>商品仕入高</t>
    <rPh sb="0" eb="2">
      <t>ショウヒン</t>
    </rPh>
    <rPh sb="2" eb="4">
      <t>シイレ</t>
    </rPh>
    <rPh sb="4" eb="5">
      <t>ダカ</t>
    </rPh>
    <phoneticPr fontId="4"/>
  </si>
  <si>
    <t>原価４</t>
    <rPh sb="0" eb="2">
      <t>ゲンカ</t>
    </rPh>
    <phoneticPr fontId="4"/>
  </si>
  <si>
    <t>製品仕入高</t>
    <rPh sb="0" eb="2">
      <t>セイヒン</t>
    </rPh>
    <rPh sb="2" eb="4">
      <t>シイレ</t>
    </rPh>
    <rPh sb="4" eb="5">
      <t>ダカ</t>
    </rPh>
    <phoneticPr fontId="4"/>
  </si>
  <si>
    <t>原価５</t>
    <rPh sb="0" eb="2">
      <t>ゲンカ</t>
    </rPh>
    <phoneticPr fontId="4"/>
  </si>
  <si>
    <t>期末商品棚卸高</t>
    <rPh sb="0" eb="2">
      <t>キマツ</t>
    </rPh>
    <rPh sb="2" eb="4">
      <t>ショウヒン</t>
    </rPh>
    <rPh sb="4" eb="6">
      <t>タナオロシ</t>
    </rPh>
    <rPh sb="6" eb="7">
      <t>ダカ</t>
    </rPh>
    <phoneticPr fontId="4"/>
  </si>
  <si>
    <t>＊期末の棚卸額は、</t>
    <rPh sb="1" eb="2">
      <t>キ</t>
    </rPh>
    <rPh sb="2" eb="3">
      <t>マツ</t>
    </rPh>
    <rPh sb="4" eb="6">
      <t>タナオロシ</t>
    </rPh>
    <rPh sb="6" eb="7">
      <t>ガク</t>
    </rPh>
    <phoneticPr fontId="4"/>
  </si>
  <si>
    <t>原価６</t>
    <rPh sb="0" eb="2">
      <t>ゲンカ</t>
    </rPh>
    <phoneticPr fontId="4"/>
  </si>
  <si>
    <t>期末製品棚卸高</t>
    <rPh sb="0" eb="2">
      <t>キマツ</t>
    </rPh>
    <rPh sb="2" eb="4">
      <t>セイヒン</t>
    </rPh>
    <rPh sb="4" eb="6">
      <t>タナオロシ</t>
    </rPh>
    <rPh sb="6" eb="7">
      <t>タカ</t>
    </rPh>
    <phoneticPr fontId="4"/>
  </si>
  <si>
    <t>　 - (マイナス）を付けて</t>
    <rPh sb="11" eb="12">
      <t>ツ</t>
    </rPh>
    <phoneticPr fontId="4"/>
  </si>
  <si>
    <t>原価７</t>
    <rPh sb="0" eb="2">
      <t>ゲンカ</t>
    </rPh>
    <phoneticPr fontId="4"/>
  </si>
  <si>
    <t>期首原材料棚卸高</t>
    <rPh sb="0" eb="1">
      <t>キ</t>
    </rPh>
    <rPh sb="1" eb="2">
      <t>シュ</t>
    </rPh>
    <rPh sb="2" eb="5">
      <t>ゲンザイリョウ</t>
    </rPh>
    <rPh sb="5" eb="7">
      <t>タナオロシ</t>
    </rPh>
    <rPh sb="7" eb="8">
      <t>ダカ</t>
    </rPh>
    <phoneticPr fontId="4"/>
  </si>
  <si>
    <t>　 入力してください。</t>
    <rPh sb="2" eb="4">
      <t>ニュウリョク</t>
    </rPh>
    <phoneticPr fontId="4"/>
  </si>
  <si>
    <t>原価８</t>
    <rPh sb="0" eb="2">
      <t>ゲンカ</t>
    </rPh>
    <phoneticPr fontId="4"/>
  </si>
  <si>
    <t>原材料仕入高１</t>
    <rPh sb="0" eb="3">
      <t>ゲンザイリョウ</t>
    </rPh>
    <rPh sb="3" eb="5">
      <t>シイレ</t>
    </rPh>
    <rPh sb="5" eb="6">
      <t>ダカ</t>
    </rPh>
    <phoneticPr fontId="4"/>
  </si>
  <si>
    <t>原価９</t>
    <rPh sb="0" eb="2">
      <t>ゲンカ</t>
    </rPh>
    <phoneticPr fontId="4"/>
  </si>
  <si>
    <t>原材料仕入高２</t>
    <rPh sb="0" eb="3">
      <t>ゲンザイリョウ</t>
    </rPh>
    <rPh sb="3" eb="5">
      <t>シイレ</t>
    </rPh>
    <rPh sb="5" eb="6">
      <t>ダカ</t>
    </rPh>
    <phoneticPr fontId="4"/>
  </si>
  <si>
    <t>原価１０</t>
    <rPh sb="0" eb="2">
      <t>ゲンカ</t>
    </rPh>
    <phoneticPr fontId="4"/>
  </si>
  <si>
    <t>原材料仕入高３</t>
    <rPh sb="0" eb="3">
      <t>ゲンザイリョウ</t>
    </rPh>
    <rPh sb="3" eb="5">
      <t>シイレ</t>
    </rPh>
    <rPh sb="5" eb="6">
      <t>ダカ</t>
    </rPh>
    <phoneticPr fontId="4"/>
  </si>
  <si>
    <t>原価１１</t>
    <rPh sb="0" eb="2">
      <t>ゲンカ</t>
    </rPh>
    <phoneticPr fontId="4"/>
  </si>
  <si>
    <t>仕掛品</t>
    <rPh sb="0" eb="2">
      <t>シカカリ</t>
    </rPh>
    <rPh sb="2" eb="3">
      <t>ヒン</t>
    </rPh>
    <phoneticPr fontId="4"/>
  </si>
  <si>
    <t>＊期末の棚卸・仕掛は、</t>
    <rPh sb="1" eb="2">
      <t>キ</t>
    </rPh>
    <rPh sb="2" eb="3">
      <t>マツ</t>
    </rPh>
    <rPh sb="4" eb="6">
      <t>タナオロシ</t>
    </rPh>
    <rPh sb="7" eb="9">
      <t>シカケ</t>
    </rPh>
    <phoneticPr fontId="4"/>
  </si>
  <si>
    <t>原価１２</t>
    <rPh sb="0" eb="2">
      <t>ゲンカ</t>
    </rPh>
    <phoneticPr fontId="4"/>
  </si>
  <si>
    <t>期末原材料棚卸高</t>
    <rPh sb="0" eb="1">
      <t>キ</t>
    </rPh>
    <rPh sb="1" eb="2">
      <t>マツ</t>
    </rPh>
    <rPh sb="2" eb="5">
      <t>ゲンザイリョウ</t>
    </rPh>
    <rPh sb="5" eb="7">
      <t>タナオロシ</t>
    </rPh>
    <rPh sb="7" eb="8">
      <t>ダカ</t>
    </rPh>
    <phoneticPr fontId="4"/>
  </si>
  <si>
    <t>原価１３</t>
    <rPh sb="0" eb="2">
      <t>ゲンカ</t>
    </rPh>
    <phoneticPr fontId="4"/>
  </si>
  <si>
    <t>在庫</t>
    <rPh sb="0" eb="2">
      <t>ザイコ</t>
    </rPh>
    <phoneticPr fontId="4"/>
  </si>
  <si>
    <t>外注費</t>
  </si>
  <si>
    <t>労務費</t>
    <rPh sb="0" eb="3">
      <t>ロウムヒ</t>
    </rPh>
    <phoneticPr fontId="4"/>
  </si>
  <si>
    <t>超過手当</t>
    <rPh sb="0" eb="2">
      <t>チョウカ</t>
    </rPh>
    <rPh sb="2" eb="4">
      <t>テア</t>
    </rPh>
    <phoneticPr fontId="4"/>
  </si>
  <si>
    <t>(労務費内訳）</t>
    <rPh sb="1" eb="4">
      <t>ロウムヒ</t>
    </rPh>
    <rPh sb="4" eb="6">
      <t>ウチワケ</t>
    </rPh>
    <phoneticPr fontId="2"/>
  </si>
  <si>
    <t>社員給料</t>
    <rPh sb="0" eb="4">
      <t>シャインキュウリョウ</t>
    </rPh>
    <phoneticPr fontId="4"/>
  </si>
  <si>
    <t>備品費</t>
    <phoneticPr fontId="4"/>
  </si>
  <si>
    <t>経費１</t>
    <rPh sb="0" eb="2">
      <t>ケイヒ</t>
    </rPh>
    <phoneticPr fontId="2"/>
  </si>
  <si>
    <t>電力費</t>
  </si>
  <si>
    <t>営業外収益名称</t>
    <rPh sb="5" eb="7">
      <t>メイショウ</t>
    </rPh>
    <phoneticPr fontId="4"/>
  </si>
  <si>
    <t>金額</t>
    <rPh sb="0" eb="2">
      <t>キンガク</t>
    </rPh>
    <phoneticPr fontId="2"/>
  </si>
  <si>
    <t>経費２</t>
    <rPh sb="0" eb="2">
      <t>ケイヒ</t>
    </rPh>
    <phoneticPr fontId="2"/>
  </si>
  <si>
    <t>動力費</t>
  </si>
  <si>
    <t>営01</t>
  </si>
  <si>
    <t>土地売却益</t>
    <rPh sb="0" eb="5">
      <t>トチバイキャクエキ</t>
    </rPh>
    <phoneticPr fontId="2"/>
  </si>
  <si>
    <t>経費３</t>
    <rPh sb="0" eb="2">
      <t>ケイヒ</t>
    </rPh>
    <phoneticPr fontId="2"/>
  </si>
  <si>
    <t>ガス光熱費</t>
    <rPh sb="2" eb="5">
      <t>コウネツヒ</t>
    </rPh>
    <phoneticPr fontId="4"/>
  </si>
  <si>
    <t>営02</t>
  </si>
  <si>
    <t>不動産賃貸</t>
    <rPh sb="0" eb="5">
      <t>フドウサンチンタイ</t>
    </rPh>
    <phoneticPr fontId="2"/>
  </si>
  <si>
    <t>経費４</t>
    <rPh sb="0" eb="2">
      <t>ケイヒ</t>
    </rPh>
    <phoneticPr fontId="2"/>
  </si>
  <si>
    <t>燃料費</t>
    <rPh sb="0" eb="3">
      <t>ネンリョウヒ</t>
    </rPh>
    <phoneticPr fontId="4"/>
  </si>
  <si>
    <t>営03</t>
  </si>
  <si>
    <t>経費５</t>
    <rPh sb="0" eb="2">
      <t>ケイヒ</t>
    </rPh>
    <phoneticPr fontId="2"/>
  </si>
  <si>
    <t>上水道費</t>
    <rPh sb="0" eb="1">
      <t>ウエ</t>
    </rPh>
    <rPh sb="1" eb="4">
      <t>スイドウヒ</t>
    </rPh>
    <phoneticPr fontId="4"/>
  </si>
  <si>
    <t>営04</t>
    <phoneticPr fontId="4"/>
  </si>
  <si>
    <t>経費６</t>
    <rPh sb="0" eb="2">
      <t>ケイヒ</t>
    </rPh>
    <phoneticPr fontId="2"/>
  </si>
  <si>
    <t>下水道費</t>
    <rPh sb="0" eb="1">
      <t>シタ</t>
    </rPh>
    <rPh sb="1" eb="4">
      <t>スイドウヒ</t>
    </rPh>
    <phoneticPr fontId="4"/>
  </si>
  <si>
    <t>営業外費用名称</t>
    <rPh sb="0" eb="5">
      <t>エイギョウガイヒヨウ</t>
    </rPh>
    <rPh sb="5" eb="7">
      <t>メイショウ</t>
    </rPh>
    <phoneticPr fontId="4"/>
  </si>
  <si>
    <t>経費７</t>
    <rPh sb="0" eb="2">
      <t>ケイヒ</t>
    </rPh>
    <phoneticPr fontId="2"/>
  </si>
  <si>
    <t>車輌費</t>
    <phoneticPr fontId="4"/>
  </si>
  <si>
    <t>有価証券評価損</t>
    <rPh sb="0" eb="4">
      <t>ユウカショウケン</t>
    </rPh>
    <rPh sb="4" eb="7">
      <t>ヒョウカソン</t>
    </rPh>
    <phoneticPr fontId="2"/>
  </si>
  <si>
    <t>経費８</t>
    <rPh sb="0" eb="2">
      <t>ケイヒ</t>
    </rPh>
    <phoneticPr fontId="2"/>
  </si>
  <si>
    <t>家賃地代</t>
    <phoneticPr fontId="4"/>
  </si>
  <si>
    <t>経費９</t>
    <rPh sb="0" eb="2">
      <t>ケイヒ</t>
    </rPh>
    <phoneticPr fontId="2"/>
  </si>
  <si>
    <t>賃貸料</t>
  </si>
  <si>
    <t>経費１０</t>
    <rPh sb="0" eb="2">
      <t>ケイヒ</t>
    </rPh>
    <phoneticPr fontId="2"/>
  </si>
  <si>
    <t>研究開発費</t>
    <rPh sb="4" eb="5">
      <t>ヒ</t>
    </rPh>
    <phoneticPr fontId="4"/>
  </si>
  <si>
    <t>経費１１</t>
    <rPh sb="0" eb="2">
      <t>ケイヒ</t>
    </rPh>
    <phoneticPr fontId="2"/>
  </si>
  <si>
    <t>調査研究費</t>
  </si>
  <si>
    <t>特別利益・除却益名称</t>
    <rPh sb="0" eb="4">
      <t>トクベツリエキ</t>
    </rPh>
    <rPh sb="5" eb="7">
      <t>ジョキャク</t>
    </rPh>
    <rPh sb="7" eb="8">
      <t>エキ</t>
    </rPh>
    <rPh sb="8" eb="10">
      <t>メイショウ</t>
    </rPh>
    <phoneticPr fontId="4"/>
  </si>
  <si>
    <t>経費１２</t>
    <rPh sb="0" eb="2">
      <t>ケイヒ</t>
    </rPh>
    <phoneticPr fontId="2"/>
  </si>
  <si>
    <t>租税公課</t>
    <phoneticPr fontId="4"/>
  </si>
  <si>
    <t>土地売却益</t>
    <rPh sb="0" eb="4">
      <t>トチバイキャク</t>
    </rPh>
    <rPh sb="4" eb="5">
      <t>エキ</t>
    </rPh>
    <phoneticPr fontId="2"/>
  </si>
  <si>
    <t>経費１３</t>
    <rPh sb="0" eb="2">
      <t>ケイヒ</t>
    </rPh>
    <phoneticPr fontId="2"/>
  </si>
  <si>
    <t>接待交際費</t>
    <rPh sb="4" eb="5">
      <t>ヒ</t>
    </rPh>
    <phoneticPr fontId="4"/>
  </si>
  <si>
    <t>事業再構築補助</t>
    <rPh sb="0" eb="5">
      <t>ジギョウサイコウチク</t>
    </rPh>
    <rPh sb="5" eb="7">
      <t>ホジョ</t>
    </rPh>
    <phoneticPr fontId="2"/>
  </si>
  <si>
    <t>経費１４</t>
    <rPh sb="0" eb="2">
      <t>ケイヒ</t>
    </rPh>
    <phoneticPr fontId="2"/>
  </si>
  <si>
    <t>支払手数料</t>
    <rPh sb="4" eb="5">
      <t>リョウ</t>
    </rPh>
    <phoneticPr fontId="4"/>
  </si>
  <si>
    <t>経費１５</t>
    <rPh sb="0" eb="2">
      <t>ケイヒ</t>
    </rPh>
    <phoneticPr fontId="2"/>
  </si>
  <si>
    <t>顧問料</t>
  </si>
  <si>
    <t>経費１６</t>
    <rPh sb="0" eb="2">
      <t>ケイヒ</t>
    </rPh>
    <phoneticPr fontId="2"/>
  </si>
  <si>
    <t>リース料</t>
    <rPh sb="3" eb="4">
      <t>リョウ</t>
    </rPh>
    <phoneticPr fontId="4"/>
  </si>
  <si>
    <t>特別損失・除却損名称</t>
    <rPh sb="0" eb="4">
      <t>トクベツソンシツ</t>
    </rPh>
    <rPh sb="5" eb="8">
      <t>ジョキャクソン</t>
    </rPh>
    <rPh sb="8" eb="10">
      <t>メイショウ</t>
    </rPh>
    <phoneticPr fontId="4"/>
  </si>
  <si>
    <t>経費１７</t>
    <rPh sb="0" eb="2">
      <t>ケイヒ</t>
    </rPh>
    <phoneticPr fontId="2"/>
  </si>
  <si>
    <t>通信交通費</t>
    <rPh sb="4" eb="5">
      <t>ヒ</t>
    </rPh>
    <phoneticPr fontId="4"/>
  </si>
  <si>
    <t>土地売却損</t>
    <rPh sb="0" eb="5">
      <t>トチバイキャクソン</t>
    </rPh>
    <phoneticPr fontId="2"/>
  </si>
  <si>
    <t>経費１８</t>
    <rPh sb="0" eb="2">
      <t>ケイヒ</t>
    </rPh>
    <phoneticPr fontId="2"/>
  </si>
  <si>
    <t>出張費</t>
  </si>
  <si>
    <t>経費１９</t>
    <rPh sb="0" eb="2">
      <t>ケイヒ</t>
    </rPh>
    <phoneticPr fontId="2"/>
  </si>
  <si>
    <t>消耗品費</t>
    <phoneticPr fontId="4"/>
  </si>
  <si>
    <t>経費２０</t>
    <rPh sb="0" eb="2">
      <t>ケイヒ</t>
    </rPh>
    <phoneticPr fontId="2"/>
  </si>
  <si>
    <t>事務用品費</t>
  </si>
  <si>
    <t>経費２１</t>
    <rPh sb="0" eb="2">
      <t>ケイヒ</t>
    </rPh>
    <phoneticPr fontId="2"/>
  </si>
  <si>
    <t>その他経費</t>
    <rPh sb="3" eb="5">
      <t>ケイヒ</t>
    </rPh>
    <phoneticPr fontId="4"/>
  </si>
  <si>
    <t>経費２２</t>
    <rPh sb="0" eb="2">
      <t>ケイヒ</t>
    </rPh>
    <phoneticPr fontId="2"/>
  </si>
  <si>
    <t>雑費</t>
  </si>
  <si>
    <t>経費２３</t>
    <rPh sb="0" eb="2">
      <t>ケイヒ</t>
    </rPh>
    <phoneticPr fontId="2"/>
  </si>
  <si>
    <t>装飾費</t>
  </si>
  <si>
    <t>経費２４</t>
    <rPh sb="0" eb="2">
      <t>ケイヒ</t>
    </rPh>
    <phoneticPr fontId="2"/>
  </si>
  <si>
    <t>衛生費</t>
  </si>
  <si>
    <t>経費２５</t>
    <rPh sb="0" eb="2">
      <t>ケイヒ</t>
    </rPh>
    <phoneticPr fontId="2"/>
  </si>
  <si>
    <t>経費２６</t>
    <rPh sb="0" eb="2">
      <t>ケイヒ</t>
    </rPh>
    <phoneticPr fontId="2"/>
  </si>
  <si>
    <t>荷造包装費</t>
    <rPh sb="0" eb="2">
      <t>ニヅク</t>
    </rPh>
    <rPh sb="2" eb="4">
      <t>ホウソウ</t>
    </rPh>
    <rPh sb="4" eb="5">
      <t>ヒ</t>
    </rPh>
    <phoneticPr fontId="4"/>
  </si>
  <si>
    <t>経費２７</t>
    <rPh sb="0" eb="2">
      <t>ケイヒ</t>
    </rPh>
    <phoneticPr fontId="2"/>
  </si>
  <si>
    <t>水道光熱費</t>
  </si>
  <si>
    <t>経費２８</t>
    <rPh sb="0" eb="2">
      <t>ケイヒ</t>
    </rPh>
    <phoneticPr fontId="2"/>
  </si>
  <si>
    <t>旅費交通費</t>
  </si>
  <si>
    <t>経費２９</t>
    <rPh sb="0" eb="2">
      <t>ケイヒ</t>
    </rPh>
    <phoneticPr fontId="2"/>
  </si>
  <si>
    <t>諸会費</t>
  </si>
  <si>
    <t>経費３０</t>
    <rPh sb="0" eb="2">
      <t>ケイヒ</t>
    </rPh>
    <phoneticPr fontId="2"/>
  </si>
  <si>
    <t>管理諸費</t>
  </si>
  <si>
    <t>経費３１</t>
    <rPh sb="0" eb="2">
      <t>ケイヒ</t>
    </rPh>
    <phoneticPr fontId="2"/>
  </si>
  <si>
    <t>保守管理費</t>
    <rPh sb="0" eb="2">
      <t>ホシュ</t>
    </rPh>
    <rPh sb="2" eb="5">
      <t>カンリヒ</t>
    </rPh>
    <phoneticPr fontId="4"/>
  </si>
  <si>
    <t>経費３２</t>
    <rPh sb="0" eb="2">
      <t>ケイヒ</t>
    </rPh>
    <phoneticPr fontId="2"/>
  </si>
  <si>
    <t>図書費</t>
  </si>
  <si>
    <t>経費３３</t>
    <rPh sb="0" eb="2">
      <t>ケイヒ</t>
    </rPh>
    <phoneticPr fontId="2"/>
  </si>
  <si>
    <t>修繕費</t>
  </si>
  <si>
    <t>経費３４</t>
    <rPh sb="0" eb="2">
      <t>ケイヒ</t>
    </rPh>
    <phoneticPr fontId="2"/>
  </si>
  <si>
    <t>修繕維持費</t>
  </si>
  <si>
    <t>経費３５</t>
    <rPh sb="0" eb="2">
      <t>ケイヒ</t>
    </rPh>
    <phoneticPr fontId="2"/>
  </si>
  <si>
    <t>保険料</t>
  </si>
  <si>
    <t>経費３６</t>
    <rPh sb="0" eb="2">
      <t>ケイヒ</t>
    </rPh>
    <phoneticPr fontId="2"/>
  </si>
  <si>
    <t>経費３７</t>
    <rPh sb="0" eb="2">
      <t>ケイヒ</t>
    </rPh>
    <phoneticPr fontId="2"/>
  </si>
  <si>
    <t>寄付金</t>
  </si>
  <si>
    <t>減償</t>
  </si>
  <si>
    <t>減価償却費</t>
    <phoneticPr fontId="4"/>
  </si>
  <si>
    <t>営00</t>
    <phoneticPr fontId="4"/>
  </si>
  <si>
    <t>本社費</t>
  </si>
  <si>
    <t>営業外収益</t>
    <phoneticPr fontId="4"/>
  </si>
  <si>
    <t>ﾁｪｯｸ欄：</t>
    <rPh sb="4" eb="5">
      <t>ラン</t>
    </rPh>
    <phoneticPr fontId="4"/>
  </si>
  <si>
    <t>売上原価　 　合計</t>
    <rPh sb="0" eb="2">
      <t>ウリアゲ</t>
    </rPh>
    <rPh sb="2" eb="4">
      <t>ゲンカ</t>
    </rPh>
    <rPh sb="7" eb="9">
      <t>ゴウケイ</t>
    </rPh>
    <phoneticPr fontId="4"/>
  </si>
  <si>
    <t>営業外費用</t>
    <rPh sb="0" eb="3">
      <t>エイギョウガイ</t>
    </rPh>
    <rPh sb="3" eb="5">
      <t>ヒヨウ</t>
    </rPh>
    <phoneticPr fontId="4"/>
  </si>
  <si>
    <t>経常利益</t>
    <phoneticPr fontId="4"/>
  </si>
  <si>
    <t>特別利益・除却益</t>
    <rPh sb="0" eb="2">
      <t>トクベツ</t>
    </rPh>
    <rPh sb="2" eb="4">
      <t>リエキ</t>
    </rPh>
    <rPh sb="5" eb="7">
      <t>ジョキャク</t>
    </rPh>
    <rPh sb="7" eb="8">
      <t>エキ</t>
    </rPh>
    <phoneticPr fontId="4"/>
  </si>
  <si>
    <t>営業利益</t>
  </si>
  <si>
    <t>営05</t>
    <phoneticPr fontId="4"/>
  </si>
  <si>
    <t>特別損失・除却損</t>
    <rPh sb="0" eb="2">
      <t>トクベツ</t>
    </rPh>
    <rPh sb="2" eb="4">
      <t>ソンシツ</t>
    </rPh>
    <rPh sb="5" eb="7">
      <t>ジョキャク</t>
    </rPh>
    <rPh sb="7" eb="8">
      <t>ソン</t>
    </rPh>
    <phoneticPr fontId="4"/>
  </si>
  <si>
    <t>税引前利益</t>
  </si>
  <si>
    <t>×</t>
    <phoneticPr fontId="2"/>
  </si>
  <si>
    <t>メモ：</t>
    <phoneticPr fontId="2"/>
  </si>
  <si>
    <t>①利益を決めよう　（百万円）例：2000万円→20</t>
    <rPh sb="1" eb="3">
      <t>リエキ</t>
    </rPh>
    <rPh sb="4" eb="5">
      <t>キ</t>
    </rPh>
    <rPh sb="10" eb="12">
      <t>ヒャクマン</t>
    </rPh>
    <rPh sb="12" eb="13">
      <t>エン</t>
    </rPh>
    <rPh sb="14" eb="15">
      <t>レイ</t>
    </rPh>
    <rPh sb="20" eb="22">
      <t>マンエン</t>
    </rPh>
    <phoneticPr fontId="2"/>
  </si>
  <si>
    <t>百万円</t>
    <rPh sb="0" eb="3">
      <t>ヒャクマンエン</t>
    </rPh>
    <phoneticPr fontId="2"/>
  </si>
  <si>
    <t>特別利益</t>
    <phoneticPr fontId="2"/>
  </si>
  <si>
    <t>特別損失</t>
    <phoneticPr fontId="2"/>
  </si>
  <si>
    <t>前年対比</t>
    <rPh sb="0" eb="4">
      <t>ゼンネンタイヒ</t>
    </rPh>
    <phoneticPr fontId="2"/>
  </si>
  <si>
    <t>１件当たりの客単価</t>
    <rPh sb="1" eb="3">
      <t>ケンア</t>
    </rPh>
    <rPh sb="6" eb="9">
      <t>キャクタンカ</t>
    </rPh>
    <phoneticPr fontId="2"/>
  </si>
  <si>
    <t>数</t>
    <rPh sb="0" eb="1">
      <t>カズ</t>
    </rPh>
    <phoneticPr fontId="2"/>
  </si>
  <si>
    <t>①まず初めにGの目標値を決めましょう。これは社長自身がいくらの利益を残したいのかを決定させる重要な課題です。
すべての決断は社長自身にあります。思い切った利益を追求しましょう！
②～⑤まで順番に現状から推移して115％～200％UPまで好きな数字を目標値に入れてください。
数字が合うように計算しましょう。
１，GはM-Fです。
２，FはM-Gです。
３．MはP-Vです。
４．VはP-Mです。
５．PはM＋Vです。</t>
    <rPh sb="3" eb="4">
      <t>ハジ</t>
    </rPh>
    <rPh sb="8" eb="11">
      <t>モクヒョウチ</t>
    </rPh>
    <rPh sb="12" eb="13">
      <t>キ</t>
    </rPh>
    <rPh sb="22" eb="24">
      <t>シャチョウ</t>
    </rPh>
    <rPh sb="24" eb="26">
      <t>ジシン</t>
    </rPh>
    <rPh sb="31" eb="33">
      <t>リエキ</t>
    </rPh>
    <rPh sb="34" eb="35">
      <t>ノコ</t>
    </rPh>
    <rPh sb="41" eb="43">
      <t>ケッテイ</t>
    </rPh>
    <rPh sb="46" eb="48">
      <t>ジュウヨウ</t>
    </rPh>
    <rPh sb="49" eb="51">
      <t>カダイ</t>
    </rPh>
    <rPh sb="59" eb="61">
      <t>ケツダン</t>
    </rPh>
    <rPh sb="62" eb="66">
      <t>シャチョウジシン</t>
    </rPh>
    <rPh sb="72" eb="73">
      <t>オモ</t>
    </rPh>
    <rPh sb="74" eb="75">
      <t>キ</t>
    </rPh>
    <rPh sb="77" eb="79">
      <t>リエキ</t>
    </rPh>
    <rPh sb="80" eb="82">
      <t>ツイキュウ</t>
    </rPh>
    <rPh sb="95" eb="97">
      <t>ジュンバン</t>
    </rPh>
    <rPh sb="98" eb="100">
      <t>ゲンジョウ</t>
    </rPh>
    <rPh sb="102" eb="104">
      <t>スイイ</t>
    </rPh>
    <rPh sb="119" eb="120">
      <t>ス</t>
    </rPh>
    <rPh sb="122" eb="124">
      <t>スウジ</t>
    </rPh>
    <rPh sb="125" eb="128">
      <t>モクヒョウチ</t>
    </rPh>
    <rPh sb="129" eb="130">
      <t>イ</t>
    </rPh>
    <rPh sb="139" eb="141">
      <t>スウジ</t>
    </rPh>
    <rPh sb="142" eb="143">
      <t>ア</t>
    </rPh>
    <rPh sb="147" eb="149">
      <t>ケイサン</t>
    </rPh>
    <phoneticPr fontId="2"/>
  </si>
  <si>
    <r>
      <t>③（Ｆ）人件費を入力する</t>
    </r>
    <r>
      <rPr>
        <sz val="14"/>
        <color theme="1"/>
        <rFont val="游ゴシック"/>
        <family val="3"/>
        <charset val="128"/>
        <scheme val="minor"/>
      </rPr>
      <t>（内勤・営業）</t>
    </r>
    <rPh sb="4" eb="7">
      <t>ジンケンヒ</t>
    </rPh>
    <rPh sb="8" eb="10">
      <t>ニュウリョク</t>
    </rPh>
    <rPh sb="13" eb="15">
      <t>ナイキン</t>
    </rPh>
    <rPh sb="16" eb="18">
      <t>エイギョウ</t>
    </rPh>
    <phoneticPr fontId="2"/>
  </si>
  <si>
    <t>人件費明細</t>
    <rPh sb="2" eb="3">
      <t>ヒ</t>
    </rPh>
    <rPh sb="3" eb="5">
      <t>メイサイ</t>
    </rPh>
    <phoneticPr fontId="4"/>
  </si>
  <si>
    <t>年収を記入</t>
    <rPh sb="0" eb="2">
      <t>ネンシュウ</t>
    </rPh>
    <rPh sb="3" eb="5">
      <t>キニュウ</t>
    </rPh>
    <phoneticPr fontId="2"/>
  </si>
  <si>
    <t/>
  </si>
  <si>
    <t>派遣社員</t>
    <rPh sb="0" eb="4">
      <t>ハケンシャイン</t>
    </rPh>
    <phoneticPr fontId="4"/>
  </si>
  <si>
    <t>区分・テーブル</t>
  </si>
  <si>
    <t>単価</t>
  </si>
  <si>
    <t>人数</t>
    <rPh sb="0" eb="2">
      <t>ニンズウ</t>
    </rPh>
    <phoneticPr fontId="4"/>
  </si>
  <si>
    <t>合計</t>
    <phoneticPr fontId="4"/>
  </si>
  <si>
    <t>社員１</t>
    <phoneticPr fontId="2"/>
  </si>
  <si>
    <t>パート１</t>
    <phoneticPr fontId="4"/>
  </si>
  <si>
    <t>派遣社員1</t>
    <phoneticPr fontId="2"/>
  </si>
  <si>
    <t>社員２</t>
  </si>
  <si>
    <t>パート２</t>
  </si>
  <si>
    <t>派遣社員2</t>
  </si>
  <si>
    <t>社員３</t>
  </si>
  <si>
    <t>パート３</t>
  </si>
  <si>
    <t>派遣社員3</t>
  </si>
  <si>
    <t>社員４</t>
  </si>
  <si>
    <t>パート４</t>
  </si>
  <si>
    <t>派遣社員4</t>
  </si>
  <si>
    <t>社員５</t>
  </si>
  <si>
    <t>パート５</t>
  </si>
  <si>
    <t>派遣社員5</t>
  </si>
  <si>
    <t>社員６</t>
  </si>
  <si>
    <t>アルバイト１</t>
    <phoneticPr fontId="2"/>
  </si>
  <si>
    <t>派遣社員6</t>
  </si>
  <si>
    <t>社員７</t>
  </si>
  <si>
    <t>アルバイト２</t>
  </si>
  <si>
    <t>契約社員１</t>
    <rPh sb="0" eb="4">
      <t>ケイヤクシャイン</t>
    </rPh>
    <phoneticPr fontId="2"/>
  </si>
  <si>
    <t>社員８</t>
  </si>
  <si>
    <t>アルバイト３</t>
  </si>
  <si>
    <t>契約社員２</t>
    <rPh sb="0" eb="4">
      <t>ケイヤクシャイン</t>
    </rPh>
    <phoneticPr fontId="2"/>
  </si>
  <si>
    <t>計</t>
    <phoneticPr fontId="4"/>
  </si>
  <si>
    <t>給料（現状）</t>
    <rPh sb="0" eb="2">
      <t>キュウリョウ</t>
    </rPh>
    <rPh sb="3" eb="5">
      <t>ゲンジョウ</t>
    </rPh>
    <phoneticPr fontId="4"/>
  </si>
  <si>
    <t>雑給料（現状）</t>
    <rPh sb="4" eb="6">
      <t>ゲンジョウ</t>
    </rPh>
    <phoneticPr fontId="4"/>
  </si>
  <si>
    <t>派遣社員費
（現状）</t>
    <rPh sb="7" eb="9">
      <t>ゲンジョウ</t>
    </rPh>
    <phoneticPr fontId="2"/>
  </si>
  <si>
    <t>平均年収</t>
    <rPh sb="0" eb="4">
      <t>ヘイキンネンシュウ</t>
    </rPh>
    <phoneticPr fontId="2"/>
  </si>
  <si>
    <t>未来</t>
    <rPh sb="0" eb="2">
      <t>ミライ</t>
    </rPh>
    <phoneticPr fontId="2"/>
  </si>
  <si>
    <t>上昇率</t>
    <rPh sb="0" eb="3">
      <t>ジョウショウリツ</t>
    </rPh>
    <phoneticPr fontId="2"/>
  </si>
  <si>
    <r>
      <t>④（F）経費を入力する　</t>
    </r>
    <r>
      <rPr>
        <b/>
        <sz val="12"/>
        <color theme="1"/>
        <rFont val="游ゴシック"/>
        <family val="3"/>
        <charset val="128"/>
        <scheme val="minor"/>
      </rPr>
      <t>（百万円）</t>
    </r>
    <rPh sb="4" eb="6">
      <t>ケイヒ</t>
    </rPh>
    <rPh sb="7" eb="9">
      <t>ニュウリョク</t>
    </rPh>
    <rPh sb="13" eb="16">
      <t>ヒャクマンエン</t>
    </rPh>
    <phoneticPr fontId="2"/>
  </si>
  <si>
    <t>経費（固定）</t>
    <rPh sb="0" eb="2">
      <t>ケイヒ</t>
    </rPh>
    <rPh sb="3" eb="5">
      <t>コテイ</t>
    </rPh>
    <phoneticPr fontId="4"/>
  </si>
  <si>
    <t>人件費</t>
    <rPh sb="0" eb="3">
      <t>ジンケンヒ</t>
    </rPh>
    <phoneticPr fontId="4"/>
  </si>
  <si>
    <t>事業費</t>
    <rPh sb="0" eb="3">
      <t>ジギョウヒ</t>
    </rPh>
    <phoneticPr fontId="4"/>
  </si>
  <si>
    <t>科目</t>
  </si>
  <si>
    <t>販促企画費</t>
  </si>
  <si>
    <t>動力費</t>
    <phoneticPr fontId="2"/>
  </si>
  <si>
    <t>ガス光熱費</t>
    <rPh sb="2" eb="5">
      <t>コウネツヒ</t>
    </rPh>
    <phoneticPr fontId="2"/>
  </si>
  <si>
    <t>募集費</t>
    <rPh sb="0" eb="2">
      <t>ボシュウ</t>
    </rPh>
    <rPh sb="2" eb="3">
      <t>ヒ</t>
    </rPh>
    <phoneticPr fontId="4"/>
  </si>
  <si>
    <t>派遣社員費</t>
    <phoneticPr fontId="2"/>
  </si>
  <si>
    <t>教育研修</t>
    <rPh sb="0" eb="4">
      <t>キョウイクケンシュウ</t>
    </rPh>
    <phoneticPr fontId="4"/>
  </si>
  <si>
    <t>予備</t>
    <rPh sb="0" eb="2">
      <t>ヨビ</t>
    </rPh>
    <phoneticPr fontId="2"/>
  </si>
  <si>
    <t>福利厚生費</t>
    <rPh sb="0" eb="5">
      <t>フクリコウセイヒ</t>
    </rPh>
    <phoneticPr fontId="4"/>
  </si>
  <si>
    <t>下水道費</t>
    <rPh sb="0" eb="3">
      <t>ゲスイドウ</t>
    </rPh>
    <rPh sb="3" eb="4">
      <t>ヒ</t>
    </rPh>
    <phoneticPr fontId="2"/>
  </si>
  <si>
    <t>法定福利費</t>
    <rPh sb="0" eb="5">
      <t>ホウテイフクリヒ</t>
    </rPh>
    <phoneticPr fontId="2"/>
  </si>
  <si>
    <t>現状　計</t>
    <rPh sb="0" eb="2">
      <t>ゲンジョウ</t>
    </rPh>
    <phoneticPr fontId="4"/>
  </si>
  <si>
    <t>出張費</t>
    <phoneticPr fontId="2"/>
  </si>
  <si>
    <t>計</t>
    <rPh sb="0" eb="1">
      <t>ケイ</t>
    </rPh>
    <phoneticPr fontId="2"/>
  </si>
  <si>
    <t>現状　計</t>
    <rPh sb="0" eb="2">
      <t>ゲンジョウ</t>
    </rPh>
    <rPh sb="3" eb="4">
      <t>ケイ</t>
    </rPh>
    <phoneticPr fontId="2"/>
  </si>
  <si>
    <r>
      <t>⑤（V）人件費を入力する</t>
    </r>
    <r>
      <rPr>
        <sz val="14"/>
        <color theme="1"/>
        <rFont val="游ゴシック"/>
        <family val="3"/>
        <charset val="128"/>
        <scheme val="minor"/>
      </rPr>
      <t>（工事職人）</t>
    </r>
    <rPh sb="4" eb="7">
      <t>ジンケンヒ</t>
    </rPh>
    <rPh sb="8" eb="10">
      <t>ニュウリョク</t>
    </rPh>
    <rPh sb="13" eb="17">
      <t>コウジショクニン</t>
    </rPh>
    <phoneticPr fontId="2"/>
  </si>
  <si>
    <r>
      <t>⑥（V）経費を入力する　</t>
    </r>
    <r>
      <rPr>
        <b/>
        <sz val="12"/>
        <color theme="1"/>
        <rFont val="游ゴシック"/>
        <family val="3"/>
        <charset val="128"/>
        <scheme val="minor"/>
      </rPr>
      <t>（百万円）</t>
    </r>
    <rPh sb="4" eb="6">
      <t>ケイヒ</t>
    </rPh>
    <rPh sb="7" eb="9">
      <t>ニュウリョク</t>
    </rPh>
    <rPh sb="13" eb="16">
      <t>ヒャクマンエン</t>
    </rPh>
    <phoneticPr fontId="2"/>
  </si>
  <si>
    <t>（マイナスを入れてから入力）</t>
    <rPh sb="6" eb="7">
      <t>イ</t>
    </rPh>
    <rPh sb="11" eb="13">
      <t>ニュウリョク</t>
    </rPh>
    <phoneticPr fontId="2"/>
  </si>
  <si>
    <t>外注加工費</t>
    <rPh sb="0" eb="5">
      <t>ガイチュウカコウヒ</t>
    </rPh>
    <phoneticPr fontId="2"/>
  </si>
  <si>
    <t>その他</t>
    <rPh sb="2" eb="3">
      <t>タ</t>
    </rPh>
    <phoneticPr fontId="2"/>
  </si>
  <si>
    <t>　現状　計</t>
    <rPh sb="1" eb="3">
      <t>ゲンジョウ</t>
    </rPh>
    <rPh sb="4" eb="5">
      <t>ケイ</t>
    </rPh>
    <phoneticPr fontId="4"/>
  </si>
  <si>
    <t>⑦（PQ）原価の詳細　</t>
    <rPh sb="5" eb="7">
      <t>ゲンカ</t>
    </rPh>
    <rPh sb="8" eb="10">
      <t>ショウサイ</t>
    </rPh>
    <phoneticPr fontId="2"/>
  </si>
  <si>
    <t>　</t>
    <phoneticPr fontId="2"/>
  </si>
  <si>
    <t>売上計</t>
    <rPh sb="0" eb="2">
      <t>ウリアゲ</t>
    </rPh>
    <rPh sb="2" eb="3">
      <t>ケイ</t>
    </rPh>
    <phoneticPr fontId="2"/>
  </si>
  <si>
    <t>↓②～④に順番に記入</t>
    <rPh sb="5" eb="7">
      <t>ジュンバン</t>
    </rPh>
    <rPh sb="8" eb="10">
      <t>キニュウ</t>
    </rPh>
    <phoneticPr fontId="2"/>
  </si>
  <si>
    <t>①</t>
    <phoneticPr fontId="2"/>
  </si>
  <si>
    <t>④</t>
    <phoneticPr fontId="2"/>
  </si>
  <si>
    <t>③</t>
    <phoneticPr fontId="2"/>
  </si>
  <si>
    <t>②</t>
    <phoneticPr fontId="2"/>
  </si>
  <si>
    <t>1個あたり粗利益</t>
    <phoneticPr fontId="2"/>
  </si>
  <si>
    <t>数量</t>
    <phoneticPr fontId="2"/>
  </si>
  <si>
    <t>粗利益率</t>
    <phoneticPr fontId="4"/>
  </si>
  <si>
    <t>商品名</t>
    <phoneticPr fontId="4"/>
  </si>
  <si>
    <t>円</t>
    <phoneticPr fontId="2"/>
  </si>
  <si>
    <t>１円</t>
  </si>
  <si>
    <t>個</t>
    <phoneticPr fontId="4"/>
  </si>
  <si>
    <t>塗装工事</t>
    <rPh sb="0" eb="4">
      <t>トソウコウジ</t>
    </rPh>
    <phoneticPr fontId="2"/>
  </si>
  <si>
    <t>リフォーム工事</t>
    <rPh sb="5" eb="7">
      <t>コウジ</t>
    </rPh>
    <phoneticPr fontId="2"/>
  </si>
  <si>
    <t>小工事</t>
    <rPh sb="0" eb="3">
      <t>ショウコウジ</t>
    </rPh>
    <phoneticPr fontId="2"/>
  </si>
  <si>
    <t>板金工事</t>
    <rPh sb="0" eb="4">
      <t>バンキンコウジ</t>
    </rPh>
    <phoneticPr fontId="2"/>
  </si>
  <si>
    <t>○○</t>
    <phoneticPr fontId="2"/>
  </si>
  <si>
    <t>その他群</t>
  </si>
  <si>
    <t>M（計）</t>
    <rPh sb="2" eb="3">
      <t>ケイ</t>
    </rPh>
    <phoneticPr fontId="2"/>
  </si>
  <si>
    <t>M(個）</t>
    <rPh sb="2" eb="3">
      <t>コ</t>
    </rPh>
    <phoneticPr fontId="2"/>
  </si>
  <si>
    <t>数量（Q)</t>
    <phoneticPr fontId="2"/>
  </si>
  <si>
    <t>平均客単価</t>
    <rPh sb="0" eb="2">
      <t>ヘイキン</t>
    </rPh>
    <rPh sb="2" eb="5">
      <t>キャクタンカ</t>
    </rPh>
    <phoneticPr fontId="2"/>
  </si>
  <si>
    <t>売上　計</t>
    <rPh sb="3" eb="4">
      <t>ケイ</t>
    </rPh>
    <phoneticPr fontId="2"/>
  </si>
  <si>
    <t>平均粗利</t>
    <rPh sb="0" eb="2">
      <t>ヘイキン</t>
    </rPh>
    <rPh sb="2" eb="4">
      <t>アラリ</t>
    </rPh>
    <phoneticPr fontId="4"/>
  </si>
  <si>
    <t>実績</t>
    <phoneticPr fontId="4"/>
  </si>
  <si>
    <t>０になるまで修正</t>
    <rPh sb="6" eb="8">
      <t>シュウセイ</t>
    </rPh>
    <phoneticPr fontId="2"/>
  </si>
  <si>
    <t>粗利益率(%)</t>
  </si>
  <si>
    <t>客数(月)</t>
  </si>
  <si>
    <t>客単価(円)</t>
  </si>
  <si>
    <t>戦力（人）</t>
    <rPh sb="3" eb="4">
      <t>ニン</t>
    </rPh>
    <phoneticPr fontId="2"/>
  </si>
  <si>
    <t>└→不足額</t>
    <phoneticPr fontId="4"/>
  </si>
  <si>
    <t>1人あたりの利益</t>
    <rPh sb="1" eb="2">
      <t>ニン</t>
    </rPh>
    <rPh sb="6" eb="8">
      <t>リエキ</t>
    </rPh>
    <phoneticPr fontId="2"/>
  </si>
  <si>
    <t>１人あたりの生産性</t>
    <rPh sb="1" eb="2">
      <t>ニン</t>
    </rPh>
    <rPh sb="6" eb="9">
      <t>セイサンセイ</t>
    </rPh>
    <phoneticPr fontId="2"/>
  </si>
  <si>
    <t>計画との差</t>
  </si>
  <si>
    <t>戦力（1人当たりの利益力</t>
    <rPh sb="0" eb="2">
      <t>センリョク</t>
    </rPh>
    <rPh sb="4" eb="5">
      <t>ニン</t>
    </rPh>
    <rPh sb="5" eb="6">
      <t>ア</t>
    </rPh>
    <rPh sb="9" eb="11">
      <t>リエキ</t>
    </rPh>
    <rPh sb="11" eb="12">
      <t>リョク</t>
    </rPh>
    <phoneticPr fontId="2"/>
  </si>
  <si>
    <t>1人当たり生産性</t>
    <rPh sb="1" eb="2">
      <t>ニン</t>
    </rPh>
    <rPh sb="2" eb="3">
      <t>ア</t>
    </rPh>
    <rPh sb="5" eb="8">
      <t>セイサンセイ</t>
    </rPh>
    <phoneticPr fontId="2"/>
  </si>
  <si>
    <t>来期</t>
    <rPh sb="0" eb="2">
      <t>ライキ</t>
    </rPh>
    <phoneticPr fontId="61"/>
  </si>
  <si>
    <t>売上高</t>
    <rPh sb="0" eb="3">
      <t>ウリアゲダカ</t>
    </rPh>
    <phoneticPr fontId="2"/>
  </si>
  <si>
    <t>売上高</t>
    <rPh sb="0" eb="2">
      <t>ウリアゲキンガク</t>
    </rPh>
    <rPh sb="2" eb="3">
      <t>タカ</t>
    </rPh>
    <phoneticPr fontId="61"/>
  </si>
  <si>
    <t>総費用</t>
    <rPh sb="0" eb="3">
      <t>ソウヒヨウ</t>
    </rPh>
    <phoneticPr fontId="61"/>
  </si>
  <si>
    <t>利益</t>
    <rPh sb="0" eb="2">
      <t>リエキ</t>
    </rPh>
    <phoneticPr fontId="61"/>
  </si>
  <si>
    <t>利益</t>
    <phoneticPr fontId="61"/>
  </si>
  <si>
    <t>損失</t>
    <rPh sb="0" eb="2">
      <t>ソンシツ</t>
    </rPh>
    <phoneticPr fontId="61"/>
  </si>
  <si>
    <t>変動費</t>
    <rPh sb="0" eb="3">
      <t>ヘンドウヒ</t>
    </rPh>
    <phoneticPr fontId="2"/>
  </si>
  <si>
    <t>固定費</t>
    <rPh sb="0" eb="3">
      <t>コテイヒ</t>
    </rPh>
    <phoneticPr fontId="2"/>
  </si>
  <si>
    <t>変動率（変動費÷売上高）</t>
    <rPh sb="0" eb="3">
      <t>ヘンドウリツ</t>
    </rPh>
    <rPh sb="4" eb="7">
      <t>ヘンドウヒ</t>
    </rPh>
    <rPh sb="8" eb="11">
      <t>ウリアゲダカ</t>
    </rPh>
    <phoneticPr fontId="61"/>
  </si>
  <si>
    <t>損益分岐点　固定費÷(1-変動率)</t>
    <rPh sb="13" eb="16">
      <t>ヘンドウリツ</t>
    </rPh>
    <phoneticPr fontId="61"/>
  </si>
  <si>
    <t>期短期計画</t>
    <rPh sb="0" eb="1">
      <t>キ</t>
    </rPh>
    <rPh sb="1" eb="5">
      <t>タンキケイカク</t>
    </rPh>
    <phoneticPr fontId="2"/>
  </si>
  <si>
    <t>更新</t>
    <rPh sb="0" eb="2">
      <t>コウシン</t>
    </rPh>
    <phoneticPr fontId="2"/>
  </si>
  <si>
    <t>目標売上成長率</t>
    <rPh sb="0" eb="7">
      <t>モクヒョウウリアゲセイチョウリツ</t>
    </rPh>
    <phoneticPr fontId="2"/>
  </si>
  <si>
    <t>決算目標</t>
    <rPh sb="0" eb="4">
      <t>ケッサンモクヒョウ</t>
    </rPh>
    <phoneticPr fontId="2"/>
  </si>
  <si>
    <t>経費内訳</t>
    <rPh sb="0" eb="4">
      <t>ケイヒウチワケ</t>
    </rPh>
    <phoneticPr fontId="2"/>
  </si>
  <si>
    <t>目標</t>
  </si>
  <si>
    <t>実績｜累積</t>
    <rPh sb="0" eb="2">
      <t>ジッセキ</t>
    </rPh>
    <rPh sb="3" eb="5">
      <t>ルイセキ</t>
    </rPh>
    <phoneticPr fontId="2"/>
  </si>
  <si>
    <t>直近売上</t>
    <phoneticPr fontId="4"/>
  </si>
  <si>
    <t>目標</t>
    <rPh sb="0" eb="2">
      <t>モクヒョウ</t>
    </rPh>
    <phoneticPr fontId="4"/>
  </si>
  <si>
    <t>目標</t>
    <phoneticPr fontId="4"/>
  </si>
  <si>
    <t>目標売上</t>
  </si>
  <si>
    <t>売上総利益</t>
    <rPh sb="0" eb="2">
      <t>ウリアゲ</t>
    </rPh>
    <rPh sb="2" eb="5">
      <t>ソウリエキ</t>
    </rPh>
    <phoneticPr fontId="4"/>
  </si>
  <si>
    <t>粗利益率(%)</t>
    <phoneticPr fontId="2"/>
  </si>
  <si>
    <t>営業利益</t>
    <rPh sb="0" eb="4">
      <t>エイギョウリエキ</t>
    </rPh>
    <phoneticPr fontId="4"/>
  </si>
  <si>
    <t>営業外収益</t>
    <rPh sb="0" eb="5">
      <t>エイギョウガイシュウエキ</t>
    </rPh>
    <phoneticPr fontId="2"/>
  </si>
  <si>
    <t>営業外費用</t>
    <rPh sb="0" eb="5">
      <t>エイギョウガイヒヨウ</t>
    </rPh>
    <phoneticPr fontId="2"/>
  </si>
  <si>
    <t>経常利益</t>
    <rPh sb="0" eb="4">
      <t>ケイジョウリエキ</t>
    </rPh>
    <phoneticPr fontId="2"/>
  </si>
  <si>
    <t>特別利益</t>
    <rPh sb="0" eb="4">
      <t>トクベツリエキ</t>
    </rPh>
    <phoneticPr fontId="2"/>
  </si>
  <si>
    <t>特別損失</t>
    <rPh sb="0" eb="4">
      <t>トクベツソンシツ</t>
    </rPh>
    <phoneticPr fontId="4"/>
  </si>
  <si>
    <t>純利益</t>
    <rPh sb="0" eb="3">
      <t>ジュンリエキ</t>
    </rPh>
    <phoneticPr fontId="4"/>
  </si>
  <si>
    <t>実績｜累積</t>
    <rPh sb="0" eb="2">
      <t>ジッセキ</t>
    </rPh>
    <rPh sb="3" eb="5">
      <t>ルイセキ</t>
    </rPh>
    <phoneticPr fontId="4"/>
  </si>
  <si>
    <t>税引き前利益</t>
    <rPh sb="0" eb="2">
      <t>ゼイビ</t>
    </rPh>
    <rPh sb="3" eb="4">
      <t>マエ</t>
    </rPh>
    <rPh sb="4" eb="6">
      <t>リエキ</t>
    </rPh>
    <phoneticPr fontId="4"/>
  </si>
  <si>
    <t>売上目標</t>
  </si>
  <si>
    <t>当月</t>
  </si>
  <si>
    <t>累計</t>
  </si>
  <si>
    <t>利益計画表</t>
    <rPh sb="0" eb="2">
      <t>リエキ</t>
    </rPh>
    <rPh sb="2" eb="4">
      <t>ケイカク</t>
    </rPh>
    <rPh sb="4" eb="5">
      <t>ヒョウ</t>
    </rPh>
    <phoneticPr fontId="2"/>
  </si>
  <si>
    <t>粗利１％UP</t>
    <rPh sb="0" eb="2">
      <t>アラリ</t>
    </rPh>
    <phoneticPr fontId="2"/>
  </si>
  <si>
    <t>粗利２％UP</t>
    <rPh sb="0" eb="2">
      <t>アラリ</t>
    </rPh>
    <phoneticPr fontId="2"/>
  </si>
  <si>
    <t>粗利３％UP</t>
    <rPh sb="0" eb="2">
      <t>アラリ</t>
    </rPh>
    <phoneticPr fontId="2"/>
  </si>
  <si>
    <t>粗利４％UP</t>
    <rPh sb="0" eb="2">
      <t>アラリ</t>
    </rPh>
    <phoneticPr fontId="2"/>
  </si>
  <si>
    <t>粗利５％UP</t>
    <rPh sb="0" eb="2">
      <t>アラリ</t>
    </rPh>
    <phoneticPr fontId="2"/>
  </si>
  <si>
    <t>粗利６％UP</t>
    <rPh sb="0" eb="2">
      <t>アラリ</t>
    </rPh>
    <phoneticPr fontId="2"/>
  </si>
  <si>
    <t>粗利７％UP</t>
    <rPh sb="0" eb="2">
      <t>アラリ</t>
    </rPh>
    <phoneticPr fontId="2"/>
  </si>
  <si>
    <t>粗利８％UP</t>
    <rPh sb="0" eb="2">
      <t>アラリ</t>
    </rPh>
    <phoneticPr fontId="2"/>
  </si>
  <si>
    <t>粗利９％UP</t>
    <rPh sb="0" eb="2">
      <t>アラリ</t>
    </rPh>
    <phoneticPr fontId="2"/>
  </si>
  <si>
    <t>粗利１０％UP</t>
    <rPh sb="0" eb="2">
      <t>アラリ</t>
    </rPh>
    <phoneticPr fontId="2"/>
  </si>
  <si>
    <t>売上</t>
    <rPh sb="0" eb="2">
      <t>ウリアゲ</t>
    </rPh>
    <phoneticPr fontId="2"/>
  </si>
  <si>
    <t>粗利</t>
    <rPh sb="0" eb="2">
      <t>アラリ</t>
    </rPh>
    <phoneticPr fontId="2"/>
  </si>
  <si>
    <t>営業利益</t>
    <rPh sb="0" eb="4">
      <t>エイギョウリエキ</t>
    </rPh>
    <phoneticPr fontId="2"/>
  </si>
  <si>
    <t>益率</t>
    <rPh sb="0" eb="2">
      <t>エキリツ</t>
    </rPh>
    <phoneticPr fontId="2"/>
  </si>
  <si>
    <t>粗利１％DOWN</t>
    <rPh sb="0" eb="2">
      <t>アラリ</t>
    </rPh>
    <phoneticPr fontId="2"/>
  </si>
  <si>
    <t>粗利２％DOWN</t>
    <rPh sb="0" eb="2">
      <t>アラリ</t>
    </rPh>
    <phoneticPr fontId="2"/>
  </si>
  <si>
    <t>粗利３％DOWN</t>
    <rPh sb="0" eb="2">
      <t>アラリ</t>
    </rPh>
    <phoneticPr fontId="2"/>
  </si>
  <si>
    <t>粗利４％DOWN</t>
    <rPh sb="0" eb="2">
      <t>アラリ</t>
    </rPh>
    <phoneticPr fontId="2"/>
  </si>
  <si>
    <t>粗利５％DOWN</t>
    <rPh sb="0" eb="2">
      <t>アラリ</t>
    </rPh>
    <phoneticPr fontId="2"/>
  </si>
  <si>
    <t>粗利６％DOWN</t>
    <rPh sb="0" eb="2">
      <t>アラリ</t>
    </rPh>
    <phoneticPr fontId="2"/>
  </si>
  <si>
    <t>粗利７％DOWN</t>
    <rPh sb="0" eb="2">
      <t>アラリ</t>
    </rPh>
    <phoneticPr fontId="2"/>
  </si>
  <si>
    <t>粗利８％DOWN</t>
    <rPh sb="0" eb="2">
      <t>アラリ</t>
    </rPh>
    <phoneticPr fontId="2"/>
  </si>
  <si>
    <t>粗利９％DOWN</t>
    <rPh sb="0" eb="2">
      <t>アラリ</t>
    </rPh>
    <phoneticPr fontId="2"/>
  </si>
  <si>
    <t>粗利１０％DOWN</t>
    <rPh sb="0" eb="2">
      <t>アラリ</t>
    </rPh>
    <phoneticPr fontId="2"/>
  </si>
  <si>
    <t>粗利が増えれば純利益が増えます。</t>
    <rPh sb="0" eb="2">
      <t>アラリ</t>
    </rPh>
    <rPh sb="3" eb="4">
      <t>フ</t>
    </rPh>
    <rPh sb="7" eb="10">
      <t>ジュンリエキ</t>
    </rPh>
    <rPh sb="11" eb="12">
      <t>フ</t>
    </rPh>
    <phoneticPr fontId="2"/>
  </si>
  <si>
    <t>しかし１０％落とすと・・・？</t>
    <rPh sb="6" eb="7">
      <t>オ</t>
    </rPh>
    <phoneticPr fontId="2"/>
  </si>
  <si>
    <t>〇〇</t>
    <phoneticPr fontId="2"/>
  </si>
  <si>
    <t>メモ</t>
    <phoneticPr fontId="2"/>
  </si>
  <si>
    <t>ひながた</t>
    <phoneticPr fontId="2"/>
  </si>
  <si>
    <t>目標値</t>
    <rPh sb="0" eb="3">
      <t>モクヒョウチ</t>
    </rPh>
    <phoneticPr fontId="2"/>
  </si>
  <si>
    <t>②MQ会計(未来）　　　　　　（百万円）</t>
    <rPh sb="3" eb="5">
      <t>カイケイ</t>
    </rPh>
    <rPh sb="6" eb="8">
      <t>ミライ</t>
    </rPh>
    <rPh sb="16" eb="18">
      <t>ヒャクマン</t>
    </rPh>
    <rPh sb="18" eb="19">
      <t>エン</t>
    </rPh>
    <phoneticPr fontId="2"/>
  </si>
  <si>
    <t>MQ会計(現状）　　　　　　（百万円）</t>
    <rPh sb="2" eb="4">
      <t>カイケイ</t>
    </rPh>
    <rPh sb="5" eb="7">
      <t>ゲンジョウ</t>
    </rPh>
    <rPh sb="15" eb="17">
      <t>ヒャクマン</t>
    </rPh>
    <rPh sb="17" eb="18">
      <t>エン</t>
    </rPh>
    <phoneticPr fontId="2"/>
  </si>
  <si>
    <t>一般管理費</t>
    <rPh sb="0" eb="5">
      <t>イッパンカンリヒ</t>
    </rPh>
    <phoneticPr fontId="2"/>
  </si>
  <si>
    <t>販売企画費</t>
    <rPh sb="0" eb="4">
      <t>ハンバイキカク</t>
    </rPh>
    <rPh sb="4" eb="5">
      <t>ヒ</t>
    </rPh>
    <phoneticPr fontId="2"/>
  </si>
  <si>
    <t>テナント料</t>
    <phoneticPr fontId="4"/>
  </si>
  <si>
    <t>消耗資材費</t>
    <rPh sb="0" eb="4">
      <t>ショウモウシザイ</t>
    </rPh>
    <rPh sb="4" eb="5">
      <t>ヒ</t>
    </rPh>
    <phoneticPr fontId="2"/>
  </si>
  <si>
    <t>外注加工費</t>
    <phoneticPr fontId="4"/>
  </si>
  <si>
    <t>事業費1</t>
    <rPh sb="0" eb="2">
      <t>ジギョウ</t>
    </rPh>
    <rPh sb="2" eb="3">
      <t>ヒ</t>
    </rPh>
    <phoneticPr fontId="4"/>
  </si>
  <si>
    <t>事業費2</t>
    <rPh sb="0" eb="2">
      <t>ジギョウ</t>
    </rPh>
    <rPh sb="2" eb="3">
      <t>ヒ</t>
    </rPh>
    <phoneticPr fontId="4"/>
  </si>
  <si>
    <t>事業費3</t>
    <rPh sb="0" eb="2">
      <t>ジギョウ</t>
    </rPh>
    <rPh sb="2" eb="3">
      <t>ヒ</t>
    </rPh>
    <phoneticPr fontId="4"/>
  </si>
  <si>
    <t>事業費4</t>
    <rPh sb="0" eb="2">
      <t>ジギョウ</t>
    </rPh>
    <rPh sb="2" eb="3">
      <t>ヒ</t>
    </rPh>
    <phoneticPr fontId="4"/>
  </si>
  <si>
    <t>事業費5</t>
    <rPh sb="0" eb="2">
      <t>ジギョウ</t>
    </rPh>
    <rPh sb="2" eb="3">
      <t>ヒ</t>
    </rPh>
    <phoneticPr fontId="4"/>
  </si>
  <si>
    <t>事業費6</t>
    <rPh sb="0" eb="2">
      <t>ジギョウ</t>
    </rPh>
    <rPh sb="2" eb="3">
      <t>ヒ</t>
    </rPh>
    <phoneticPr fontId="4"/>
  </si>
  <si>
    <t>事業費7</t>
    <rPh sb="0" eb="2">
      <t>ジギョウ</t>
    </rPh>
    <rPh sb="2" eb="3">
      <t>ヒ</t>
    </rPh>
    <phoneticPr fontId="4"/>
  </si>
  <si>
    <t>事業費8</t>
    <rPh sb="0" eb="2">
      <t>ジギョウ</t>
    </rPh>
    <rPh sb="2" eb="3">
      <t>ヒ</t>
    </rPh>
    <phoneticPr fontId="4"/>
  </si>
  <si>
    <t>販促費1</t>
    <rPh sb="0" eb="3">
      <t>ハンソクヒ</t>
    </rPh>
    <phoneticPr fontId="4"/>
  </si>
  <si>
    <t>販促費2</t>
    <rPh sb="0" eb="3">
      <t>ハンソクヒ</t>
    </rPh>
    <phoneticPr fontId="4"/>
  </si>
  <si>
    <t>販促費3</t>
    <rPh sb="0" eb="3">
      <t>ハンソクヒ</t>
    </rPh>
    <phoneticPr fontId="4"/>
  </si>
  <si>
    <t>販促費4</t>
    <rPh sb="0" eb="3">
      <t>ハンソクヒ</t>
    </rPh>
    <phoneticPr fontId="4"/>
  </si>
  <si>
    <t>販促費5</t>
    <rPh sb="0" eb="3">
      <t>ハンソクヒ</t>
    </rPh>
    <phoneticPr fontId="4"/>
  </si>
  <si>
    <t>販促費6</t>
    <rPh sb="0" eb="3">
      <t>ハンソクヒ</t>
    </rPh>
    <phoneticPr fontId="4"/>
  </si>
  <si>
    <t>テナント料</t>
    <rPh sb="4" eb="5">
      <t>リョウ</t>
    </rPh>
    <phoneticPr fontId="2"/>
  </si>
  <si>
    <t>試供品DM費</t>
    <rPh sb="0" eb="3">
      <t>シキョウヒン</t>
    </rPh>
    <rPh sb="5" eb="6">
      <t>ヒ</t>
    </rPh>
    <phoneticPr fontId="4"/>
  </si>
  <si>
    <t>販売企画費</t>
    <rPh sb="0" eb="5">
      <t>ハンバイキカクヒ</t>
    </rPh>
    <phoneticPr fontId="4"/>
  </si>
  <si>
    <t>運賃荷造費</t>
    <rPh sb="2" eb="4">
      <t>ニヅク</t>
    </rPh>
    <rPh sb="4" eb="5">
      <t>ヒ</t>
    </rPh>
    <phoneticPr fontId="2"/>
  </si>
  <si>
    <t>包装費</t>
    <rPh sb="0" eb="2">
      <t>ホウソウ</t>
    </rPh>
    <rPh sb="2" eb="3">
      <t>ヒ</t>
    </rPh>
    <phoneticPr fontId="4"/>
  </si>
  <si>
    <t>広告宣伝費</t>
    <rPh sb="0" eb="5">
      <t>コウコクセンデンヒ</t>
    </rPh>
    <phoneticPr fontId="2"/>
  </si>
  <si>
    <t>賞与</t>
    <rPh sb="0" eb="2">
      <t>ショウヨ</t>
    </rPh>
    <phoneticPr fontId="4"/>
  </si>
  <si>
    <t>通勤手当</t>
    <rPh sb="0" eb="4">
      <t>ツウキンテアテ</t>
    </rPh>
    <phoneticPr fontId="2"/>
  </si>
  <si>
    <t>原価人１４</t>
    <rPh sb="0" eb="2">
      <t>ゲンカ</t>
    </rPh>
    <rPh sb="2" eb="3">
      <t>ニン</t>
    </rPh>
    <phoneticPr fontId="4"/>
  </si>
  <si>
    <t>原価人１５</t>
    <rPh sb="0" eb="2">
      <t>ゲンカ</t>
    </rPh>
    <rPh sb="2" eb="3">
      <t>ニン</t>
    </rPh>
    <phoneticPr fontId="4"/>
  </si>
  <si>
    <t>労務費内訳</t>
    <rPh sb="0" eb="5">
      <t>ロウムヒウチワケ</t>
    </rPh>
    <phoneticPr fontId="2"/>
  </si>
  <si>
    <t>原価人１６</t>
    <rPh sb="0" eb="2">
      <t>ゲンカ</t>
    </rPh>
    <rPh sb="2" eb="3">
      <t>ニン</t>
    </rPh>
    <phoneticPr fontId="4"/>
  </si>
  <si>
    <t>外注加工費</t>
    <rPh sb="2" eb="4">
      <t>カコウ</t>
    </rPh>
    <rPh sb="4" eb="5">
      <t>ヒ</t>
    </rPh>
    <phoneticPr fontId="2"/>
  </si>
  <si>
    <t>賞与</t>
    <rPh sb="0" eb="2">
      <t>ショウヨ</t>
    </rPh>
    <phoneticPr fontId="2"/>
  </si>
  <si>
    <t>外注</t>
    <rPh sb="0" eb="2">
      <t>ガイチュウ</t>
    </rPh>
    <phoneticPr fontId="2"/>
  </si>
  <si>
    <t>製造原価</t>
    <rPh sb="0" eb="4">
      <t>セイゾウゲンカ</t>
    </rPh>
    <phoneticPr fontId="2"/>
  </si>
  <si>
    <t>固定費</t>
    <rPh sb="0" eb="3">
      <t>コテイヒ</t>
    </rPh>
    <phoneticPr fontId="4"/>
  </si>
  <si>
    <t>（経費）</t>
    <rPh sb="1" eb="3">
      <t>ケイヒ</t>
    </rPh>
    <phoneticPr fontId="2"/>
  </si>
  <si>
    <t>（販促費）</t>
    <rPh sb="1" eb="4">
      <t>ハンソクヒ</t>
    </rPh>
    <phoneticPr fontId="4"/>
  </si>
  <si>
    <t>製造原価内訳</t>
    <rPh sb="0" eb="2">
      <t>セイゾウ</t>
    </rPh>
    <rPh sb="2" eb="4">
      <t>ゲンカ</t>
    </rPh>
    <rPh sb="4" eb="6">
      <t>ウチワケ</t>
    </rPh>
    <phoneticPr fontId="2"/>
  </si>
  <si>
    <t>人件費内訳</t>
    <rPh sb="0" eb="3">
      <t>ジンケンヒ</t>
    </rPh>
    <rPh sb="3" eb="5">
      <t>ウチワケ</t>
    </rPh>
    <phoneticPr fontId="2"/>
  </si>
  <si>
    <t>現状</t>
    <rPh sb="0" eb="2">
      <t>ゲンジョウ</t>
    </rPh>
    <phoneticPr fontId="6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</si>
</sst>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quot;¥&quot;\-#,##0"/>
    <numFmt numFmtId="6" formatCode="&quot;¥&quot;#,##0;[Red]&quot;¥&quot;\-#,##0"/>
    <numFmt numFmtId="176" formatCode="#,##0.0;[Red]\-#,##0.0"/>
    <numFmt numFmtId="177" formatCode="#,##0.0"/>
    <numFmt numFmtId="178" formatCode="0.000_ "/>
    <numFmt numFmtId="179" formatCode="#,##0.000_ ;[Red]\-#,##0.000\ "/>
    <numFmt numFmtId="180" formatCode="0.0%"/>
    <numFmt numFmtId="181" formatCode="&quot; （変動費小計 : &quot;#,##0.0&quot; ）&quot;"/>
    <numFmt numFmtId="182" formatCode="&quot; （固定費小計 : &quot;#,##0.0&quot; ）&quot;"/>
    <numFmt numFmtId="183" formatCode="#,##0_ ;[Red]\-#,##0\ "/>
    <numFmt numFmtId="184" formatCode="#,##0_ "/>
    <numFmt numFmtId="185" formatCode="##0&quot; 名&quot;"/>
    <numFmt numFmtId="186" formatCode="&quot;(単位：&quot;@&quot;）&quot;"/>
    <numFmt numFmtId="187" formatCode="#,##0.0_ ;[Red]\-#,##0.0\ "/>
    <numFmt numFmtId="188" formatCode="&quot;¥&quot;#,##0_);[Red]\(&quot;¥&quot;#,##0\)"/>
    <numFmt numFmtId="189" formatCode="#,##0.0_);[Red]\(#,##0.0\)"/>
    <numFmt numFmtId="190" formatCode="&quot;¥&quot;#,##0.0_);[Red]\(&quot;¥&quot;#,##0.0\)"/>
    <numFmt numFmtId="191" formatCode="[$-F800]dddd\,\ mmmm\ dd\,\ yyyy"/>
    <numFmt numFmtId="192" formatCode="#,##0.0_ "/>
    <numFmt numFmtId="193" formatCode="0.0_);[Red]\(0.0\)"/>
    <numFmt numFmtId="194" formatCode="#,##0.000_ "/>
    <numFmt numFmtId="195" formatCode="m&quot;月&quot;"/>
    <numFmt numFmtId="196" formatCode="#,##0_);[Red]\(#,##0\)"/>
    <numFmt numFmtId="197" formatCode="&quot;¥&quot;#,##0.0;&quot;¥&quot;\-#,##0.0"/>
  </numFmts>
  <fonts count="71" x14ac:knownFonts="1">
    <font>
      <sz val="11"/>
      <color theme="1"/>
      <name val="游ゴシック"/>
      <family val="2"/>
      <charset val="128"/>
      <scheme val="minor"/>
    </font>
    <font>
      <sz val="11"/>
      <name val="ＭＳ ゴシック"/>
      <family val="3"/>
      <charset val="128"/>
    </font>
    <font>
      <sz val="6"/>
      <name val="游ゴシック"/>
      <family val="2"/>
      <charset val="128"/>
      <scheme val="minor"/>
    </font>
    <font>
      <sz val="11"/>
      <name val="ＭＳ Ｐゴシック"/>
      <family val="3"/>
      <charset val="128"/>
    </font>
    <font>
      <sz val="6"/>
      <name val="ＭＳ Ｐゴシック"/>
      <family val="3"/>
      <charset val="128"/>
    </font>
    <font>
      <sz val="11"/>
      <color indexed="12"/>
      <name val="ＭＳ Ｐゴシック"/>
      <family val="3"/>
      <charset val="128"/>
    </font>
    <font>
      <sz val="11"/>
      <color indexed="60"/>
      <name val="ＭＳ Ｐゴシック"/>
      <family val="3"/>
      <charset val="128"/>
    </font>
    <font>
      <sz val="11"/>
      <color indexed="9"/>
      <name val="ＭＳ Ｐゴシック"/>
      <family val="3"/>
      <charset val="128"/>
    </font>
    <font>
      <sz val="11"/>
      <color indexed="10"/>
      <name val="ＭＳ Ｐゴシック"/>
      <family val="3"/>
      <charset val="128"/>
    </font>
    <font>
      <sz val="11"/>
      <color indexed="18"/>
      <name val="ＭＳ Ｐゴシック"/>
      <family val="3"/>
      <charset val="128"/>
    </font>
    <font>
      <sz val="16"/>
      <color theme="1"/>
      <name val="游ゴシック"/>
      <family val="2"/>
      <charset val="128"/>
      <scheme val="minor"/>
    </font>
    <font>
      <sz val="16"/>
      <color theme="1"/>
      <name val="游ゴシック"/>
      <family val="3"/>
      <charset val="128"/>
      <scheme val="minor"/>
    </font>
    <font>
      <sz val="11"/>
      <color indexed="48"/>
      <name val="ＭＳ Ｐゴシック"/>
      <family val="3"/>
      <charset val="128"/>
    </font>
    <font>
      <sz val="11"/>
      <color indexed="16"/>
      <name val="ＭＳ Ｐゴシック"/>
      <family val="3"/>
      <charset val="128"/>
    </font>
    <font>
      <sz val="14"/>
      <color theme="1"/>
      <name val="游ゴシック"/>
      <family val="3"/>
      <charset val="128"/>
      <scheme val="minor"/>
    </font>
    <font>
      <sz val="20"/>
      <color theme="1"/>
      <name val="游ゴシック"/>
      <family val="3"/>
      <charset val="128"/>
      <scheme val="minor"/>
    </font>
    <font>
      <sz val="28"/>
      <color theme="1"/>
      <name val="游ゴシック"/>
      <family val="3"/>
      <charset val="128"/>
      <scheme val="minor"/>
    </font>
    <font>
      <sz val="36"/>
      <color theme="1"/>
      <name val="游ゴシック"/>
      <family val="3"/>
      <charset val="128"/>
      <scheme val="minor"/>
    </font>
    <font>
      <sz val="36"/>
      <color theme="1"/>
      <name val="游ゴシック"/>
      <family val="2"/>
      <charset val="128"/>
      <scheme val="minor"/>
    </font>
    <font>
      <b/>
      <sz val="28"/>
      <color theme="1"/>
      <name val="游ゴシック"/>
      <family val="3"/>
      <charset val="128"/>
      <scheme val="minor"/>
    </font>
    <font>
      <sz val="22"/>
      <color theme="1"/>
      <name val="游ゴシック"/>
      <family val="2"/>
      <charset val="128"/>
      <scheme val="minor"/>
    </font>
    <font>
      <sz val="24"/>
      <color theme="1"/>
      <name val="游ゴシック"/>
      <family val="2"/>
      <charset val="128"/>
      <scheme val="minor"/>
    </font>
    <font>
      <sz val="28"/>
      <color theme="1"/>
      <name val="游ゴシック"/>
      <family val="2"/>
      <charset val="128"/>
      <scheme val="minor"/>
    </font>
    <font>
      <b/>
      <sz val="11"/>
      <name val="ＭＳ Ｐゴシック"/>
      <family val="3"/>
      <charset val="128"/>
    </font>
    <font>
      <b/>
      <sz val="14"/>
      <name val="ＭＳ ゴシック"/>
      <family val="3"/>
      <charset val="128"/>
    </font>
    <font>
      <b/>
      <sz val="14"/>
      <name val="ＭＳ Ｐゴシック"/>
      <family val="3"/>
      <charset val="128"/>
    </font>
    <font>
      <sz val="48"/>
      <color theme="1"/>
      <name val="游ゴシック"/>
      <family val="2"/>
      <charset val="128"/>
      <scheme val="minor"/>
    </font>
    <font>
      <sz val="48"/>
      <color theme="1"/>
      <name val="游ゴシック"/>
      <family val="3"/>
      <charset val="128"/>
      <scheme val="minor"/>
    </font>
    <font>
      <sz val="14"/>
      <color theme="1"/>
      <name val="游ゴシック"/>
      <family val="2"/>
      <charset val="128"/>
      <scheme val="minor"/>
    </font>
    <font>
      <sz val="16"/>
      <name val="ＭＳ Ｐゴシック"/>
      <family val="3"/>
      <charset val="128"/>
    </font>
    <font>
      <sz val="16"/>
      <color indexed="18"/>
      <name val="ＭＳ Ｐゴシック"/>
      <family val="3"/>
      <charset val="128"/>
    </font>
    <font>
      <b/>
      <sz val="11"/>
      <color indexed="8"/>
      <name val="ＭＳ Ｐゴシック"/>
      <family val="3"/>
      <charset val="128"/>
    </font>
    <font>
      <b/>
      <sz val="11"/>
      <color indexed="18"/>
      <name val="ＭＳ Ｐゴシック"/>
      <family val="3"/>
      <charset val="128"/>
    </font>
    <font>
      <b/>
      <sz val="12"/>
      <name val="ＭＳ Ｐゴシック"/>
      <family val="3"/>
      <charset val="128"/>
    </font>
    <font>
      <sz val="16"/>
      <color theme="1"/>
      <name val="ＭＳ Ｐゴシック"/>
      <family val="3"/>
      <charset val="128"/>
    </font>
    <font>
      <sz val="12"/>
      <name val="ＭＳ Ｐゴシック"/>
      <family val="3"/>
      <charset val="128"/>
    </font>
    <font>
      <b/>
      <sz val="12"/>
      <color theme="1"/>
      <name val="游ゴシック"/>
      <family val="3"/>
      <charset val="128"/>
      <scheme val="minor"/>
    </font>
    <font>
      <sz val="11"/>
      <color rgb="FFC00000"/>
      <name val="ＭＳ Ｐゴシック"/>
      <family val="3"/>
      <charset val="128"/>
    </font>
    <font>
      <sz val="11"/>
      <color rgb="FFC00000"/>
      <name val="游ゴシック"/>
      <family val="2"/>
      <charset val="128"/>
      <scheme val="minor"/>
    </font>
    <font>
      <sz val="11"/>
      <name val="游ゴシック"/>
      <family val="2"/>
      <charset val="128"/>
      <scheme val="minor"/>
    </font>
    <font>
      <sz val="20"/>
      <color theme="1"/>
      <name val="游ゴシック"/>
      <family val="2"/>
      <charset val="128"/>
      <scheme val="minor"/>
    </font>
    <font>
      <sz val="16"/>
      <color indexed="60"/>
      <name val="ＭＳ Ｐゴシック"/>
      <family val="3"/>
      <charset val="128"/>
    </font>
    <font>
      <sz val="16"/>
      <color indexed="12"/>
      <name val="ＭＳ Ｐゴシック"/>
      <family val="3"/>
      <charset val="128"/>
    </font>
    <font>
      <b/>
      <sz val="20"/>
      <color theme="1"/>
      <name val="游ゴシック"/>
      <family val="3"/>
      <charset val="128"/>
      <scheme val="minor"/>
    </font>
    <font>
      <b/>
      <sz val="18"/>
      <name val="ＭＳ Ｐゴシック"/>
      <family val="3"/>
      <charset val="128"/>
    </font>
    <font>
      <b/>
      <sz val="11"/>
      <color rgb="FFC00000"/>
      <name val="ＭＳ Ｐゴシック"/>
      <family val="3"/>
      <charset val="128"/>
    </font>
    <font>
      <b/>
      <sz val="20"/>
      <color rgb="FFC00000"/>
      <name val="ＭＳ Ｐゴシック"/>
      <family val="3"/>
      <charset val="128"/>
    </font>
    <font>
      <b/>
      <sz val="11"/>
      <color theme="1"/>
      <name val="游ゴシック"/>
      <family val="3"/>
      <charset val="128"/>
      <scheme val="minor"/>
    </font>
    <font>
      <sz val="12"/>
      <name val="游ゴシック"/>
      <family val="2"/>
      <charset val="128"/>
      <scheme val="minor"/>
    </font>
    <font>
      <sz val="12"/>
      <color theme="1"/>
      <name val="ＭＳ Ｐゴシック"/>
      <family val="3"/>
      <charset val="128"/>
    </font>
    <font>
      <sz val="18"/>
      <color rgb="FFC00000"/>
      <name val="ＭＳ Ｐゴシック"/>
      <family val="3"/>
      <charset val="128"/>
    </font>
    <font>
      <b/>
      <sz val="14"/>
      <color theme="1"/>
      <name val="游ゴシック"/>
      <family val="3"/>
      <charset val="128"/>
      <scheme val="minor"/>
    </font>
    <font>
      <sz val="11"/>
      <color theme="1"/>
      <name val="游ゴシック"/>
      <family val="3"/>
      <charset val="128"/>
      <scheme val="minor"/>
    </font>
    <font>
      <sz val="18"/>
      <color theme="1"/>
      <name val="游ゴシック"/>
      <family val="2"/>
      <charset val="128"/>
      <scheme val="minor"/>
    </font>
    <font>
      <sz val="16"/>
      <color theme="4" tint="-0.249977111117893"/>
      <name val="ＭＳ Ｐゴシック"/>
      <family val="3"/>
      <charset val="128"/>
    </font>
    <font>
      <sz val="16"/>
      <color theme="4" tint="-0.249977111117893"/>
      <name val="ＭＳ ゴシック"/>
      <family val="3"/>
      <charset val="128"/>
    </font>
    <font>
      <sz val="16"/>
      <color theme="4" tint="-0.249977111117893"/>
      <name val="游ゴシック"/>
      <family val="2"/>
      <charset val="128"/>
      <scheme val="minor"/>
    </font>
    <font>
      <sz val="16"/>
      <color theme="4" tint="-0.249977111117893"/>
      <name val="游ゴシック"/>
      <family val="3"/>
      <charset val="128"/>
      <scheme val="minor"/>
    </font>
    <font>
      <b/>
      <sz val="16"/>
      <color theme="1"/>
      <name val="游ゴシック"/>
      <family val="3"/>
      <charset val="128"/>
      <scheme val="minor"/>
    </font>
    <font>
      <sz val="11"/>
      <color theme="1"/>
      <name val="游ゴシック"/>
      <family val="2"/>
      <charset val="128"/>
      <scheme val="minor"/>
    </font>
    <font>
      <sz val="11"/>
      <color theme="1"/>
      <name val="游ゴシック"/>
      <family val="2"/>
      <scheme val="minor"/>
    </font>
    <font>
      <sz val="6"/>
      <name val="游ゴシック"/>
      <family val="3"/>
      <charset val="128"/>
      <scheme val="minor"/>
    </font>
    <font>
      <sz val="9"/>
      <color theme="1"/>
      <name val="游ゴシック"/>
      <family val="2"/>
      <charset val="128"/>
      <scheme val="minor"/>
    </font>
    <font>
      <sz val="9"/>
      <color theme="1"/>
      <name val="游ゴシック"/>
      <family val="3"/>
      <charset val="128"/>
      <scheme val="minor"/>
    </font>
    <font>
      <sz val="22"/>
      <color theme="1"/>
      <name val="游ゴシック"/>
      <family val="3"/>
      <charset val="128"/>
      <scheme val="minor"/>
    </font>
    <font>
      <b/>
      <sz val="16"/>
      <name val="ＭＳ Ｐゴシック"/>
      <family val="3"/>
      <charset val="128"/>
    </font>
    <font>
      <b/>
      <sz val="11"/>
      <color rgb="FFFF0000"/>
      <name val="游ゴシック"/>
      <family val="3"/>
      <charset val="128"/>
      <scheme val="minor"/>
    </font>
    <font>
      <sz val="12"/>
      <color rgb="FFFF0000"/>
      <name val="ＭＳ Ｐゴシック"/>
      <family val="3"/>
      <charset val="128"/>
    </font>
    <font>
      <b/>
      <sz val="9"/>
      <name val="ＭＳ Ｐゴシック"/>
      <family val="3"/>
      <charset val="128"/>
    </font>
    <font>
      <sz val="11"/>
      <color rgb="FF333333"/>
      <name val="メイリオ"/>
      <family val="3"/>
      <charset val="128"/>
    </font>
    <font>
      <b/>
      <sz val="14"/>
      <name val="游ゴシック"/>
      <family val="3"/>
      <charset val="128"/>
      <scheme val="minor"/>
    </font>
  </fonts>
  <fills count="2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3"/>
        <bgColor indexed="64"/>
      </patternFill>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indexed="41"/>
        <bgColor indexed="64"/>
      </patternFill>
    </fill>
    <fill>
      <patternFill patternType="solid">
        <fgColor indexed="26"/>
        <bgColor indexed="64"/>
      </patternFill>
    </fill>
    <fill>
      <patternFill patternType="solid">
        <fgColor indexed="51"/>
        <bgColor indexed="64"/>
      </patternFill>
    </fill>
    <fill>
      <patternFill patternType="solid">
        <fgColor indexed="46"/>
        <bgColor indexed="64"/>
      </patternFill>
    </fill>
    <fill>
      <patternFill patternType="solid">
        <fgColor indexed="49"/>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rgb="FFFFCC99"/>
        <bgColor indexed="64"/>
      </patternFill>
    </fill>
    <fill>
      <patternFill patternType="solid">
        <fgColor rgb="FFCC99FF"/>
        <bgColor indexed="64"/>
      </patternFill>
    </fill>
    <fill>
      <patternFill patternType="solid">
        <fgColor theme="8" tint="0.79998168889431442"/>
        <bgColor indexed="64"/>
      </patternFill>
    </fill>
    <fill>
      <patternFill patternType="solid">
        <fgColor theme="5"/>
        <bgColor indexed="64"/>
      </patternFill>
    </fill>
    <fill>
      <patternFill patternType="solid">
        <fgColor rgb="FF00B0F0"/>
        <bgColor indexed="64"/>
      </patternFill>
    </fill>
  </fills>
  <borders count="13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bottom style="thin">
        <color indexed="64"/>
      </bottom>
      <diagonal/>
    </border>
    <border>
      <left style="medium">
        <color auto="1"/>
      </left>
      <right style="medium">
        <color auto="1"/>
      </right>
      <top style="medium">
        <color auto="1"/>
      </top>
      <bottom style="medium">
        <color auto="1"/>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indexed="64"/>
      </right>
      <top/>
      <bottom/>
      <diagonal/>
    </border>
    <border>
      <left/>
      <right/>
      <top style="medium">
        <color auto="1"/>
      </top>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medium">
        <color auto="1"/>
      </right>
      <top style="medium">
        <color auto="1"/>
      </top>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otted">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medium">
        <color indexed="64"/>
      </right>
      <top style="dashed">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thin">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thin">
        <color indexed="64"/>
      </right>
      <top style="dotted">
        <color indexed="64"/>
      </top>
      <bottom style="dashed">
        <color indexed="64"/>
      </bottom>
      <diagonal/>
    </border>
    <border>
      <left style="thin">
        <color indexed="64"/>
      </left>
      <right style="medium">
        <color indexed="64"/>
      </right>
      <top style="dotted">
        <color indexed="64"/>
      </top>
      <bottom style="dashed">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bottom style="dashed">
        <color indexed="64"/>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indexed="64"/>
      </left>
      <right style="hair">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medium">
        <color auto="1"/>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top style="medium">
        <color auto="1"/>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medium">
        <color auto="1"/>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ck">
        <color auto="1"/>
      </left>
      <right style="thick">
        <color auto="1"/>
      </right>
      <top/>
      <bottom style="thick">
        <color auto="1"/>
      </bottom>
      <diagonal/>
    </border>
    <border>
      <left style="medium">
        <color indexed="64"/>
      </left>
      <right style="medium">
        <color indexed="64"/>
      </right>
      <top style="medium">
        <color indexed="64"/>
      </top>
      <bottom style="hair">
        <color indexed="64"/>
      </bottom>
      <diagonal/>
    </border>
    <border>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right style="thin">
        <color indexed="64"/>
      </right>
      <top style="hair">
        <color indexed="64"/>
      </top>
      <bottom/>
      <diagonal/>
    </border>
    <border>
      <left style="medium">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bottom style="hair">
        <color indexed="64"/>
      </bottom>
      <diagonal/>
    </border>
    <border>
      <left style="medium">
        <color indexed="64"/>
      </left>
      <right style="thin">
        <color indexed="64"/>
      </right>
      <top/>
      <bottom style="hair">
        <color indexed="64"/>
      </bottom>
      <diagonal/>
    </border>
  </borders>
  <cellStyleXfs count="4">
    <xf numFmtId="0" fontId="0" fillId="0" borderId="0">
      <alignment vertical="center"/>
    </xf>
    <xf numFmtId="0" fontId="60" fillId="0" borderId="0"/>
    <xf numFmtId="0" fontId="59" fillId="0" borderId="0">
      <alignment vertical="center"/>
    </xf>
    <xf numFmtId="38" fontId="60" fillId="0" borderId="0" applyFont="0" applyFill="0" applyBorder="0" applyAlignment="0" applyProtection="0">
      <alignment vertical="center"/>
    </xf>
  </cellStyleXfs>
  <cellXfs count="678">
    <xf numFmtId="0" fontId="0" fillId="0" borderId="0" xfId="0">
      <alignment vertical="center"/>
    </xf>
    <xf numFmtId="0" fontId="0" fillId="0" borderId="24" xfId="0" applyBorder="1">
      <alignment vertical="center"/>
    </xf>
    <xf numFmtId="0" fontId="7" fillId="0" borderId="0" xfId="0" applyFont="1" applyAlignment="1" applyProtection="1">
      <protection hidden="1"/>
    </xf>
    <xf numFmtId="0" fontId="3" fillId="0" borderId="0" xfId="0" applyFont="1" applyAlignment="1" applyProtection="1">
      <protection hidden="1"/>
    </xf>
    <xf numFmtId="176" fontId="12" fillId="0" borderId="43" xfId="0" applyNumberFormat="1" applyFont="1" applyBorder="1" applyAlignment="1" applyProtection="1">
      <alignment shrinkToFit="1"/>
      <protection locked="0"/>
    </xf>
    <xf numFmtId="0" fontId="12" fillId="0" borderId="43" xfId="0" applyFont="1" applyBorder="1" applyAlignment="1" applyProtection="1">
      <alignment shrinkToFit="1"/>
      <protection locked="0"/>
    </xf>
    <xf numFmtId="176" fontId="12" fillId="0" borderId="44" xfId="0" applyNumberFormat="1" applyFont="1" applyBorder="1" applyAlignment="1" applyProtection="1">
      <alignment shrinkToFit="1"/>
      <protection locked="0"/>
    </xf>
    <xf numFmtId="0" fontId="12" fillId="0" borderId="44" xfId="0" applyFont="1" applyBorder="1" applyAlignment="1" applyProtection="1">
      <alignment shrinkToFit="1"/>
      <protection locked="0"/>
    </xf>
    <xf numFmtId="176" fontId="12" fillId="0" borderId="47" xfId="0" applyNumberFormat="1" applyFont="1" applyBorder="1" applyAlignment="1" applyProtection="1">
      <alignment shrinkToFit="1"/>
      <protection locked="0"/>
    </xf>
    <xf numFmtId="0" fontId="12" fillId="0" borderId="47" xfId="0" applyFont="1" applyBorder="1" applyAlignment="1" applyProtection="1">
      <alignment shrinkToFit="1"/>
      <protection locked="0"/>
    </xf>
    <xf numFmtId="0" fontId="19" fillId="0" borderId="31" xfId="0" applyFont="1" applyBorder="1">
      <alignment vertical="center"/>
    </xf>
    <xf numFmtId="0" fontId="19" fillId="0" borderId="0" xfId="0" applyFont="1">
      <alignment vertical="center"/>
    </xf>
    <xf numFmtId="0" fontId="25" fillId="0" borderId="31" xfId="0" applyFont="1" applyBorder="1" applyAlignment="1" applyProtection="1">
      <alignment shrinkToFit="1"/>
      <protection locked="0"/>
    </xf>
    <xf numFmtId="0" fontId="24" fillId="0" borderId="0" xfId="0" applyFont="1" applyAlignment="1" applyProtection="1">
      <alignment shrinkToFit="1"/>
      <protection hidden="1"/>
    </xf>
    <xf numFmtId="0" fontId="25" fillId="0" borderId="0" xfId="0" applyFont="1" applyAlignment="1" applyProtection="1">
      <alignment shrinkToFit="1"/>
      <protection locked="0"/>
    </xf>
    <xf numFmtId="0" fontId="25" fillId="10" borderId="24" xfId="0" applyFont="1" applyFill="1" applyBorder="1" applyAlignment="1">
      <alignment shrinkToFit="1"/>
    </xf>
    <xf numFmtId="0" fontId="0" fillId="0" borderId="0" xfId="0" applyAlignment="1" applyProtection="1">
      <protection hidden="1"/>
    </xf>
    <xf numFmtId="0" fontId="0" fillId="0" borderId="0" xfId="0" applyAlignment="1" applyProtection="1">
      <alignment horizontal="center"/>
      <protection hidden="1"/>
    </xf>
    <xf numFmtId="0" fontId="23" fillId="6" borderId="65" xfId="0" applyFont="1" applyFill="1" applyBorder="1" applyAlignment="1" applyProtection="1">
      <alignment horizontal="center" vertical="center"/>
      <protection hidden="1"/>
    </xf>
    <xf numFmtId="0" fontId="23" fillId="0" borderId="0" xfId="0" applyFont="1" applyAlignment="1" applyProtection="1">
      <alignment horizontal="right" vertical="center"/>
      <protection hidden="1"/>
    </xf>
    <xf numFmtId="0" fontId="0" fillId="0" borderId="0" xfId="0" applyAlignment="1" applyProtection="1">
      <alignment horizontal="right"/>
      <protection hidden="1"/>
    </xf>
    <xf numFmtId="10" fontId="0" fillId="0" borderId="0" xfId="0" applyNumberFormat="1" applyAlignment="1" applyProtection="1">
      <alignment horizontal="left"/>
      <protection hidden="1"/>
    </xf>
    <xf numFmtId="0" fontId="7" fillId="0" borderId="0" xfId="0" applyFont="1" applyAlignment="1" applyProtection="1">
      <alignment horizontal="center"/>
      <protection hidden="1"/>
    </xf>
    <xf numFmtId="0" fontId="23" fillId="8" borderId="82" xfId="0" applyFont="1" applyFill="1" applyBorder="1" applyAlignment="1" applyProtection="1">
      <protection hidden="1"/>
    </xf>
    <xf numFmtId="0" fontId="23" fillId="13" borderId="89" xfId="0" applyFont="1" applyFill="1" applyBorder="1" applyAlignment="1">
      <alignment shrinkToFit="1"/>
    </xf>
    <xf numFmtId="0" fontId="23" fillId="15" borderId="9" xfId="0" applyFont="1" applyFill="1" applyBorder="1" applyAlignment="1">
      <alignment shrinkToFit="1"/>
    </xf>
    <xf numFmtId="0" fontId="23" fillId="15" borderId="73" xfId="0" applyFont="1" applyFill="1" applyBorder="1" applyAlignment="1">
      <alignment shrinkToFit="1"/>
    </xf>
    <xf numFmtId="0" fontId="23" fillId="6" borderId="67" xfId="0" applyFont="1" applyFill="1" applyBorder="1" applyAlignment="1" applyProtection="1">
      <alignment horizontal="center"/>
      <protection hidden="1"/>
    </xf>
    <xf numFmtId="0" fontId="23" fillId="12" borderId="63" xfId="0" applyFont="1" applyFill="1" applyBorder="1" applyAlignment="1" applyProtection="1">
      <protection hidden="1"/>
    </xf>
    <xf numFmtId="0" fontId="23" fillId="12" borderId="70" xfId="0" applyFont="1" applyFill="1" applyBorder="1" applyAlignment="1" applyProtection="1">
      <alignment shrinkToFit="1"/>
      <protection hidden="1"/>
    </xf>
    <xf numFmtId="0" fontId="23" fillId="12" borderId="71" xfId="0" applyFont="1" applyFill="1" applyBorder="1" applyAlignment="1" applyProtection="1">
      <protection hidden="1"/>
    </xf>
    <xf numFmtId="0" fontId="23" fillId="12" borderId="3" xfId="0" applyFont="1" applyFill="1" applyBorder="1" applyAlignment="1" applyProtection="1">
      <alignment shrinkToFit="1"/>
      <protection hidden="1"/>
    </xf>
    <xf numFmtId="0" fontId="23" fillId="12" borderId="65" xfId="0" applyFont="1" applyFill="1" applyBorder="1" applyAlignment="1" applyProtection="1">
      <protection hidden="1"/>
    </xf>
    <xf numFmtId="0" fontId="23" fillId="12" borderId="73" xfId="0" applyFont="1" applyFill="1" applyBorder="1" applyAlignment="1" applyProtection="1">
      <alignment shrinkToFit="1"/>
      <protection hidden="1"/>
    </xf>
    <xf numFmtId="0" fontId="23" fillId="14" borderId="63" xfId="0" applyFont="1" applyFill="1" applyBorder="1" applyAlignment="1" applyProtection="1">
      <protection hidden="1"/>
    </xf>
    <xf numFmtId="0" fontId="23" fillId="15" borderId="80" xfId="0" applyFont="1" applyFill="1" applyBorder="1" applyAlignment="1" applyProtection="1">
      <protection hidden="1"/>
    </xf>
    <xf numFmtId="0" fontId="23" fillId="15" borderId="65" xfId="0" applyFont="1" applyFill="1" applyBorder="1" applyAlignment="1" applyProtection="1">
      <protection hidden="1"/>
    </xf>
    <xf numFmtId="0" fontId="24" fillId="10" borderId="24" xfId="0" applyFont="1" applyFill="1" applyBorder="1" applyAlignment="1">
      <alignment shrinkToFit="1"/>
    </xf>
    <xf numFmtId="188" fontId="0" fillId="0" borderId="0" xfId="0" applyNumberFormat="1">
      <alignment vertical="center"/>
    </xf>
    <xf numFmtId="188" fontId="14" fillId="0" borderId="24" xfId="0" applyNumberFormat="1" applyFont="1" applyBorder="1" applyProtection="1">
      <alignment vertical="center"/>
      <protection locked="0"/>
    </xf>
    <xf numFmtId="0" fontId="23" fillId="14" borderId="70" xfId="0" applyFont="1" applyFill="1" applyBorder="1" applyAlignment="1">
      <alignment shrinkToFit="1"/>
    </xf>
    <xf numFmtId="0" fontId="23" fillId="6" borderId="87" xfId="0" applyFont="1" applyFill="1" applyBorder="1" applyAlignment="1" applyProtection="1">
      <alignment horizontal="center" vertical="center"/>
      <protection hidden="1"/>
    </xf>
    <xf numFmtId="0" fontId="23" fillId="18" borderId="63" xfId="0" applyFont="1" applyFill="1" applyBorder="1" applyAlignment="1" applyProtection="1">
      <protection hidden="1"/>
    </xf>
    <xf numFmtId="0" fontId="23" fillId="18" borderId="70" xfId="0" applyFont="1" applyFill="1" applyBorder="1" applyAlignment="1" applyProtection="1">
      <alignment shrinkToFit="1"/>
      <protection hidden="1"/>
    </xf>
    <xf numFmtId="0" fontId="23" fillId="18" borderId="71" xfId="0" applyFont="1" applyFill="1" applyBorder="1" applyAlignment="1" applyProtection="1">
      <protection hidden="1"/>
    </xf>
    <xf numFmtId="0" fontId="23" fillId="18" borderId="3" xfId="0" applyFont="1" applyFill="1" applyBorder="1" applyAlignment="1" applyProtection="1">
      <alignment shrinkToFit="1"/>
      <protection hidden="1"/>
    </xf>
    <xf numFmtId="0" fontId="23" fillId="18" borderId="73" xfId="0" applyFont="1" applyFill="1" applyBorder="1" applyAlignment="1" applyProtection="1">
      <alignment shrinkToFit="1"/>
      <protection hidden="1"/>
    </xf>
    <xf numFmtId="186" fontId="44" fillId="0" borderId="0" xfId="0" applyNumberFormat="1" applyFont="1" applyAlignment="1">
      <alignment horizontal="center" shrinkToFit="1"/>
    </xf>
    <xf numFmtId="0" fontId="46" fillId="0" borderId="0" xfId="0" applyFont="1" applyAlignment="1" applyProtection="1">
      <alignment horizontal="right" vertical="center"/>
      <protection hidden="1"/>
    </xf>
    <xf numFmtId="0" fontId="45" fillId="0" borderId="0" xfId="0" applyFont="1" applyAlignment="1" applyProtection="1">
      <protection hidden="1"/>
    </xf>
    <xf numFmtId="176" fontId="38" fillId="0" borderId="0" xfId="0" applyNumberFormat="1" applyFont="1" applyAlignment="1" applyProtection="1">
      <protection hidden="1"/>
    </xf>
    <xf numFmtId="0" fontId="38" fillId="0" borderId="0" xfId="0" applyFont="1" applyAlignment="1" applyProtection="1">
      <protection hidden="1"/>
    </xf>
    <xf numFmtId="0" fontId="36" fillId="0" borderId="0" xfId="0" applyFont="1">
      <alignment vertical="center"/>
    </xf>
    <xf numFmtId="176" fontId="48" fillId="18" borderId="95" xfId="0" applyNumberFormat="1" applyFont="1" applyFill="1" applyBorder="1" applyAlignment="1" applyProtection="1">
      <alignment horizontal="center"/>
      <protection locked="0" hidden="1"/>
    </xf>
    <xf numFmtId="176" fontId="35" fillId="18" borderId="64" xfId="0" applyNumberFormat="1" applyFont="1" applyFill="1" applyBorder="1" applyAlignment="1"/>
    <xf numFmtId="176" fontId="48" fillId="18" borderId="4" xfId="0" applyNumberFormat="1" applyFont="1" applyFill="1" applyBorder="1" applyAlignment="1" applyProtection="1">
      <alignment horizontal="center"/>
      <protection locked="0" hidden="1"/>
    </xf>
    <xf numFmtId="178" fontId="35" fillId="18" borderId="81" xfId="0" applyNumberFormat="1" applyFont="1" applyFill="1" applyBorder="1" applyAlignment="1"/>
    <xf numFmtId="0" fontId="48" fillId="18" borderId="94" xfId="0" applyFont="1" applyFill="1" applyBorder="1" applyAlignment="1" applyProtection="1">
      <alignment horizontal="center"/>
      <protection locked="0" hidden="1"/>
    </xf>
    <xf numFmtId="176" fontId="35" fillId="18" borderId="66" xfId="0" applyNumberFormat="1" applyFont="1" applyFill="1" applyBorder="1" applyAlignment="1"/>
    <xf numFmtId="176" fontId="35" fillId="0" borderId="74" xfId="0" applyNumberFormat="1" applyFont="1" applyBorder="1" applyAlignment="1" applyProtection="1">
      <protection locked="0"/>
    </xf>
    <xf numFmtId="176" fontId="35" fillId="0" borderId="75" xfId="0" applyNumberFormat="1" applyFont="1" applyBorder="1" applyAlignment="1" applyProtection="1">
      <protection locked="0"/>
    </xf>
    <xf numFmtId="176" fontId="35" fillId="0" borderId="76" xfId="0" applyNumberFormat="1" applyFont="1" applyBorder="1" applyAlignment="1" applyProtection="1">
      <protection locked="0"/>
    </xf>
    <xf numFmtId="176" fontId="35" fillId="0" borderId="77" xfId="0" applyNumberFormat="1" applyFont="1" applyBorder="1" applyAlignment="1" applyProtection="1">
      <protection locked="0"/>
    </xf>
    <xf numFmtId="176" fontId="35" fillId="0" borderId="78" xfId="0" applyNumberFormat="1" applyFont="1" applyBorder="1" applyAlignment="1" applyProtection="1">
      <protection locked="0"/>
    </xf>
    <xf numFmtId="176" fontId="35" fillId="0" borderId="79" xfId="0" applyNumberFormat="1" applyFont="1" applyBorder="1" applyAlignment="1" applyProtection="1">
      <protection locked="0"/>
    </xf>
    <xf numFmtId="176" fontId="35" fillId="0" borderId="9" xfId="0" applyNumberFormat="1" applyFont="1" applyBorder="1" applyAlignment="1" applyProtection="1">
      <protection locked="0"/>
    </xf>
    <xf numFmtId="176" fontId="35" fillId="0" borderId="81" xfId="0" applyNumberFormat="1" applyFont="1" applyBorder="1" applyAlignment="1" applyProtection="1">
      <protection locked="0"/>
    </xf>
    <xf numFmtId="176" fontId="35" fillId="0" borderId="83" xfId="0" applyNumberFormat="1" applyFont="1" applyBorder="1" applyAlignment="1" applyProtection="1">
      <protection locked="0"/>
    </xf>
    <xf numFmtId="176" fontId="35" fillId="0" borderId="84" xfId="0" applyNumberFormat="1" applyFont="1" applyBorder="1" applyAlignment="1" applyProtection="1">
      <protection locked="0"/>
    </xf>
    <xf numFmtId="176" fontId="35" fillId="0" borderId="85" xfId="0" applyNumberFormat="1" applyFont="1" applyBorder="1" applyAlignment="1" applyProtection="1">
      <protection locked="0"/>
    </xf>
    <xf numFmtId="176" fontId="35" fillId="0" borderId="86" xfId="0" applyNumberFormat="1" applyFont="1" applyBorder="1" applyAlignment="1" applyProtection="1">
      <protection locked="0"/>
    </xf>
    <xf numFmtId="176" fontId="35" fillId="0" borderId="70" xfId="0" applyNumberFormat="1" applyFont="1" applyBorder="1" applyAlignment="1" applyProtection="1">
      <protection locked="0"/>
    </xf>
    <xf numFmtId="176" fontId="35" fillId="0" borderId="73" xfId="0" applyNumberFormat="1" applyFont="1" applyBorder="1" applyAlignment="1" applyProtection="1">
      <protection locked="0"/>
    </xf>
    <xf numFmtId="176" fontId="35" fillId="0" borderId="96" xfId="0" applyNumberFormat="1" applyFont="1" applyBorder="1" applyAlignment="1" applyProtection="1">
      <protection locked="0"/>
    </xf>
    <xf numFmtId="176" fontId="35" fillId="0" borderId="98" xfId="0" applyNumberFormat="1" applyFont="1" applyBorder="1" applyAlignment="1" applyProtection="1">
      <protection locked="0"/>
    </xf>
    <xf numFmtId="176" fontId="35" fillId="0" borderId="1" xfId="0" applyNumberFormat="1" applyFont="1" applyBorder="1" applyAlignment="1" applyProtection="1">
      <protection locked="0"/>
    </xf>
    <xf numFmtId="176" fontId="35" fillId="0" borderId="64" xfId="0" applyNumberFormat="1" applyFont="1" applyBorder="1" applyAlignment="1" applyProtection="1">
      <protection locked="0"/>
    </xf>
    <xf numFmtId="176" fontId="35" fillId="0" borderId="66" xfId="0" applyNumberFormat="1" applyFont="1" applyBorder="1" applyAlignment="1" applyProtection="1">
      <protection locked="0"/>
    </xf>
    <xf numFmtId="187" fontId="35" fillId="0" borderId="70" xfId="0" applyNumberFormat="1" applyFont="1" applyBorder="1" applyAlignment="1" applyProtection="1">
      <alignment horizontal="right"/>
      <protection locked="0"/>
    </xf>
    <xf numFmtId="187" fontId="35" fillId="0" borderId="83" xfId="0" applyNumberFormat="1" applyFont="1" applyBorder="1" applyAlignment="1" applyProtection="1">
      <alignment horizontal="right"/>
      <protection locked="0"/>
    </xf>
    <xf numFmtId="187" fontId="35" fillId="0" borderId="76" xfId="0" applyNumberFormat="1" applyFont="1" applyBorder="1" applyAlignment="1" applyProtection="1">
      <alignment horizontal="right"/>
      <protection locked="0"/>
    </xf>
    <xf numFmtId="187" fontId="35" fillId="0" borderId="78" xfId="0" applyNumberFormat="1" applyFont="1" applyBorder="1" applyAlignment="1" applyProtection="1">
      <alignment horizontal="right"/>
      <protection locked="0"/>
    </xf>
    <xf numFmtId="187" fontId="35" fillId="0" borderId="85" xfId="0" applyNumberFormat="1" applyFont="1" applyBorder="1" applyAlignment="1" applyProtection="1">
      <alignment horizontal="right"/>
      <protection locked="0"/>
    </xf>
    <xf numFmtId="176" fontId="35" fillId="0" borderId="10" xfId="0" applyNumberFormat="1" applyFont="1" applyBorder="1" applyAlignment="1" applyProtection="1">
      <protection locked="0"/>
    </xf>
    <xf numFmtId="176" fontId="35" fillId="0" borderId="88" xfId="0" applyNumberFormat="1" applyFont="1" applyBorder="1" applyAlignment="1" applyProtection="1">
      <protection locked="0"/>
    </xf>
    <xf numFmtId="176" fontId="35" fillId="0" borderId="89" xfId="0" applyNumberFormat="1" applyFont="1" applyBorder="1" applyAlignment="1" applyProtection="1">
      <protection locked="0"/>
    </xf>
    <xf numFmtId="176" fontId="35" fillId="0" borderId="72" xfId="0" applyNumberFormat="1" applyFont="1" applyBorder="1" applyAlignment="1" applyProtection="1">
      <protection locked="0"/>
    </xf>
    <xf numFmtId="176" fontId="35" fillId="18" borderId="70" xfId="0" applyNumberFormat="1" applyFont="1" applyFill="1" applyBorder="1" applyAlignment="1" applyProtection="1">
      <protection locked="0" hidden="1"/>
    </xf>
    <xf numFmtId="187" fontId="48" fillId="18" borderId="64" xfId="0" applyNumberFormat="1" applyFont="1" applyFill="1" applyBorder="1" applyAlignment="1" applyProtection="1">
      <alignment horizontal="center"/>
      <protection locked="0" hidden="1"/>
    </xf>
    <xf numFmtId="187" fontId="48" fillId="18" borderId="81" xfId="0" applyNumberFormat="1" applyFont="1" applyFill="1" applyBorder="1" applyAlignment="1" applyProtection="1">
      <alignment horizontal="center"/>
      <protection hidden="1"/>
    </xf>
    <xf numFmtId="187" fontId="48" fillId="18" borderId="66" xfId="0" applyNumberFormat="1" applyFont="1" applyFill="1" applyBorder="1" applyAlignment="1" applyProtection="1">
      <alignment horizontal="center"/>
      <protection hidden="1"/>
    </xf>
    <xf numFmtId="176" fontId="35" fillId="0" borderId="9" xfId="0" applyNumberFormat="1" applyFont="1" applyBorder="1" applyAlignment="1"/>
    <xf numFmtId="180" fontId="35" fillId="9" borderId="73" xfId="0" applyNumberFormat="1" applyFont="1" applyFill="1" applyBorder="1" applyAlignment="1" applyProtection="1">
      <protection hidden="1"/>
    </xf>
    <xf numFmtId="0" fontId="23" fillId="9" borderId="54" xfId="0" applyFont="1" applyFill="1" applyBorder="1" applyAlignment="1" applyProtection="1">
      <protection hidden="1"/>
    </xf>
    <xf numFmtId="0" fontId="23" fillId="9" borderId="74" xfId="0" applyFont="1" applyFill="1" applyBorder="1" applyAlignment="1" applyProtection="1">
      <protection hidden="1"/>
    </xf>
    <xf numFmtId="176" fontId="49" fillId="9" borderId="75" xfId="0" applyNumberFormat="1" applyFont="1" applyFill="1" applyBorder="1" applyAlignment="1"/>
    <xf numFmtId="0" fontId="23" fillId="9" borderId="55" xfId="0" applyFont="1" applyFill="1" applyBorder="1" applyAlignment="1" applyProtection="1">
      <protection hidden="1"/>
    </xf>
    <xf numFmtId="0" fontId="23" fillId="9" borderId="76" xfId="0" applyFont="1" applyFill="1" applyBorder="1" applyAlignment="1" applyProtection="1">
      <protection hidden="1"/>
    </xf>
    <xf numFmtId="176" fontId="49" fillId="9" borderId="77" xfId="0" applyNumberFormat="1" applyFont="1" applyFill="1" applyBorder="1" applyAlignment="1"/>
    <xf numFmtId="0" fontId="0" fillId="9" borderId="71" xfId="0" applyFill="1" applyBorder="1" applyAlignment="1" applyProtection="1">
      <protection hidden="1"/>
    </xf>
    <xf numFmtId="0" fontId="0" fillId="9" borderId="90" xfId="0" applyFill="1" applyBorder="1" applyAlignment="1" applyProtection="1">
      <protection hidden="1"/>
    </xf>
    <xf numFmtId="0" fontId="23" fillId="9" borderId="85" xfId="0" applyFont="1" applyFill="1" applyBorder="1" applyAlignment="1" applyProtection="1">
      <protection hidden="1"/>
    </xf>
    <xf numFmtId="176" fontId="49" fillId="9" borderId="86" xfId="0" applyNumberFormat="1" applyFont="1" applyFill="1" applyBorder="1" applyAlignment="1"/>
    <xf numFmtId="188" fontId="14" fillId="19" borderId="24" xfId="0" applyNumberFormat="1" applyFont="1" applyFill="1" applyBorder="1">
      <alignment vertical="center"/>
    </xf>
    <xf numFmtId="0" fontId="24" fillId="9" borderId="24" xfId="0" applyFont="1" applyFill="1" applyBorder="1" applyAlignment="1" applyProtection="1">
      <alignment shrinkToFit="1"/>
      <protection hidden="1"/>
    </xf>
    <xf numFmtId="0" fontId="24" fillId="9" borderId="24" xfId="0" applyFont="1" applyFill="1" applyBorder="1" applyAlignment="1">
      <alignment shrinkToFit="1"/>
    </xf>
    <xf numFmtId="0" fontId="23" fillId="18" borderId="100" xfId="0" applyFont="1" applyFill="1" applyBorder="1" applyAlignment="1" applyProtection="1">
      <protection hidden="1"/>
    </xf>
    <xf numFmtId="0" fontId="23" fillId="8" borderId="87" xfId="0" applyFont="1" applyFill="1" applyBorder="1" applyAlignment="1" applyProtection="1">
      <protection hidden="1"/>
    </xf>
    <xf numFmtId="0" fontId="23" fillId="7" borderId="104" xfId="0" applyFont="1" applyFill="1" applyBorder="1" applyAlignment="1" applyProtection="1">
      <protection hidden="1"/>
    </xf>
    <xf numFmtId="0" fontId="23" fillId="13" borderId="71" xfId="0" applyFont="1" applyFill="1" applyBorder="1" applyAlignment="1" applyProtection="1">
      <protection hidden="1"/>
    </xf>
    <xf numFmtId="0" fontId="23" fillId="5" borderId="105" xfId="0" applyFont="1" applyFill="1" applyBorder="1" applyAlignment="1" applyProtection="1">
      <protection hidden="1"/>
    </xf>
    <xf numFmtId="0" fontId="23" fillId="5" borderId="104" xfId="0" applyFont="1" applyFill="1" applyBorder="1" applyAlignment="1" applyProtection="1">
      <protection hidden="1"/>
    </xf>
    <xf numFmtId="0" fontId="23" fillId="5" borderId="106" xfId="0" applyFont="1" applyFill="1" applyBorder="1" applyAlignment="1" applyProtection="1">
      <protection hidden="1"/>
    </xf>
    <xf numFmtId="0" fontId="23" fillId="3" borderId="105" xfId="0" applyFont="1" applyFill="1" applyBorder="1" applyAlignment="1" applyProtection="1">
      <protection hidden="1"/>
    </xf>
    <xf numFmtId="0" fontId="23" fillId="3" borderId="104" xfId="0" applyFont="1" applyFill="1" applyBorder="1" applyAlignment="1" applyProtection="1">
      <protection hidden="1"/>
    </xf>
    <xf numFmtId="0" fontId="23" fillId="3" borderId="106" xfId="0" applyFont="1" applyFill="1" applyBorder="1" applyAlignment="1" applyProtection="1">
      <protection hidden="1"/>
    </xf>
    <xf numFmtId="0" fontId="23" fillId="15" borderId="63" xfId="0" applyFont="1" applyFill="1" applyBorder="1" applyAlignment="1"/>
    <xf numFmtId="0" fontId="23" fillId="15" borderId="80" xfId="0" applyFont="1" applyFill="1" applyBorder="1" applyAlignment="1"/>
    <xf numFmtId="0" fontId="23" fillId="15" borderId="100" xfId="0" applyFont="1" applyFill="1" applyBorder="1" applyAlignment="1"/>
    <xf numFmtId="0" fontId="23" fillId="15" borderId="65" xfId="0" applyFont="1" applyFill="1" applyBorder="1" applyAlignment="1"/>
    <xf numFmtId="0" fontId="15" fillId="9" borderId="24" xfId="0" applyFont="1" applyFill="1" applyBorder="1" applyAlignment="1" applyProtection="1">
      <alignment horizontal="center" vertical="center"/>
      <protection hidden="1"/>
    </xf>
    <xf numFmtId="176" fontId="35" fillId="0" borderId="73" xfId="0" applyNumberFormat="1" applyFont="1" applyBorder="1" applyAlignment="1"/>
    <xf numFmtId="0" fontId="40" fillId="9" borderId="24" xfId="0" applyFont="1" applyFill="1" applyBorder="1">
      <alignment vertical="center"/>
    </xf>
    <xf numFmtId="0" fontId="14" fillId="9" borderId="24" xfId="0" applyFont="1" applyFill="1" applyBorder="1">
      <alignment vertical="center"/>
    </xf>
    <xf numFmtId="0" fontId="25" fillId="9" borderId="24" xfId="0" applyFont="1" applyFill="1" applyBorder="1" applyAlignment="1">
      <alignment shrinkToFit="1"/>
    </xf>
    <xf numFmtId="176" fontId="35" fillId="9" borderId="79" xfId="0" applyNumberFormat="1" applyFont="1" applyFill="1" applyBorder="1" applyAlignment="1"/>
    <xf numFmtId="0" fontId="13" fillId="19" borderId="24" xfId="0" applyFont="1" applyFill="1" applyBorder="1" applyAlignment="1" applyProtection="1">
      <alignment shrinkToFit="1"/>
      <protection locked="0"/>
    </xf>
    <xf numFmtId="6" fontId="14" fillId="9" borderId="57" xfId="0" applyNumberFormat="1" applyFont="1" applyFill="1" applyBorder="1">
      <alignment vertical="center"/>
    </xf>
    <xf numFmtId="180" fontId="28" fillId="9" borderId="56" xfId="0" applyNumberFormat="1" applyFont="1" applyFill="1" applyBorder="1">
      <alignment vertical="center"/>
    </xf>
    <xf numFmtId="180" fontId="0" fillId="9" borderId="56" xfId="0" applyNumberFormat="1" applyFill="1" applyBorder="1">
      <alignment vertical="center"/>
    </xf>
    <xf numFmtId="180" fontId="14" fillId="9" borderId="59" xfId="0" applyNumberFormat="1" applyFont="1" applyFill="1" applyBorder="1">
      <alignment vertical="center"/>
    </xf>
    <xf numFmtId="176" fontId="29" fillId="0" borderId="15" xfId="0" applyNumberFormat="1" applyFont="1" applyBorder="1" applyAlignment="1" applyProtection="1">
      <alignment shrinkToFit="1"/>
      <protection locked="0"/>
    </xf>
    <xf numFmtId="176" fontId="29" fillId="0" borderId="17" xfId="0" applyNumberFormat="1" applyFont="1" applyBorder="1" applyAlignment="1" applyProtection="1">
      <alignment shrinkToFit="1"/>
      <protection locked="0"/>
    </xf>
    <xf numFmtId="176" fontId="29" fillId="0" borderId="19" xfId="0" applyNumberFormat="1" applyFont="1" applyBorder="1" applyAlignment="1" applyProtection="1">
      <alignment shrinkToFit="1"/>
      <protection locked="0"/>
    </xf>
    <xf numFmtId="176" fontId="29" fillId="0" borderId="81" xfId="0" applyNumberFormat="1" applyFont="1" applyBorder="1" applyAlignment="1" applyProtection="1">
      <alignment shrinkToFit="1"/>
      <protection locked="0"/>
    </xf>
    <xf numFmtId="176" fontId="29" fillId="0" borderId="36" xfId="0" applyNumberFormat="1" applyFont="1" applyBorder="1" applyAlignment="1" applyProtection="1">
      <alignment shrinkToFit="1"/>
      <protection locked="0"/>
    </xf>
    <xf numFmtId="176" fontId="29" fillId="0" borderId="37" xfId="0" applyNumberFormat="1" applyFont="1" applyBorder="1" applyAlignment="1" applyProtection="1">
      <alignment shrinkToFit="1"/>
      <protection locked="0"/>
    </xf>
    <xf numFmtId="176" fontId="29" fillId="0" borderId="38" xfId="0" applyNumberFormat="1" applyFont="1" applyBorder="1" applyAlignment="1" applyProtection="1">
      <alignment shrinkToFit="1"/>
      <protection locked="0"/>
    </xf>
    <xf numFmtId="176" fontId="29" fillId="2" borderId="13" xfId="0" applyNumberFormat="1" applyFont="1" applyFill="1" applyBorder="1" applyAlignment="1">
      <alignment shrinkToFit="1"/>
    </xf>
    <xf numFmtId="0" fontId="29" fillId="2" borderId="12" xfId="0" applyFont="1" applyFill="1" applyBorder="1" applyAlignment="1">
      <alignment horizontal="center" shrinkToFit="1"/>
    </xf>
    <xf numFmtId="0" fontId="33" fillId="11" borderId="65" xfId="0" applyFont="1" applyFill="1" applyBorder="1" applyAlignment="1">
      <alignment shrinkToFit="1"/>
    </xf>
    <xf numFmtId="176" fontId="34" fillId="11" borderId="66" xfId="0" applyNumberFormat="1" applyFont="1" applyFill="1" applyBorder="1">
      <alignment vertical="center"/>
    </xf>
    <xf numFmtId="0" fontId="29" fillId="5" borderId="63" xfId="0" applyFont="1" applyFill="1" applyBorder="1" applyAlignment="1">
      <alignment shrinkToFit="1"/>
    </xf>
    <xf numFmtId="0" fontId="29" fillId="5" borderId="64" xfId="0" applyFont="1" applyFill="1" applyBorder="1" applyAlignment="1">
      <alignment shrinkToFit="1"/>
    </xf>
    <xf numFmtId="0" fontId="30" fillId="5" borderId="80" xfId="0" applyFont="1" applyFill="1" applyBorder="1" applyAlignment="1">
      <alignment horizontal="center" shrinkToFit="1"/>
    </xf>
    <xf numFmtId="0" fontId="30" fillId="5" borderId="81" xfId="0" applyFont="1" applyFill="1" applyBorder="1" applyAlignment="1">
      <alignment horizontal="center" shrinkToFit="1"/>
    </xf>
    <xf numFmtId="176" fontId="29" fillId="2" borderId="35" xfId="0" applyNumberFormat="1" applyFont="1" applyFill="1" applyBorder="1" applyAlignment="1">
      <alignment shrinkToFit="1"/>
    </xf>
    <xf numFmtId="0" fontId="29" fillId="5" borderId="2" xfId="0" applyFont="1" applyFill="1" applyBorder="1" applyAlignment="1">
      <alignment shrinkToFit="1"/>
    </xf>
    <xf numFmtId="0" fontId="3" fillId="5" borderId="0" xfId="0" applyFont="1" applyFill="1" applyAlignment="1">
      <alignment shrinkToFit="1"/>
    </xf>
    <xf numFmtId="0" fontId="9" fillId="5" borderId="12" xfId="0" applyFont="1" applyFill="1" applyBorder="1" applyAlignment="1">
      <alignment horizontal="center" shrinkToFit="1"/>
    </xf>
    <xf numFmtId="0" fontId="9" fillId="5" borderId="35" xfId="0" applyFont="1" applyFill="1" applyBorder="1" applyAlignment="1">
      <alignment horizontal="center" shrinkToFit="1"/>
    </xf>
    <xf numFmtId="0" fontId="29" fillId="5" borderId="20" xfId="0" applyFont="1" applyFill="1" applyBorder="1" applyAlignment="1">
      <alignment shrinkToFit="1"/>
    </xf>
    <xf numFmtId="0" fontId="29" fillId="2" borderId="111" xfId="0" applyFont="1" applyFill="1" applyBorder="1" applyAlignment="1">
      <alignment horizontal="center" shrinkToFit="1"/>
    </xf>
    <xf numFmtId="0" fontId="29" fillId="5" borderId="109" xfId="0" applyFont="1" applyFill="1" applyBorder="1" applyAlignment="1">
      <alignment shrinkToFit="1"/>
    </xf>
    <xf numFmtId="0" fontId="29" fillId="2" borderId="115" xfId="0" applyFont="1" applyFill="1" applyBorder="1" applyAlignment="1">
      <alignment horizontal="center" shrinkToFit="1"/>
    </xf>
    <xf numFmtId="176" fontId="29" fillId="2" borderId="116" xfId="0" applyNumberFormat="1" applyFont="1" applyFill="1" applyBorder="1" applyAlignment="1">
      <alignment shrinkToFit="1"/>
    </xf>
    <xf numFmtId="0" fontId="35" fillId="11" borderId="80" xfId="0" applyFont="1" applyFill="1" applyBorder="1" applyAlignment="1">
      <alignment shrinkToFit="1"/>
    </xf>
    <xf numFmtId="0" fontId="35" fillId="11" borderId="112" xfId="0" applyFont="1" applyFill="1" applyBorder="1" applyAlignment="1">
      <alignment shrinkToFit="1"/>
    </xf>
    <xf numFmtId="176" fontId="29" fillId="0" borderId="36" xfId="0" applyNumberFormat="1" applyFont="1" applyBorder="1" applyAlignment="1">
      <alignment shrinkToFit="1"/>
    </xf>
    <xf numFmtId="0" fontId="35" fillId="11" borderId="16" xfId="0" applyFont="1" applyFill="1" applyBorder="1" applyAlignment="1">
      <alignment shrinkToFit="1"/>
    </xf>
    <xf numFmtId="176" fontId="29" fillId="0" borderId="20" xfId="0" applyNumberFormat="1" applyFont="1" applyBorder="1" applyAlignment="1">
      <alignment shrinkToFit="1"/>
    </xf>
    <xf numFmtId="0" fontId="29" fillId="5" borderId="54" xfId="0" applyFont="1" applyFill="1" applyBorder="1" applyAlignment="1">
      <alignment shrinkToFit="1"/>
    </xf>
    <xf numFmtId="0" fontId="3" fillId="5" borderId="34" xfId="0" applyFont="1" applyFill="1" applyBorder="1" applyAlignment="1">
      <alignment shrinkToFit="1"/>
    </xf>
    <xf numFmtId="176" fontId="5" fillId="0" borderId="0" xfId="0" applyNumberFormat="1" applyFont="1" applyAlignment="1">
      <alignment shrinkToFit="1"/>
    </xf>
    <xf numFmtId="0" fontId="29" fillId="5" borderId="95" xfId="0" applyFont="1" applyFill="1" applyBorder="1" applyAlignment="1">
      <alignment shrinkToFit="1"/>
    </xf>
    <xf numFmtId="0" fontId="11" fillId="9" borderId="0" xfId="0" applyFont="1" applyFill="1">
      <alignment vertical="center"/>
    </xf>
    <xf numFmtId="0" fontId="0" fillId="0" borderId="0" xfId="0" applyAlignment="1">
      <alignment vertical="center" textRotation="255"/>
    </xf>
    <xf numFmtId="0" fontId="3" fillId="5" borderId="39" xfId="0" applyFont="1" applyFill="1" applyBorder="1" applyAlignment="1">
      <alignment shrinkToFit="1"/>
    </xf>
    <xf numFmtId="0" fontId="30" fillId="5" borderId="20" xfId="0" applyFont="1" applyFill="1" applyBorder="1" applyAlignment="1">
      <alignment horizontal="center" shrinkToFit="1"/>
    </xf>
    <xf numFmtId="176" fontId="6" fillId="0" borderId="0" xfId="0" applyNumberFormat="1" applyFont="1" applyAlignment="1">
      <alignment shrinkToFit="1"/>
    </xf>
    <xf numFmtId="179" fontId="6" fillId="0" borderId="0" xfId="0" applyNumberFormat="1" applyFont="1" applyAlignment="1">
      <alignment shrinkToFit="1"/>
    </xf>
    <xf numFmtId="177" fontId="7" fillId="0" borderId="0" xfId="0" applyNumberFormat="1" applyFont="1" applyAlignment="1">
      <alignment shrinkToFit="1"/>
    </xf>
    <xf numFmtId="180" fontId="6" fillId="0" borderId="0" xfId="0" applyNumberFormat="1" applyFont="1" applyAlignment="1">
      <alignment shrinkToFit="1"/>
    </xf>
    <xf numFmtId="0" fontId="29" fillId="5" borderId="91" xfId="0" applyFont="1" applyFill="1" applyBorder="1" applyAlignment="1">
      <alignment shrinkToFit="1"/>
    </xf>
    <xf numFmtId="0" fontId="29" fillId="5" borderId="93" xfId="0" applyFont="1" applyFill="1" applyBorder="1" applyAlignment="1">
      <alignment shrinkToFit="1"/>
    </xf>
    <xf numFmtId="176" fontId="29" fillId="5" borderId="21" xfId="0" applyNumberFormat="1" applyFont="1" applyFill="1" applyBorder="1" applyAlignment="1">
      <alignment shrinkToFit="1"/>
    </xf>
    <xf numFmtId="0" fontId="35" fillId="0" borderId="0" xfId="0" applyFont="1" applyAlignment="1">
      <alignment shrinkToFit="1"/>
    </xf>
    <xf numFmtId="0" fontId="29" fillId="5" borderId="92" xfId="0" applyFont="1" applyFill="1" applyBorder="1" applyAlignment="1">
      <alignment shrinkToFit="1"/>
    </xf>
    <xf numFmtId="0" fontId="29" fillId="20" borderId="12" xfId="0" applyFont="1" applyFill="1" applyBorder="1" applyAlignment="1">
      <alignment horizontal="center" shrinkToFit="1"/>
    </xf>
    <xf numFmtId="0" fontId="1" fillId="11" borderId="16" xfId="0" applyFont="1" applyFill="1" applyBorder="1" applyAlignment="1">
      <alignment shrinkToFit="1"/>
    </xf>
    <xf numFmtId="0" fontId="3" fillId="11" borderId="16" xfId="0" applyFont="1" applyFill="1" applyBorder="1" applyAlignment="1">
      <alignment shrinkToFit="1"/>
    </xf>
    <xf numFmtId="0" fontId="35" fillId="11" borderId="14" xfId="0" applyFont="1" applyFill="1" applyBorder="1" applyAlignment="1">
      <alignment shrinkToFit="1"/>
    </xf>
    <xf numFmtId="0" fontId="33" fillId="20" borderId="65" xfId="0" applyFont="1" applyFill="1" applyBorder="1" applyAlignment="1">
      <alignment shrinkToFit="1"/>
    </xf>
    <xf numFmtId="176" fontId="34" fillId="20" borderId="94" xfId="0" applyNumberFormat="1" applyFont="1" applyFill="1" applyBorder="1">
      <alignment vertical="center"/>
    </xf>
    <xf numFmtId="0" fontId="51" fillId="0" borderId="57" xfId="0" applyFont="1" applyBorder="1">
      <alignment vertical="center"/>
    </xf>
    <xf numFmtId="0" fontId="1" fillId="20" borderId="118" xfId="0" applyFont="1" applyFill="1" applyBorder="1" applyAlignment="1">
      <alignment horizontal="left" shrinkToFit="1"/>
    </xf>
    <xf numFmtId="176" fontId="29" fillId="9" borderId="36" xfId="0" applyNumberFormat="1" applyFont="1" applyFill="1" applyBorder="1" applyAlignment="1">
      <alignment shrinkToFit="1"/>
    </xf>
    <xf numFmtId="176" fontId="29" fillId="9" borderId="20" xfId="0" applyNumberFormat="1" applyFont="1" applyFill="1" applyBorder="1" applyAlignment="1">
      <alignment shrinkToFit="1"/>
    </xf>
    <xf numFmtId="176" fontId="6" fillId="9" borderId="36" xfId="0" applyNumberFormat="1" applyFont="1" applyFill="1" applyBorder="1" applyAlignment="1">
      <alignment shrinkToFit="1"/>
    </xf>
    <xf numFmtId="193" fontId="29" fillId="9" borderId="37" xfId="0" applyNumberFormat="1" applyFont="1" applyFill="1" applyBorder="1" applyAlignment="1">
      <alignment shrinkToFit="1"/>
    </xf>
    <xf numFmtId="180" fontId="29" fillId="9" borderId="37" xfId="0" applyNumberFormat="1" applyFont="1" applyFill="1" applyBorder="1" applyAlignment="1">
      <alignment shrinkToFit="1"/>
    </xf>
    <xf numFmtId="193" fontId="29" fillId="9" borderId="37" xfId="0" applyNumberFormat="1" applyFont="1" applyFill="1" applyBorder="1" applyAlignment="1">
      <alignment horizontal="right" shrinkToFit="1"/>
    </xf>
    <xf numFmtId="193" fontId="29" fillId="20" borderId="116" xfId="0" applyNumberFormat="1" applyFont="1" applyFill="1" applyBorder="1" applyAlignment="1">
      <alignment shrinkToFit="1"/>
    </xf>
    <xf numFmtId="176" fontId="34" fillId="20" borderId="121" xfId="0" applyNumberFormat="1" applyFont="1" applyFill="1" applyBorder="1">
      <alignment vertical="center"/>
    </xf>
    <xf numFmtId="176" fontId="29" fillId="2" borderId="106" xfId="0" applyNumberFormat="1" applyFont="1" applyFill="1" applyBorder="1" applyAlignment="1">
      <alignment shrinkToFit="1"/>
    </xf>
    <xf numFmtId="176" fontId="29" fillId="0" borderId="37" xfId="0" applyNumberFormat="1" applyFont="1" applyBorder="1" applyAlignment="1">
      <alignment shrinkToFit="1"/>
    </xf>
    <xf numFmtId="176" fontId="29" fillId="2" borderId="123" xfId="0" applyNumberFormat="1" applyFont="1" applyFill="1" applyBorder="1" applyAlignment="1">
      <alignment shrinkToFit="1"/>
    </xf>
    <xf numFmtId="176" fontId="29" fillId="2" borderId="121" xfId="0" applyNumberFormat="1" applyFont="1" applyFill="1" applyBorder="1" applyAlignment="1">
      <alignment shrinkToFit="1"/>
    </xf>
    <xf numFmtId="0" fontId="29" fillId="5" borderId="125" xfId="0" applyFont="1" applyFill="1" applyBorder="1" applyAlignment="1">
      <alignment shrinkToFit="1"/>
    </xf>
    <xf numFmtId="176" fontId="34" fillId="20" borderId="108" xfId="0" applyNumberFormat="1" applyFont="1" applyFill="1" applyBorder="1">
      <alignment vertical="center"/>
    </xf>
    <xf numFmtId="38" fontId="0" fillId="0" borderId="24" xfId="0" applyNumberFormat="1" applyBorder="1">
      <alignment vertical="center"/>
    </xf>
    <xf numFmtId="0" fontId="29" fillId="5" borderId="0" xfId="0" applyFont="1" applyFill="1" applyAlignment="1">
      <alignment shrinkToFit="1"/>
    </xf>
    <xf numFmtId="0" fontId="29" fillId="5" borderId="56" xfId="0" applyFont="1" applyFill="1" applyBorder="1" applyAlignment="1">
      <alignment shrinkToFit="1"/>
    </xf>
    <xf numFmtId="0" fontId="54" fillId="5" borderId="80" xfId="0" applyFont="1" applyFill="1" applyBorder="1" applyAlignment="1">
      <alignment horizontal="center" shrinkToFit="1"/>
    </xf>
    <xf numFmtId="0" fontId="54" fillId="5" borderId="20" xfId="0" applyFont="1" applyFill="1" applyBorder="1" applyAlignment="1">
      <alignment horizontal="center" shrinkToFit="1"/>
    </xf>
    <xf numFmtId="0" fontId="54" fillId="5" borderId="124" xfId="0" applyFont="1" applyFill="1" applyBorder="1" applyAlignment="1">
      <alignment horizontal="center" shrinkToFit="1"/>
    </xf>
    <xf numFmtId="0" fontId="54" fillId="5" borderId="111" xfId="0" applyFont="1" applyFill="1" applyBorder="1" applyAlignment="1">
      <alignment horizontal="center" shrinkToFit="1"/>
    </xf>
    <xf numFmtId="0" fontId="54" fillId="5" borderId="35" xfId="0" applyFont="1" applyFill="1" applyBorder="1" applyAlignment="1">
      <alignment horizontal="center" shrinkToFit="1"/>
    </xf>
    <xf numFmtId="0" fontId="54" fillId="5" borderId="123" xfId="0" applyFont="1" applyFill="1" applyBorder="1" applyAlignment="1">
      <alignment horizontal="center" shrinkToFit="1"/>
    </xf>
    <xf numFmtId="0" fontId="54" fillId="5" borderId="12" xfId="0" applyFont="1" applyFill="1" applyBorder="1" applyAlignment="1">
      <alignment horizontal="center" shrinkToFit="1"/>
    </xf>
    <xf numFmtId="0" fontId="54" fillId="5" borderId="104" xfId="0" applyFont="1" applyFill="1" applyBorder="1" applyAlignment="1">
      <alignment horizontal="center" shrinkToFit="1"/>
    </xf>
    <xf numFmtId="0" fontId="54" fillId="5" borderId="20" xfId="0" applyFont="1" applyFill="1" applyBorder="1" applyAlignment="1">
      <alignment shrinkToFit="1"/>
    </xf>
    <xf numFmtId="176" fontId="54" fillId="5" borderId="21" xfId="0" applyNumberFormat="1" applyFont="1" applyFill="1" applyBorder="1" applyAlignment="1">
      <alignment horizontal="center" shrinkToFit="1"/>
    </xf>
    <xf numFmtId="0" fontId="54" fillId="5" borderId="113" xfId="0" applyFont="1" applyFill="1" applyBorder="1" applyAlignment="1">
      <alignment shrinkToFit="1"/>
    </xf>
    <xf numFmtId="176" fontId="54" fillId="5" borderId="40" xfId="0" applyNumberFormat="1" applyFont="1" applyFill="1" applyBorder="1" applyAlignment="1">
      <alignment horizontal="center" shrinkToFit="1"/>
    </xf>
    <xf numFmtId="176" fontId="54" fillId="5" borderId="114" xfId="0" applyNumberFormat="1" applyFont="1" applyFill="1" applyBorder="1" applyAlignment="1">
      <alignment shrinkToFit="1"/>
    </xf>
    <xf numFmtId="0" fontId="10" fillId="9" borderId="126" xfId="0" applyFont="1" applyFill="1" applyBorder="1">
      <alignment vertical="center"/>
    </xf>
    <xf numFmtId="180" fontId="10" fillId="0" borderId="24" xfId="0" applyNumberFormat="1" applyFont="1" applyBorder="1">
      <alignment vertical="center"/>
    </xf>
    <xf numFmtId="0" fontId="3" fillId="21" borderId="31" xfId="0" applyFont="1" applyFill="1" applyBorder="1" applyAlignment="1">
      <alignment shrinkToFit="1"/>
    </xf>
    <xf numFmtId="0" fontId="3" fillId="21" borderId="122" xfId="0" applyFont="1" applyFill="1" applyBorder="1" applyAlignment="1">
      <alignment shrinkToFit="1"/>
    </xf>
    <xf numFmtId="0" fontId="55" fillId="21" borderId="117" xfId="0" applyFont="1" applyFill="1" applyBorder="1" applyAlignment="1">
      <alignment shrinkToFit="1"/>
    </xf>
    <xf numFmtId="0" fontId="54" fillId="21" borderId="119" xfId="0" applyFont="1" applyFill="1" applyBorder="1" applyAlignment="1">
      <alignment horizontal="center" shrinkToFit="1"/>
    </xf>
    <xf numFmtId="0" fontId="56" fillId="21" borderId="34" xfId="0" applyFont="1" applyFill="1" applyBorder="1">
      <alignment vertical="center"/>
    </xf>
    <xf numFmtId="0" fontId="54" fillId="5" borderId="91" xfId="0" applyFont="1" applyFill="1" applyBorder="1" applyAlignment="1">
      <alignment shrinkToFit="1"/>
    </xf>
    <xf numFmtId="176" fontId="5" fillId="0" borderId="120" xfId="0" applyNumberFormat="1" applyFont="1" applyBorder="1" applyAlignment="1" applyProtection="1">
      <alignment shrinkToFit="1"/>
      <protection locked="0"/>
    </xf>
    <xf numFmtId="177" fontId="3" fillId="0" borderId="120" xfId="0" applyNumberFormat="1" applyFont="1" applyBorder="1" applyAlignment="1" applyProtection="1">
      <alignment shrinkToFit="1"/>
      <protection locked="0"/>
    </xf>
    <xf numFmtId="176" fontId="6" fillId="0" borderId="120" xfId="0" applyNumberFormat="1" applyFont="1" applyBorder="1" applyAlignment="1" applyProtection="1">
      <alignment shrinkToFit="1"/>
      <protection locked="0"/>
    </xf>
    <xf numFmtId="178" fontId="7" fillId="0" borderId="120" xfId="0" applyNumberFormat="1" applyFont="1" applyBorder="1" applyAlignment="1" applyProtection="1">
      <alignment shrinkToFit="1"/>
      <protection locked="0"/>
    </xf>
    <xf numFmtId="178" fontId="5" fillId="0" borderId="120" xfId="0" applyNumberFormat="1" applyFont="1" applyBorder="1" applyAlignment="1" applyProtection="1">
      <alignment shrinkToFit="1"/>
      <protection locked="0"/>
    </xf>
    <xf numFmtId="179" fontId="6" fillId="0" borderId="120" xfId="0" applyNumberFormat="1" applyFont="1" applyBorder="1" applyAlignment="1" applyProtection="1">
      <alignment shrinkToFit="1"/>
      <protection locked="0"/>
    </xf>
    <xf numFmtId="176" fontId="41" fillId="0" borderId="104" xfId="0" applyNumberFormat="1" applyFont="1" applyBorder="1" applyAlignment="1" applyProtection="1">
      <alignment shrinkToFit="1"/>
      <protection locked="0"/>
    </xf>
    <xf numFmtId="176" fontId="42" fillId="0" borderId="104" xfId="0" applyNumberFormat="1" applyFont="1" applyBorder="1" applyAlignment="1" applyProtection="1">
      <alignment shrinkToFit="1"/>
      <protection locked="0"/>
    </xf>
    <xf numFmtId="0" fontId="29" fillId="0" borderId="104" xfId="0" applyFont="1" applyBorder="1" applyAlignment="1" applyProtection="1">
      <alignment shrinkToFit="1"/>
      <protection locked="0"/>
    </xf>
    <xf numFmtId="180" fontId="5" fillId="0" borderId="120" xfId="0" applyNumberFormat="1" applyFont="1" applyBorder="1" applyAlignment="1" applyProtection="1">
      <alignment shrinkToFit="1"/>
      <protection locked="0"/>
    </xf>
    <xf numFmtId="176" fontId="8" fillId="0" borderId="120" xfId="0" applyNumberFormat="1" applyFont="1" applyBorder="1" applyAlignment="1" applyProtection="1">
      <alignment shrinkToFit="1"/>
      <protection locked="0"/>
    </xf>
    <xf numFmtId="0" fontId="0" fillId="0" borderId="120" xfId="0" applyBorder="1" applyProtection="1">
      <alignment vertical="center"/>
      <protection locked="0"/>
    </xf>
    <xf numFmtId="176" fontId="42" fillId="0" borderId="105" xfId="0" applyNumberFormat="1" applyFont="1" applyBorder="1" applyAlignment="1" applyProtection="1">
      <alignment shrinkToFit="1"/>
      <protection locked="0"/>
    </xf>
    <xf numFmtId="176" fontId="29" fillId="0" borderId="104" xfId="0" applyNumberFormat="1" applyFont="1" applyBorder="1" applyAlignment="1" applyProtection="1">
      <alignment shrinkToFit="1"/>
      <protection locked="0"/>
    </xf>
    <xf numFmtId="0" fontId="10" fillId="0" borderId="124" xfId="0" applyFont="1" applyBorder="1" applyProtection="1">
      <alignment vertical="center"/>
      <protection locked="0"/>
    </xf>
    <xf numFmtId="180" fontId="41" fillId="0" borderId="124" xfId="0" applyNumberFormat="1" applyFont="1" applyBorder="1" applyAlignment="1" applyProtection="1">
      <alignment shrinkToFit="1"/>
      <protection locked="0"/>
    </xf>
    <xf numFmtId="176" fontId="42" fillId="0" borderId="124" xfId="0" applyNumberFormat="1" applyFont="1" applyBorder="1" applyAlignment="1" applyProtection="1">
      <alignment shrinkToFit="1"/>
      <protection locked="0"/>
    </xf>
    <xf numFmtId="176" fontId="41" fillId="0" borderId="124" xfId="0" applyNumberFormat="1" applyFont="1" applyBorder="1" applyAlignment="1" applyProtection="1">
      <alignment shrinkToFit="1"/>
      <protection locked="0"/>
    </xf>
    <xf numFmtId="0" fontId="10" fillId="0" borderId="124" xfId="0" applyFont="1" applyBorder="1" applyAlignment="1" applyProtection="1">
      <protection locked="0"/>
    </xf>
    <xf numFmtId="0" fontId="29" fillId="0" borderId="124" xfId="0" applyFont="1" applyBorder="1" applyAlignment="1" applyProtection="1">
      <alignment shrinkToFit="1"/>
      <protection locked="0"/>
    </xf>
    <xf numFmtId="181" fontId="29" fillId="0" borderId="124" xfId="0" applyNumberFormat="1" applyFont="1" applyBorder="1" applyAlignment="1" applyProtection="1">
      <alignment horizontal="left" shrinkToFit="1"/>
      <protection locked="0"/>
    </xf>
    <xf numFmtId="182" fontId="10" fillId="0" borderId="124" xfId="0" applyNumberFormat="1" applyFont="1" applyBorder="1" applyAlignment="1" applyProtection="1">
      <alignment horizontal="left" shrinkToFit="1"/>
      <protection locked="0"/>
    </xf>
    <xf numFmtId="0" fontId="23" fillId="19" borderId="9" xfId="0" applyFont="1" applyFill="1" applyBorder="1" applyAlignment="1" applyProtection="1">
      <alignment shrinkToFit="1"/>
      <protection locked="0"/>
    </xf>
    <xf numFmtId="0" fontId="23" fillId="19" borderId="73" xfId="0" applyFont="1" applyFill="1" applyBorder="1" applyAlignment="1" applyProtection="1">
      <alignment shrinkToFit="1"/>
      <protection locked="0"/>
    </xf>
    <xf numFmtId="0" fontId="23" fillId="22" borderId="70" xfId="0" applyFont="1" applyFill="1" applyBorder="1" applyAlignment="1">
      <alignment shrinkToFit="1"/>
    </xf>
    <xf numFmtId="176" fontId="35" fillId="22" borderId="64" xfId="0" applyNumberFormat="1" applyFont="1" applyFill="1" applyBorder="1" applyAlignment="1">
      <alignment horizontal="right"/>
    </xf>
    <xf numFmtId="176" fontId="35" fillId="22" borderId="81" xfId="0" applyNumberFormat="1" applyFont="1" applyFill="1" applyBorder="1" applyAlignment="1"/>
    <xf numFmtId="0" fontId="35" fillId="19" borderId="80" xfId="0" applyFont="1" applyFill="1" applyBorder="1" applyAlignment="1" applyProtection="1">
      <alignment shrinkToFit="1"/>
      <protection locked="0"/>
    </xf>
    <xf numFmtId="0" fontId="35" fillId="19" borderId="16" xfId="0" applyFont="1" applyFill="1" applyBorder="1" applyAlignment="1" applyProtection="1">
      <alignment shrinkToFit="1"/>
      <protection locked="0"/>
    </xf>
    <xf numFmtId="0" fontId="35" fillId="19" borderId="18" xfId="0" applyFont="1" applyFill="1" applyBorder="1" applyAlignment="1" applyProtection="1">
      <alignment shrinkToFit="1"/>
      <protection locked="0"/>
    </xf>
    <xf numFmtId="0" fontId="35" fillId="19" borderId="12" xfId="0" applyFont="1" applyFill="1" applyBorder="1" applyAlignment="1" applyProtection="1">
      <alignment shrinkToFit="1"/>
      <protection locked="0"/>
    </xf>
    <xf numFmtId="0" fontId="31" fillId="11" borderId="2" xfId="0" applyFont="1" applyFill="1" applyBorder="1" applyAlignment="1">
      <alignment shrinkToFit="1"/>
    </xf>
    <xf numFmtId="0" fontId="32" fillId="11" borderId="39" xfId="0" applyFont="1" applyFill="1" applyBorder="1" applyAlignment="1">
      <alignment shrinkToFit="1"/>
    </xf>
    <xf numFmtId="0" fontId="32" fillId="11" borderId="11" xfId="0" applyFont="1" applyFill="1" applyBorder="1" applyAlignment="1">
      <alignment shrinkToFit="1"/>
    </xf>
    <xf numFmtId="0" fontId="9" fillId="11" borderId="12" xfId="0" applyFont="1" applyFill="1" applyBorder="1" applyAlignment="1">
      <alignment horizontal="center" shrinkToFit="1"/>
    </xf>
    <xf numFmtId="0" fontId="9" fillId="11" borderId="42" xfId="0" applyFont="1" applyFill="1" applyBorder="1" applyAlignment="1">
      <alignment horizontal="center" shrinkToFit="1"/>
    </xf>
    <xf numFmtId="0" fontId="9" fillId="11" borderId="13" xfId="0" applyFont="1" applyFill="1" applyBorder="1" applyAlignment="1">
      <alignment horizontal="center" shrinkToFit="1"/>
    </xf>
    <xf numFmtId="0" fontId="3" fillId="11" borderId="14" xfId="0" applyFont="1" applyFill="1" applyBorder="1" applyAlignment="1">
      <alignment shrinkToFit="1"/>
    </xf>
    <xf numFmtId="176" fontId="6" fillId="9" borderId="15" xfId="0" applyNumberFormat="1" applyFont="1" applyFill="1" applyBorder="1" applyAlignment="1">
      <alignment shrinkToFit="1"/>
    </xf>
    <xf numFmtId="0" fontId="0" fillId="11" borderId="46" xfId="0" applyFill="1" applyBorder="1" applyAlignment="1">
      <alignment shrinkToFit="1"/>
    </xf>
    <xf numFmtId="176" fontId="6" fillId="9" borderId="48" xfId="0" applyNumberFormat="1" applyFont="1" applyFill="1" applyBorder="1" applyAlignment="1">
      <alignment shrinkToFit="1"/>
    </xf>
    <xf numFmtId="176" fontId="6" fillId="9" borderId="17" xfId="0" applyNumberFormat="1" applyFont="1" applyFill="1" applyBorder="1" applyAlignment="1">
      <alignment shrinkToFit="1"/>
    </xf>
    <xf numFmtId="0" fontId="0" fillId="11" borderId="16" xfId="0" applyFill="1" applyBorder="1" applyAlignment="1">
      <alignment shrinkToFit="1"/>
    </xf>
    <xf numFmtId="176" fontId="6" fillId="9" borderId="19" xfId="0" applyNumberFormat="1" applyFont="1" applyFill="1" applyBorder="1" applyAlignment="1">
      <alignment shrinkToFit="1"/>
    </xf>
    <xf numFmtId="0" fontId="6" fillId="11" borderId="33" xfId="0" applyFont="1" applyFill="1" applyBorder="1" applyAlignment="1">
      <alignment horizontal="center" shrinkToFit="1"/>
    </xf>
    <xf numFmtId="176" fontId="6" fillId="11" borderId="45" xfId="0" applyNumberFormat="1" applyFont="1" applyFill="1" applyBorder="1" applyAlignment="1">
      <alignment horizontal="right" shrinkToFit="1"/>
    </xf>
    <xf numFmtId="0" fontId="13" fillId="11" borderId="103" xfId="0" applyFont="1" applyFill="1" applyBorder="1" applyAlignment="1">
      <alignment shrinkToFit="1"/>
    </xf>
    <xf numFmtId="176" fontId="6" fillId="11" borderId="13" xfId="0" applyNumberFormat="1" applyFont="1" applyFill="1" applyBorder="1" applyAlignment="1">
      <alignment shrinkToFit="1"/>
    </xf>
    <xf numFmtId="176" fontId="6" fillId="11" borderId="32" xfId="0" applyNumberFormat="1" applyFont="1" applyFill="1" applyBorder="1" applyAlignment="1">
      <alignment horizontal="right" shrinkToFit="1"/>
    </xf>
    <xf numFmtId="176" fontId="6" fillId="11" borderId="8" xfId="0" applyNumberFormat="1" applyFont="1" applyFill="1" applyBorder="1" applyAlignment="1">
      <alignment shrinkToFit="1"/>
    </xf>
    <xf numFmtId="0" fontId="0" fillId="9" borderId="9" xfId="0" applyFill="1" applyBorder="1">
      <alignment vertical="center"/>
    </xf>
    <xf numFmtId="192" fontId="0" fillId="9" borderId="9" xfId="0" applyNumberFormat="1" applyFill="1" applyBorder="1">
      <alignment vertical="center"/>
    </xf>
    <xf numFmtId="0" fontId="0" fillId="9" borderId="9" xfId="0" applyFill="1" applyBorder="1" applyAlignment="1">
      <alignment horizontal="center" vertical="center"/>
    </xf>
    <xf numFmtId="192" fontId="0" fillId="9" borderId="9" xfId="0" applyNumberFormat="1" applyFill="1" applyBorder="1" applyAlignment="1">
      <alignment horizontal="right" vertical="center"/>
    </xf>
    <xf numFmtId="180" fontId="0" fillId="9" borderId="9" xfId="0" applyNumberFormat="1" applyFill="1" applyBorder="1">
      <alignment vertical="center"/>
    </xf>
    <xf numFmtId="0" fontId="6" fillId="11" borderId="33" xfId="0" applyFont="1" applyFill="1" applyBorder="1" applyAlignment="1">
      <alignment horizontal="center" wrapText="1" shrinkToFit="1"/>
    </xf>
    <xf numFmtId="0" fontId="10" fillId="0" borderId="0" xfId="0" applyFont="1">
      <alignment vertical="center"/>
    </xf>
    <xf numFmtId="0" fontId="23" fillId="0" borderId="4" xfId="0" applyFont="1" applyBorder="1" applyAlignment="1"/>
    <xf numFmtId="0" fontId="3" fillId="0" borderId="4" xfId="0" applyFont="1" applyBorder="1" applyAlignment="1">
      <alignment shrinkToFit="1"/>
    </xf>
    <xf numFmtId="0" fontId="3" fillId="0" borderId="0" xfId="0" applyFont="1" applyAlignment="1">
      <alignment shrinkToFit="1"/>
    </xf>
    <xf numFmtId="0" fontId="9" fillId="0" borderId="4" xfId="0" applyFont="1" applyBorder="1" applyAlignment="1">
      <alignment horizontal="center" shrinkToFit="1"/>
    </xf>
    <xf numFmtId="0" fontId="9" fillId="0" borderId="0" xfId="0" applyFont="1" applyAlignment="1">
      <alignment horizontal="center" shrinkToFit="1"/>
    </xf>
    <xf numFmtId="0" fontId="23" fillId="0" borderId="0" xfId="0" applyFont="1" applyAlignment="1"/>
    <xf numFmtId="0" fontId="23" fillId="0" borderId="0" xfId="0" applyFont="1" applyAlignment="1">
      <alignment shrinkToFit="1"/>
    </xf>
    <xf numFmtId="0" fontId="29" fillId="5" borderId="4" xfId="0" applyFont="1" applyFill="1" applyBorder="1" applyAlignment="1">
      <alignment shrinkToFit="1"/>
    </xf>
    <xf numFmtId="0" fontId="35" fillId="9" borderId="14" xfId="0" applyFont="1" applyFill="1" applyBorder="1" applyAlignment="1">
      <alignment shrinkToFit="1"/>
    </xf>
    <xf numFmtId="0" fontId="35" fillId="9" borderId="16" xfId="0" applyFont="1" applyFill="1" applyBorder="1" applyAlignment="1">
      <alignment shrinkToFit="1"/>
    </xf>
    <xf numFmtId="176" fontId="29" fillId="9" borderId="37" xfId="0" applyNumberFormat="1" applyFont="1" applyFill="1" applyBorder="1" applyAlignment="1">
      <alignment shrinkToFit="1"/>
    </xf>
    <xf numFmtId="189" fontId="0" fillId="0" borderId="0" xfId="0" applyNumberFormat="1">
      <alignment vertical="center"/>
    </xf>
    <xf numFmtId="188" fontId="0" fillId="0" borderId="4" xfId="0" applyNumberFormat="1" applyBorder="1">
      <alignment vertical="center"/>
    </xf>
    <xf numFmtId="189" fontId="3" fillId="11" borderId="9" xfId="0" applyNumberFormat="1" applyFont="1" applyFill="1" applyBorder="1" applyAlignment="1">
      <alignment shrinkToFit="1"/>
    </xf>
    <xf numFmtId="189" fontId="3" fillId="11" borderId="10" xfId="0" applyNumberFormat="1" applyFont="1" applyFill="1" applyBorder="1" applyAlignment="1">
      <alignment shrinkToFit="1"/>
    </xf>
    <xf numFmtId="189" fontId="3" fillId="11" borderId="10" xfId="0" applyNumberFormat="1" applyFont="1" applyFill="1" applyBorder="1" applyAlignment="1">
      <alignment horizontal="center" shrinkToFit="1"/>
    </xf>
    <xf numFmtId="38" fontId="12" fillId="11" borderId="52" xfId="0" applyNumberFormat="1" applyFont="1" applyFill="1" applyBorder="1" applyAlignment="1"/>
    <xf numFmtId="38" fontId="6" fillId="2" borderId="14" xfId="0" applyNumberFormat="1" applyFont="1" applyFill="1" applyBorder="1" applyAlignment="1">
      <alignment shrinkToFit="1"/>
    </xf>
    <xf numFmtId="180" fontId="6" fillId="3" borderId="17" xfId="0" applyNumberFormat="1" applyFont="1" applyFill="1" applyBorder="1" applyAlignment="1">
      <alignment horizontal="right" shrinkToFit="1"/>
    </xf>
    <xf numFmtId="38" fontId="12" fillId="11" borderId="53" xfId="0" applyNumberFormat="1" applyFont="1" applyFill="1" applyBorder="1" applyAlignment="1"/>
    <xf numFmtId="38" fontId="6" fillId="2" borderId="16" xfId="0" applyNumberFormat="1" applyFont="1" applyFill="1" applyBorder="1" applyAlignment="1">
      <alignment shrinkToFit="1"/>
    </xf>
    <xf numFmtId="38" fontId="12" fillId="11" borderId="102" xfId="0" applyNumberFormat="1" applyFont="1" applyFill="1" applyBorder="1" applyAlignment="1"/>
    <xf numFmtId="38" fontId="6" fillId="2" borderId="18" xfId="0" applyNumberFormat="1" applyFont="1" applyFill="1" applyBorder="1" applyAlignment="1">
      <alignment shrinkToFit="1"/>
    </xf>
    <xf numFmtId="189" fontId="8" fillId="11" borderId="9" xfId="0" applyNumberFormat="1" applyFont="1" applyFill="1" applyBorder="1" applyAlignment="1">
      <alignment shrinkToFit="1"/>
    </xf>
    <xf numFmtId="189" fontId="12" fillId="11" borderId="9" xfId="0" applyNumberFormat="1" applyFont="1" applyFill="1" applyBorder="1" applyAlignment="1">
      <alignment horizontal="left" vertical="center"/>
    </xf>
    <xf numFmtId="189" fontId="12" fillId="11" borderId="9" xfId="0" applyNumberFormat="1" applyFont="1" applyFill="1" applyBorder="1" applyAlignment="1">
      <alignment horizontal="left" vertical="center" shrinkToFit="1"/>
    </xf>
    <xf numFmtId="189" fontId="6" fillId="11" borderId="9" xfId="0" applyNumberFormat="1" applyFont="1" applyFill="1" applyBorder="1" applyAlignment="1">
      <alignment horizontal="left" vertical="center" shrinkToFit="1"/>
    </xf>
    <xf numFmtId="180" fontId="6" fillId="11" borderId="9" xfId="0" applyNumberFormat="1" applyFont="1" applyFill="1" applyBorder="1" applyAlignment="1">
      <alignment shrinkToFit="1"/>
    </xf>
    <xf numFmtId="10" fontId="0" fillId="0" borderId="0" xfId="0" applyNumberFormat="1">
      <alignment vertical="center"/>
    </xf>
    <xf numFmtId="189" fontId="3" fillId="11" borderId="6" xfId="0" applyNumberFormat="1" applyFont="1" applyFill="1" applyBorder="1" applyAlignment="1">
      <alignment horizontal="center" shrinkToFit="1"/>
    </xf>
    <xf numFmtId="189" fontId="3" fillId="11" borderId="6" xfId="0" applyNumberFormat="1" applyFont="1" applyFill="1" applyBorder="1" applyAlignment="1">
      <alignment shrinkToFit="1"/>
    </xf>
    <xf numFmtId="189" fontId="3" fillId="11" borderId="20" xfId="0" applyNumberFormat="1" applyFont="1" applyFill="1" applyBorder="1" applyAlignment="1">
      <alignment shrinkToFit="1"/>
    </xf>
    <xf numFmtId="10" fontId="50" fillId="11" borderId="50" xfId="0" applyNumberFormat="1" applyFont="1" applyFill="1" applyBorder="1" applyAlignment="1">
      <alignment shrinkToFit="1"/>
    </xf>
    <xf numFmtId="189" fontId="3" fillId="11" borderId="7" xfId="0" applyNumberFormat="1" applyFont="1" applyFill="1" applyBorder="1" applyAlignment="1">
      <alignment shrinkToFit="1"/>
    </xf>
    <xf numFmtId="189" fontId="3" fillId="11" borderId="1" xfId="0" applyNumberFormat="1" applyFont="1" applyFill="1" applyBorder="1" applyAlignment="1">
      <alignment horizontal="center" shrinkToFit="1"/>
    </xf>
    <xf numFmtId="189" fontId="3" fillId="11" borderId="14" xfId="0" applyNumberFormat="1" applyFont="1" applyFill="1" applyBorder="1" applyAlignment="1">
      <alignment horizontal="center" shrinkToFit="1"/>
    </xf>
    <xf numFmtId="189" fontId="3" fillId="11" borderId="51" xfId="0" applyNumberFormat="1" applyFont="1" applyFill="1" applyBorder="1" applyAlignment="1">
      <alignment horizontal="center" shrinkToFit="1"/>
    </xf>
    <xf numFmtId="189" fontId="39" fillId="11" borderId="3" xfId="0" applyNumberFormat="1" applyFont="1" applyFill="1" applyBorder="1" applyAlignment="1">
      <alignment shrinkToFit="1"/>
    </xf>
    <xf numFmtId="189" fontId="3" fillId="11" borderId="16" xfId="0" applyNumberFormat="1" applyFont="1" applyFill="1" applyBorder="1" applyAlignment="1">
      <alignment horizontal="center" shrinkToFit="1"/>
    </xf>
    <xf numFmtId="189" fontId="3" fillId="11" borderId="9" xfId="0" applyNumberFormat="1" applyFont="1" applyFill="1" applyBorder="1" applyAlignment="1">
      <alignment horizontal="center" shrinkToFit="1"/>
    </xf>
    <xf numFmtId="184" fontId="3" fillId="11" borderId="12" xfId="0" applyNumberFormat="1" applyFont="1" applyFill="1" applyBorder="1" applyAlignment="1">
      <alignment horizontal="center" shrinkToFit="1"/>
    </xf>
    <xf numFmtId="189" fontId="39" fillId="0" borderId="0" xfId="0" applyNumberFormat="1" applyFont="1">
      <alignment vertical="center"/>
    </xf>
    <xf numFmtId="189" fontId="1" fillId="0" borderId="6" xfId="0" applyNumberFormat="1" applyFont="1" applyBorder="1" applyAlignment="1" applyProtection="1">
      <alignment vertical="center" shrinkToFit="1"/>
      <protection locked="0"/>
    </xf>
    <xf numFmtId="189" fontId="1" fillId="0" borderId="5" xfId="0" applyNumberFormat="1" applyFont="1" applyBorder="1" applyAlignment="1" applyProtection="1">
      <alignment vertical="center" shrinkToFit="1"/>
      <protection locked="0"/>
    </xf>
    <xf numFmtId="189" fontId="1" fillId="0" borderId="22" xfId="0" applyNumberFormat="1" applyFont="1" applyBorder="1" applyAlignment="1" applyProtection="1">
      <alignment vertical="center" shrinkToFit="1"/>
      <protection locked="0"/>
    </xf>
    <xf numFmtId="38" fontId="12" fillId="0" borderId="43" xfId="0" applyNumberFormat="1" applyFont="1" applyBorder="1" applyAlignment="1" applyProtection="1">
      <protection locked="0"/>
    </xf>
    <xf numFmtId="38" fontId="6" fillId="0" borderId="43" xfId="0" applyNumberFormat="1" applyFont="1" applyBorder="1" applyAlignment="1" applyProtection="1">
      <alignment shrinkToFit="1"/>
      <protection locked="0"/>
    </xf>
    <xf numFmtId="38" fontId="12" fillId="0" borderId="36" xfId="0" applyNumberFormat="1" applyFont="1" applyBorder="1" applyAlignment="1" applyProtection="1">
      <alignment shrinkToFit="1"/>
      <protection locked="0"/>
    </xf>
    <xf numFmtId="38" fontId="12" fillId="0" borderId="44" xfId="0" applyNumberFormat="1" applyFont="1" applyBorder="1" applyAlignment="1" applyProtection="1">
      <protection locked="0"/>
    </xf>
    <xf numFmtId="38" fontId="6" fillId="0" borderId="44" xfId="0" applyNumberFormat="1" applyFont="1" applyBorder="1" applyAlignment="1" applyProtection="1">
      <alignment shrinkToFit="1"/>
      <protection locked="0"/>
    </xf>
    <xf numFmtId="38" fontId="12" fillId="0" borderId="37" xfId="0" applyNumberFormat="1" applyFont="1" applyBorder="1" applyAlignment="1" applyProtection="1">
      <alignment shrinkToFit="1"/>
      <protection locked="0"/>
    </xf>
    <xf numFmtId="38" fontId="12" fillId="0" borderId="44" xfId="0" applyNumberFormat="1" applyFont="1" applyBorder="1" applyAlignment="1" applyProtection="1">
      <alignment shrinkToFit="1"/>
      <protection locked="0"/>
    </xf>
    <xf numFmtId="38" fontId="12" fillId="0" borderId="103" xfId="0" applyNumberFormat="1" applyFont="1" applyBorder="1" applyAlignment="1" applyProtection="1">
      <alignment shrinkToFit="1"/>
      <protection locked="0"/>
    </xf>
    <xf numFmtId="38" fontId="6" fillId="0" borderId="103" xfId="0" applyNumberFormat="1" applyFont="1" applyBorder="1" applyAlignment="1" applyProtection="1">
      <alignment shrinkToFit="1"/>
      <protection locked="0"/>
    </xf>
    <xf numFmtId="38" fontId="12" fillId="0" borderId="38" xfId="0" applyNumberFormat="1" applyFont="1" applyBorder="1" applyAlignment="1" applyProtection="1">
      <alignment shrinkToFit="1"/>
      <protection locked="0"/>
    </xf>
    <xf numFmtId="185" fontId="0" fillId="9" borderId="40" xfId="0" applyNumberFormat="1" applyFill="1" applyBorder="1" applyAlignment="1">
      <alignment shrinkToFit="1"/>
    </xf>
    <xf numFmtId="0" fontId="58" fillId="9" borderId="0" xfId="0" applyFont="1" applyFill="1">
      <alignment vertical="center"/>
    </xf>
    <xf numFmtId="191" fontId="3" fillId="0" borderId="88" xfId="0" applyNumberFormat="1" applyFont="1" applyBorder="1" applyAlignment="1" applyProtection="1">
      <alignment horizontal="left" vertical="center" indent="1"/>
      <protection locked="0"/>
    </xf>
    <xf numFmtId="191" fontId="3" fillId="0" borderId="66" xfId="0" applyNumberFormat="1" applyFont="1" applyBorder="1" applyAlignment="1" applyProtection="1">
      <alignment horizontal="left" vertical="center" indent="1"/>
      <protection locked="0"/>
    </xf>
    <xf numFmtId="0" fontId="23" fillId="7" borderId="74" xfId="0" applyFont="1" applyFill="1" applyBorder="1" applyAlignment="1" applyProtection="1">
      <alignment shrinkToFit="1"/>
      <protection locked="0"/>
    </xf>
    <xf numFmtId="0" fontId="23" fillId="7" borderId="76" xfId="0" applyFont="1" applyFill="1" applyBorder="1" applyAlignment="1" applyProtection="1">
      <alignment shrinkToFit="1"/>
      <protection locked="0"/>
    </xf>
    <xf numFmtId="0" fontId="23" fillId="7" borderId="78" xfId="0" applyFont="1" applyFill="1" applyBorder="1" applyAlignment="1" applyProtection="1">
      <alignment shrinkToFit="1"/>
      <protection locked="0"/>
    </xf>
    <xf numFmtId="0" fontId="23" fillId="7" borderId="9" xfId="0" applyFont="1" applyFill="1" applyBorder="1" applyAlignment="1" applyProtection="1">
      <alignment shrinkToFit="1"/>
      <protection locked="0"/>
    </xf>
    <xf numFmtId="0" fontId="23" fillId="7" borderId="83" xfId="0" applyFont="1" applyFill="1" applyBorder="1" applyAlignment="1" applyProtection="1">
      <alignment shrinkToFit="1"/>
      <protection locked="0"/>
    </xf>
    <xf numFmtId="0" fontId="23" fillId="7" borderId="85" xfId="0" applyFont="1" applyFill="1" applyBorder="1" applyAlignment="1" applyProtection="1">
      <alignment shrinkToFit="1"/>
      <protection locked="0"/>
    </xf>
    <xf numFmtId="0" fontId="23" fillId="8" borderId="70" xfId="0" applyFont="1" applyFill="1" applyBorder="1" applyAlignment="1" applyProtection="1">
      <alignment shrinkToFit="1"/>
      <protection locked="0"/>
    </xf>
    <xf numFmtId="0" fontId="23" fillId="8" borderId="83" xfId="0" applyFont="1" applyFill="1" applyBorder="1" applyAlignment="1" applyProtection="1">
      <alignment shrinkToFit="1"/>
      <protection locked="0"/>
    </xf>
    <xf numFmtId="0" fontId="23" fillId="8" borderId="73" xfId="0" applyFont="1" applyFill="1" applyBorder="1" applyAlignment="1" applyProtection="1">
      <alignment shrinkToFit="1"/>
      <protection locked="0"/>
    </xf>
    <xf numFmtId="0" fontId="23" fillId="8" borderId="96" xfId="0" applyFont="1" applyFill="1" applyBorder="1" applyAlignment="1" applyProtection="1">
      <alignment shrinkToFit="1"/>
      <protection locked="0"/>
    </xf>
    <xf numFmtId="0" fontId="23" fillId="8" borderId="98" xfId="0" applyFont="1" applyFill="1" applyBorder="1" applyAlignment="1" applyProtection="1">
      <alignment shrinkToFit="1"/>
      <protection locked="0"/>
    </xf>
    <xf numFmtId="0" fontId="23" fillId="8" borderId="78" xfId="0" applyFont="1" applyFill="1" applyBorder="1" applyAlignment="1" applyProtection="1">
      <alignment shrinkToFit="1"/>
      <protection locked="0"/>
    </xf>
    <xf numFmtId="0" fontId="23" fillId="8" borderId="76" xfId="0" applyFont="1" applyFill="1" applyBorder="1" applyAlignment="1" applyProtection="1">
      <alignment shrinkToFit="1"/>
      <protection locked="0"/>
    </xf>
    <xf numFmtId="0" fontId="23" fillId="8" borderId="1" xfId="0" applyFont="1" applyFill="1" applyBorder="1" applyAlignment="1" applyProtection="1">
      <alignment shrinkToFit="1"/>
      <protection locked="0"/>
    </xf>
    <xf numFmtId="0" fontId="23" fillId="3" borderId="74" xfId="0" applyFont="1" applyFill="1" applyBorder="1" applyAlignment="1" applyProtection="1">
      <alignment shrinkToFit="1"/>
      <protection locked="0"/>
    </xf>
    <xf numFmtId="0" fontId="23" fillId="3" borderId="78" xfId="0" applyFont="1" applyFill="1" applyBorder="1" applyAlignment="1" applyProtection="1">
      <alignment shrinkToFit="1"/>
      <protection locked="0"/>
    </xf>
    <xf numFmtId="0" fontId="23" fillId="3" borderId="83" xfId="0" applyFont="1" applyFill="1" applyBorder="1" applyAlignment="1" applyProtection="1">
      <alignment shrinkToFit="1"/>
      <protection locked="0"/>
    </xf>
    <xf numFmtId="0" fontId="23" fillId="3" borderId="85" xfId="0" applyFont="1" applyFill="1" applyBorder="1" applyAlignment="1" applyProtection="1">
      <alignment shrinkToFit="1"/>
      <protection locked="0"/>
    </xf>
    <xf numFmtId="0" fontId="23" fillId="4" borderId="70" xfId="0" applyFont="1" applyFill="1" applyBorder="1" applyAlignment="1" applyProtection="1">
      <alignment shrinkToFit="1"/>
      <protection locked="0"/>
    </xf>
    <xf numFmtId="0" fontId="23" fillId="4" borderId="83" xfId="0" applyFont="1" applyFill="1" applyBorder="1" applyAlignment="1" applyProtection="1">
      <alignment shrinkToFit="1"/>
      <protection locked="0"/>
    </xf>
    <xf numFmtId="0" fontId="23" fillId="4" borderId="76" xfId="0" applyFont="1" applyFill="1" applyBorder="1" applyAlignment="1" applyProtection="1">
      <alignment shrinkToFit="1"/>
      <protection locked="0"/>
    </xf>
    <xf numFmtId="0" fontId="23" fillId="4" borderId="78" xfId="0" applyFont="1" applyFill="1" applyBorder="1" applyAlignment="1" applyProtection="1">
      <alignment shrinkToFit="1"/>
      <protection locked="0"/>
    </xf>
    <xf numFmtId="0" fontId="23" fillId="4" borderId="73" xfId="0" applyFont="1" applyFill="1" applyBorder="1" applyAlignment="1" applyProtection="1">
      <alignment shrinkToFit="1"/>
      <protection locked="0"/>
    </xf>
    <xf numFmtId="0" fontId="23" fillId="16" borderId="74" xfId="0" applyFont="1" applyFill="1" applyBorder="1" applyAlignment="1" applyProtection="1">
      <alignment shrinkToFit="1"/>
      <protection locked="0"/>
    </xf>
    <xf numFmtId="0" fontId="23" fillId="16" borderId="78" xfId="0" applyFont="1" applyFill="1" applyBorder="1" applyAlignment="1" applyProtection="1">
      <alignment shrinkToFit="1"/>
      <protection locked="0"/>
    </xf>
    <xf numFmtId="0" fontId="23" fillId="16" borderId="83" xfId="0" applyFont="1" applyFill="1" applyBorder="1" applyAlignment="1" applyProtection="1">
      <alignment shrinkToFit="1"/>
      <protection locked="0"/>
    </xf>
    <xf numFmtId="0" fontId="23" fillId="16" borderId="85" xfId="0" applyFont="1" applyFill="1" applyBorder="1" applyAlignment="1" applyProtection="1">
      <alignment shrinkToFit="1"/>
      <protection locked="0"/>
    </xf>
    <xf numFmtId="0" fontId="23" fillId="5" borderId="70" xfId="0" applyFont="1" applyFill="1" applyBorder="1" applyAlignment="1" applyProtection="1">
      <alignment shrinkToFit="1"/>
      <protection locked="0"/>
    </xf>
    <xf numFmtId="0" fontId="23" fillId="5" borderId="83" xfId="0" applyFont="1" applyFill="1" applyBorder="1" applyAlignment="1" applyProtection="1">
      <alignment shrinkToFit="1"/>
      <protection locked="0"/>
    </xf>
    <xf numFmtId="0" fontId="23" fillId="5" borderId="76" xfId="0" applyFont="1" applyFill="1" applyBorder="1" applyAlignment="1" applyProtection="1">
      <alignment shrinkToFit="1"/>
      <protection locked="0"/>
    </xf>
    <xf numFmtId="0" fontId="23" fillId="5" borderId="78" xfId="0" applyFont="1" applyFill="1" applyBorder="1" applyAlignment="1" applyProtection="1">
      <alignment shrinkToFit="1"/>
      <protection locked="0"/>
    </xf>
    <xf numFmtId="0" fontId="23" fillId="5" borderId="85" xfId="0" applyFont="1" applyFill="1" applyBorder="1" applyAlignment="1" applyProtection="1">
      <alignment shrinkToFit="1"/>
      <protection locked="0"/>
    </xf>
    <xf numFmtId="0" fontId="23" fillId="5" borderId="10" xfId="0" applyFont="1" applyFill="1" applyBorder="1" applyAlignment="1" applyProtection="1">
      <alignment shrinkToFit="1"/>
      <protection locked="0"/>
    </xf>
    <xf numFmtId="0" fontId="23" fillId="5" borderId="9" xfId="0" applyFont="1" applyFill="1" applyBorder="1" applyAlignment="1" applyProtection="1">
      <alignment shrinkToFit="1"/>
      <protection locked="0"/>
    </xf>
    <xf numFmtId="176" fontId="35" fillId="18" borderId="75" xfId="0" applyNumberFormat="1" applyFont="1" applyFill="1" applyBorder="1" applyAlignment="1"/>
    <xf numFmtId="189" fontId="3" fillId="9" borderId="9" xfId="0" applyNumberFormat="1" applyFont="1" applyFill="1" applyBorder="1" applyAlignment="1">
      <alignment shrinkToFit="1"/>
    </xf>
    <xf numFmtId="189" fontId="3" fillId="9" borderId="23" xfId="0" applyNumberFormat="1" applyFont="1" applyFill="1" applyBorder="1" applyAlignment="1">
      <alignment horizontal="right" shrinkToFit="1"/>
    </xf>
    <xf numFmtId="183" fontId="3" fillId="9" borderId="13" xfId="0" applyNumberFormat="1" applyFont="1" applyFill="1" applyBorder="1" applyAlignment="1">
      <alignment shrinkToFit="1"/>
    </xf>
    <xf numFmtId="191" fontId="52" fillId="0" borderId="0" xfId="0" applyNumberFormat="1" applyFont="1" applyProtection="1">
      <alignment vertical="center"/>
      <protection locked="0"/>
    </xf>
    <xf numFmtId="0" fontId="0" fillId="0" borderId="0" xfId="0" applyProtection="1">
      <alignment vertical="center"/>
      <protection locked="0"/>
    </xf>
    <xf numFmtId="0" fontId="60" fillId="0" borderId="0" xfId="1"/>
    <xf numFmtId="0" fontId="47" fillId="0" borderId="0" xfId="2" applyFont="1">
      <alignment vertical="center"/>
    </xf>
    <xf numFmtId="5" fontId="59" fillId="0" borderId="24" xfId="2" applyNumberFormat="1" applyBorder="1">
      <alignment vertical="center"/>
    </xf>
    <xf numFmtId="5" fontId="59" fillId="0" borderId="0" xfId="2" applyNumberFormat="1">
      <alignment vertical="center"/>
    </xf>
    <xf numFmtId="38" fontId="0" fillId="0" borderId="0" xfId="3" applyFont="1" applyAlignment="1"/>
    <xf numFmtId="38" fontId="60" fillId="0" borderId="0" xfId="1" applyNumberFormat="1"/>
    <xf numFmtId="0" fontId="59" fillId="0" borderId="0" xfId="2">
      <alignment vertical="center"/>
    </xf>
    <xf numFmtId="0" fontId="60" fillId="0" borderId="0" xfId="1" applyAlignment="1">
      <alignment vertical="center"/>
    </xf>
    <xf numFmtId="5" fontId="60" fillId="0" borderId="0" xfId="1" applyNumberFormat="1"/>
    <xf numFmtId="3" fontId="60" fillId="0" borderId="0" xfId="1" applyNumberFormat="1"/>
    <xf numFmtId="0" fontId="15" fillId="0" borderId="24" xfId="0" applyFont="1" applyBorder="1" applyAlignment="1" applyProtection="1">
      <alignment horizontal="center" vertical="center"/>
      <protection locked="0"/>
    </xf>
    <xf numFmtId="0" fontId="0" fillId="9" borderId="55" xfId="0" applyFill="1" applyBorder="1">
      <alignment vertical="center"/>
    </xf>
    <xf numFmtId="5" fontId="18" fillId="0" borderId="0" xfId="0" applyNumberFormat="1" applyFont="1">
      <alignment vertical="center"/>
    </xf>
    <xf numFmtId="0" fontId="17" fillId="0" borderId="0" xfId="0" applyFont="1">
      <alignment vertical="center"/>
    </xf>
    <xf numFmtId="0" fontId="43" fillId="0" borderId="24" xfId="0" applyFont="1" applyBorder="1" applyAlignment="1">
      <alignment horizontal="center" vertical="center"/>
    </xf>
    <xf numFmtId="188" fontId="28" fillId="9" borderId="55" xfId="0" applyNumberFormat="1" applyFont="1" applyFill="1" applyBorder="1">
      <alignment vertical="center"/>
    </xf>
    <xf numFmtId="188" fontId="28" fillId="9" borderId="0" xfId="0" applyNumberFormat="1" applyFont="1" applyFill="1">
      <alignment vertical="center"/>
    </xf>
    <xf numFmtId="189" fontId="3" fillId="11" borderId="1" xfId="0" applyNumberFormat="1" applyFont="1" applyFill="1" applyBorder="1" applyAlignment="1">
      <alignment shrinkToFit="1"/>
    </xf>
    <xf numFmtId="0" fontId="0" fillId="0" borderId="9" xfId="0" applyBorder="1">
      <alignment vertical="center"/>
    </xf>
    <xf numFmtId="180" fontId="0" fillId="0" borderId="9" xfId="0" applyNumberFormat="1" applyBorder="1" applyAlignment="1">
      <alignment horizontal="right" vertical="center"/>
    </xf>
    <xf numFmtId="196" fontId="0" fillId="0" borderId="9" xfId="0" applyNumberFormat="1" applyBorder="1" applyAlignment="1">
      <alignment horizontal="right" vertical="center"/>
    </xf>
    <xf numFmtId="0" fontId="0" fillId="0" borderId="9" xfId="0" applyBorder="1" applyAlignment="1">
      <alignment horizontal="right" vertical="center"/>
    </xf>
    <xf numFmtId="0" fontId="0" fillId="23" borderId="9" xfId="0" applyFill="1" applyBorder="1">
      <alignment vertical="center"/>
    </xf>
    <xf numFmtId="0" fontId="62" fillId="23" borderId="9" xfId="0" applyFont="1" applyFill="1" applyBorder="1" applyAlignment="1">
      <alignment horizontal="right" vertical="center"/>
    </xf>
    <xf numFmtId="0" fontId="63" fillId="23" borderId="9" xfId="0" applyFont="1" applyFill="1" applyBorder="1" applyAlignment="1">
      <alignment horizontal="right" vertical="center"/>
    </xf>
    <xf numFmtId="180" fontId="0" fillId="0" borderId="9" xfId="0" applyNumberFormat="1" applyBorder="1">
      <alignment vertical="center"/>
    </xf>
    <xf numFmtId="0" fontId="0" fillId="23" borderId="9" xfId="0" applyFill="1" applyBorder="1" applyAlignment="1">
      <alignment horizontal="center" vertical="center"/>
    </xf>
    <xf numFmtId="0" fontId="0" fillId="0" borderId="0" xfId="0" applyAlignment="1"/>
    <xf numFmtId="176" fontId="3" fillId="0" borderId="105" xfId="0" applyNumberFormat="1" applyFont="1" applyBorder="1" applyAlignment="1" applyProtection="1">
      <alignment shrinkToFit="1"/>
      <protection locked="0"/>
    </xf>
    <xf numFmtId="176" fontId="6" fillId="0" borderId="6" xfId="0" applyNumberFormat="1" applyFont="1" applyBorder="1" applyAlignment="1">
      <alignment shrinkToFit="1"/>
    </xf>
    <xf numFmtId="176" fontId="3" fillId="0" borderId="6" xfId="0" applyNumberFormat="1" applyFont="1" applyBorder="1" applyAlignment="1" applyProtection="1">
      <alignment shrinkToFit="1"/>
      <protection locked="0"/>
    </xf>
    <xf numFmtId="176" fontId="3" fillId="0" borderId="128" xfId="0" applyNumberFormat="1" applyFont="1" applyBorder="1" applyAlignment="1" applyProtection="1">
      <alignment shrinkToFit="1"/>
      <protection locked="0"/>
    </xf>
    <xf numFmtId="176" fontId="6" fillId="0" borderId="129" xfId="0" applyNumberFormat="1" applyFont="1" applyBorder="1" applyAlignment="1">
      <alignment shrinkToFit="1"/>
    </xf>
    <xf numFmtId="176" fontId="3" fillId="0" borderId="106" xfId="0" applyNumberFormat="1" applyFont="1" applyBorder="1" applyAlignment="1" applyProtection="1">
      <alignment shrinkToFit="1"/>
      <protection locked="0"/>
    </xf>
    <xf numFmtId="176" fontId="6" fillId="0" borderId="7" xfId="0" applyNumberFormat="1" applyFont="1" applyBorder="1" applyAlignment="1">
      <alignment shrinkToFit="1"/>
    </xf>
    <xf numFmtId="176" fontId="3" fillId="0" borderId="7" xfId="0" applyNumberFormat="1" applyFont="1" applyBorder="1" applyAlignment="1" applyProtection="1">
      <alignment shrinkToFit="1"/>
      <protection locked="0"/>
    </xf>
    <xf numFmtId="176" fontId="6" fillId="0" borderId="130" xfId="0" applyNumberFormat="1" applyFont="1" applyBorder="1" applyAlignment="1">
      <alignment shrinkToFit="1"/>
    </xf>
    <xf numFmtId="0" fontId="6" fillId="0" borderId="7" xfId="0" applyFont="1" applyBorder="1" applyAlignment="1">
      <alignment shrinkToFit="1"/>
    </xf>
    <xf numFmtId="0" fontId="23" fillId="12" borderId="60" xfId="0" applyFont="1" applyFill="1" applyBorder="1" applyAlignment="1">
      <alignment horizontal="center" vertical="center"/>
    </xf>
    <xf numFmtId="0" fontId="7" fillId="0" borderId="0" xfId="0" applyFont="1" applyAlignment="1"/>
    <xf numFmtId="0" fontId="0" fillId="0" borderId="62" xfId="0" applyBorder="1" applyAlignment="1">
      <alignment horizontal="center" vertical="center"/>
    </xf>
    <xf numFmtId="0" fontId="23" fillId="12" borderId="62" xfId="0" applyFont="1" applyFill="1" applyBorder="1" applyAlignment="1">
      <alignment horizontal="center" vertical="center" shrinkToFit="1"/>
    </xf>
    <xf numFmtId="0" fontId="23" fillId="12" borderId="71" xfId="0" applyFont="1" applyFill="1" applyBorder="1" applyAlignment="1">
      <alignment horizontal="center" vertical="center"/>
    </xf>
    <xf numFmtId="0" fontId="23" fillId="12" borderId="3" xfId="0" applyFont="1" applyFill="1" applyBorder="1" applyAlignment="1">
      <alignment horizontal="center" vertical="center"/>
    </xf>
    <xf numFmtId="0" fontId="23" fillId="12" borderId="1" xfId="0" applyFont="1" applyFill="1" applyBorder="1" applyAlignment="1">
      <alignment horizontal="center" vertical="center"/>
    </xf>
    <xf numFmtId="0" fontId="23" fillId="12" borderId="11" xfId="0" applyFont="1" applyFill="1" applyBorder="1" applyAlignment="1">
      <alignment horizontal="center" vertical="center"/>
    </xf>
    <xf numFmtId="0" fontId="23" fillId="12" borderId="101" xfId="0" applyFont="1" applyFill="1" applyBorder="1" applyAlignment="1">
      <alignment horizontal="center" vertical="center"/>
    </xf>
    <xf numFmtId="176" fontId="23" fillId="8" borderId="127" xfId="0" applyNumberFormat="1" applyFont="1" applyFill="1" applyBorder="1" applyAlignment="1">
      <alignment shrinkToFit="1"/>
    </xf>
    <xf numFmtId="0" fontId="0" fillId="0" borderId="127" xfId="0" applyBorder="1" applyAlignment="1">
      <alignment horizontal="center" vertical="center" shrinkToFit="1"/>
    </xf>
    <xf numFmtId="0" fontId="6" fillId="6" borderId="62" xfId="0" applyFont="1" applyFill="1" applyBorder="1" applyAlignment="1">
      <alignment horizontal="center" shrinkToFit="1"/>
    </xf>
    <xf numFmtId="176" fontId="23" fillId="0" borderId="120" xfId="0" applyNumberFormat="1" applyFont="1" applyBorder="1" applyAlignment="1">
      <alignment shrinkToFit="1"/>
    </xf>
    <xf numFmtId="0" fontId="0" fillId="0" borderId="120" xfId="0" applyBorder="1" applyAlignment="1">
      <alignment horizontal="center" vertical="center" shrinkToFit="1"/>
    </xf>
    <xf numFmtId="176" fontId="23" fillId="0" borderId="121" xfId="0" applyNumberFormat="1" applyFont="1" applyBorder="1" applyAlignment="1">
      <alignment shrinkToFit="1"/>
    </xf>
    <xf numFmtId="0" fontId="0" fillId="0" borderId="121" xfId="0" applyBorder="1" applyAlignment="1">
      <alignment horizontal="center" vertical="center" shrinkToFit="1"/>
    </xf>
    <xf numFmtId="194" fontId="7" fillId="0" borderId="0" xfId="0" applyNumberFormat="1" applyFont="1">
      <alignment vertical="center"/>
    </xf>
    <xf numFmtId="192" fontId="7" fillId="0" borderId="0" xfId="0" applyNumberFormat="1" applyFont="1" applyAlignment="1"/>
    <xf numFmtId="0" fontId="7" fillId="0" borderId="0" xfId="0" applyFont="1" applyAlignment="1">
      <alignment horizontal="center"/>
    </xf>
    <xf numFmtId="0" fontId="3" fillId="6" borderId="60" xfId="0" applyFont="1" applyFill="1" applyBorder="1" applyAlignment="1">
      <alignment horizontal="center" vertical="center" shrinkToFit="1"/>
    </xf>
    <xf numFmtId="0" fontId="40" fillId="9" borderId="24" xfId="0" applyFont="1" applyFill="1" applyBorder="1" applyAlignment="1" applyProtection="1">
      <alignment horizontal="center" vertical="center"/>
      <protection hidden="1"/>
    </xf>
    <xf numFmtId="0" fontId="15" fillId="9" borderId="24" xfId="0" applyFont="1" applyFill="1" applyBorder="1" applyAlignment="1">
      <alignment horizontal="center" vertical="center"/>
    </xf>
    <xf numFmtId="0" fontId="15" fillId="0" borderId="24" xfId="0" applyFont="1" applyBorder="1" applyAlignment="1" applyProtection="1">
      <alignment horizontal="center" vertical="center"/>
      <protection locked="0"/>
    </xf>
    <xf numFmtId="0" fontId="0" fillId="0" borderId="0" xfId="0" applyAlignment="1" applyProtection="1">
      <protection hidden="1"/>
    </xf>
    <xf numFmtId="0" fontId="0" fillId="0" borderId="0" xfId="0" applyAlignment="1"/>
    <xf numFmtId="0" fontId="0" fillId="0" borderId="39" xfId="0" applyBorder="1" applyAlignment="1" applyProtection="1">
      <alignment vertical="top"/>
      <protection locked="0"/>
    </xf>
    <xf numFmtId="0" fontId="0" fillId="0" borderId="11" xfId="0" applyBorder="1" applyAlignment="1" applyProtection="1">
      <alignment vertical="top"/>
      <protection locked="0"/>
    </xf>
    <xf numFmtId="0" fontId="0" fillId="0" borderId="0" xfId="0" applyAlignment="1" applyProtection="1">
      <alignment vertical="top"/>
      <protection locked="0"/>
    </xf>
    <xf numFmtId="0" fontId="0" fillId="0" borderId="30" xfId="0" applyBorder="1" applyAlignment="1" applyProtection="1">
      <alignment vertical="top"/>
      <protection locked="0"/>
    </xf>
    <xf numFmtId="0" fontId="0" fillId="0" borderId="41" xfId="0" applyBorder="1" applyAlignment="1" applyProtection="1">
      <alignment vertical="top"/>
      <protection locked="0"/>
    </xf>
    <xf numFmtId="0" fontId="0" fillId="0" borderId="26" xfId="0" applyBorder="1" applyAlignment="1" applyProtection="1">
      <alignment vertical="top"/>
      <protection locked="0"/>
    </xf>
    <xf numFmtId="0" fontId="47" fillId="0" borderId="2" xfId="0" applyFont="1" applyBorder="1" applyAlignment="1">
      <alignment vertical="top"/>
    </xf>
    <xf numFmtId="0" fontId="0" fillId="0" borderId="4" xfId="0" applyBorder="1" applyAlignment="1">
      <alignment vertical="top"/>
    </xf>
    <xf numFmtId="0" fontId="0" fillId="0" borderId="25" xfId="0" applyBorder="1" applyAlignment="1">
      <alignment vertical="top"/>
    </xf>
    <xf numFmtId="0" fontId="0" fillId="0" borderId="0" xfId="0">
      <alignment vertical="center"/>
    </xf>
    <xf numFmtId="0" fontId="21" fillId="0" borderId="54" xfId="0" applyFont="1" applyBorder="1" applyProtection="1">
      <alignment vertical="center"/>
      <protection locked="0"/>
    </xf>
    <xf numFmtId="0" fontId="21" fillId="0" borderId="31" xfId="0" applyFont="1" applyBorder="1" applyProtection="1">
      <alignment vertical="center"/>
      <protection locked="0"/>
    </xf>
    <xf numFmtId="0" fontId="21" fillId="0" borderId="34" xfId="0" applyFont="1" applyBorder="1" applyProtection="1">
      <alignment vertical="center"/>
      <protection locked="0"/>
    </xf>
    <xf numFmtId="0" fontId="21" fillId="0" borderId="55" xfId="0" applyFont="1" applyBorder="1" applyProtection="1">
      <alignment vertical="center"/>
      <protection locked="0"/>
    </xf>
    <xf numFmtId="0" fontId="21" fillId="0" borderId="0" xfId="0" applyFont="1" applyProtection="1">
      <alignment vertical="center"/>
      <protection locked="0"/>
    </xf>
    <xf numFmtId="0" fontId="21" fillId="0" borderId="56" xfId="0" applyFont="1" applyBorder="1" applyProtection="1">
      <alignment vertical="center"/>
      <protection locked="0"/>
    </xf>
    <xf numFmtId="0" fontId="21" fillId="0" borderId="57" xfId="0" applyFont="1" applyBorder="1" applyProtection="1">
      <alignment vertical="center"/>
      <protection locked="0"/>
    </xf>
    <xf numFmtId="0" fontId="21" fillId="0" borderId="58" xfId="0" applyFont="1" applyBorder="1" applyProtection="1">
      <alignment vertical="center"/>
      <protection locked="0"/>
    </xf>
    <xf numFmtId="0" fontId="21" fillId="0" borderId="59" xfId="0" applyFont="1" applyBorder="1" applyProtection="1">
      <alignment vertical="center"/>
      <protection locked="0"/>
    </xf>
    <xf numFmtId="0" fontId="22" fillId="11" borderId="58" xfId="0" applyFont="1" applyFill="1" applyBorder="1">
      <alignment vertical="center"/>
    </xf>
    <xf numFmtId="0" fontId="16" fillId="11" borderId="58" xfId="0" applyFont="1" applyFill="1" applyBorder="1">
      <alignment vertical="center"/>
    </xf>
    <xf numFmtId="0" fontId="26" fillId="9" borderId="60" xfId="0" applyFont="1" applyFill="1" applyBorder="1" applyAlignment="1">
      <alignment horizontal="center" vertical="center"/>
    </xf>
    <xf numFmtId="0" fontId="27" fillId="9" borderId="61" xfId="0" applyFont="1" applyFill="1" applyBorder="1" applyAlignment="1">
      <alignment horizontal="center" vertical="center"/>
    </xf>
    <xf numFmtId="0" fontId="27" fillId="9" borderId="62" xfId="0" applyFont="1" applyFill="1" applyBorder="1" applyAlignment="1">
      <alignment horizontal="center" vertical="center"/>
    </xf>
    <xf numFmtId="0" fontId="21" fillId="19" borderId="54" xfId="0" applyFont="1" applyFill="1" applyBorder="1" applyProtection="1">
      <alignment vertical="center"/>
      <protection locked="0"/>
    </xf>
    <xf numFmtId="0" fontId="21" fillId="19" borderId="31" xfId="0" applyFont="1" applyFill="1" applyBorder="1" applyProtection="1">
      <alignment vertical="center"/>
      <protection locked="0"/>
    </xf>
    <xf numFmtId="0" fontId="21" fillId="19" borderId="34" xfId="0" applyFont="1" applyFill="1" applyBorder="1" applyProtection="1">
      <alignment vertical="center"/>
      <protection locked="0"/>
    </xf>
    <xf numFmtId="0" fontId="21" fillId="19" borderId="55" xfId="0" applyFont="1" applyFill="1" applyBorder="1" applyProtection="1">
      <alignment vertical="center"/>
      <protection locked="0"/>
    </xf>
    <xf numFmtId="0" fontId="21" fillId="19" borderId="0" xfId="0" applyFont="1" applyFill="1" applyProtection="1">
      <alignment vertical="center"/>
      <protection locked="0"/>
    </xf>
    <xf numFmtId="0" fontId="21" fillId="19" borderId="56" xfId="0" applyFont="1" applyFill="1" applyBorder="1" applyProtection="1">
      <alignment vertical="center"/>
      <protection locked="0"/>
    </xf>
    <xf numFmtId="0" fontId="21" fillId="19" borderId="57" xfId="0" applyFont="1" applyFill="1" applyBorder="1" applyProtection="1">
      <alignment vertical="center"/>
      <protection locked="0"/>
    </xf>
    <xf numFmtId="0" fontId="21" fillId="19" borderId="58" xfId="0" applyFont="1" applyFill="1" applyBorder="1" applyProtection="1">
      <alignment vertical="center"/>
      <protection locked="0"/>
    </xf>
    <xf numFmtId="0" fontId="21" fillId="19" borderId="59" xfId="0" applyFont="1" applyFill="1" applyBorder="1" applyProtection="1">
      <alignment vertical="center"/>
      <protection locked="0"/>
    </xf>
    <xf numFmtId="5" fontId="18" fillId="0" borderId="27" xfId="0" applyNumberFormat="1" applyFont="1" applyBorder="1" applyProtection="1">
      <alignment vertical="center"/>
      <protection locked="0"/>
    </xf>
    <xf numFmtId="0" fontId="0" fillId="0" borderId="28" xfId="0" applyBorder="1" applyProtection="1">
      <alignment vertical="center"/>
      <protection locked="0"/>
    </xf>
    <xf numFmtId="0" fontId="0" fillId="0" borderId="29" xfId="0" applyBorder="1" applyProtection="1">
      <alignment vertical="center"/>
      <protection locked="0"/>
    </xf>
    <xf numFmtId="5" fontId="18" fillId="9" borderId="27" xfId="0" applyNumberFormat="1" applyFont="1" applyFill="1" applyBorder="1">
      <alignment vertical="center"/>
    </xf>
    <xf numFmtId="0" fontId="0" fillId="9" borderId="28" xfId="0" applyFill="1" applyBorder="1">
      <alignment vertical="center"/>
    </xf>
    <xf numFmtId="0" fontId="0" fillId="9" borderId="29" xfId="0" applyFill="1" applyBorder="1">
      <alignment vertical="center"/>
    </xf>
    <xf numFmtId="0" fontId="18" fillId="0" borderId="0" xfId="0" applyFont="1">
      <alignment vertical="center"/>
    </xf>
    <xf numFmtId="0" fontId="17" fillId="0" borderId="0" xfId="0" applyFont="1">
      <alignment vertical="center"/>
    </xf>
    <xf numFmtId="5" fontId="18" fillId="19" borderId="27" xfId="0" applyNumberFormat="1" applyFont="1" applyFill="1" applyBorder="1" applyProtection="1">
      <alignment vertical="center"/>
      <protection locked="0"/>
    </xf>
    <xf numFmtId="0" fontId="0" fillId="19" borderId="28" xfId="0" applyFill="1" applyBorder="1" applyProtection="1">
      <alignment vertical="center"/>
      <protection locked="0"/>
    </xf>
    <xf numFmtId="0" fontId="0" fillId="19" borderId="29" xfId="0" applyFill="1" applyBorder="1" applyProtection="1">
      <alignment vertical="center"/>
      <protection locked="0"/>
    </xf>
    <xf numFmtId="180" fontId="17" fillId="9" borderId="24" xfId="0" applyNumberFormat="1" applyFont="1" applyFill="1" applyBorder="1">
      <alignment vertical="center"/>
    </xf>
    <xf numFmtId="5" fontId="18" fillId="0" borderId="31" xfId="0" applyNumberFormat="1" applyFont="1" applyBorder="1">
      <alignment vertical="center"/>
    </xf>
    <xf numFmtId="0" fontId="0" fillId="0" borderId="31" xfId="0" applyBorder="1">
      <alignment vertical="center"/>
    </xf>
    <xf numFmtId="5" fontId="18" fillId="0" borderId="0" xfId="0" applyNumberFormat="1" applyFont="1">
      <alignment vertical="center"/>
    </xf>
    <xf numFmtId="188" fontId="21" fillId="9" borderId="54" xfId="0" applyNumberFormat="1" applyFont="1" applyFill="1" applyBorder="1">
      <alignment vertical="center"/>
    </xf>
    <xf numFmtId="188" fontId="21" fillId="9" borderId="31" xfId="0" applyNumberFormat="1" applyFont="1" applyFill="1" applyBorder="1">
      <alignment vertical="center"/>
    </xf>
    <xf numFmtId="188" fontId="21" fillId="9" borderId="34" xfId="0" applyNumberFormat="1" applyFont="1" applyFill="1" applyBorder="1">
      <alignment vertical="center"/>
    </xf>
    <xf numFmtId="188" fontId="21" fillId="9" borderId="55" xfId="0" applyNumberFormat="1" applyFont="1" applyFill="1" applyBorder="1">
      <alignment vertical="center"/>
    </xf>
    <xf numFmtId="188" fontId="21" fillId="9" borderId="0" xfId="0" applyNumberFormat="1" applyFont="1" applyFill="1">
      <alignment vertical="center"/>
    </xf>
    <xf numFmtId="188" fontId="21" fillId="9" borderId="56" xfId="0" applyNumberFormat="1" applyFont="1" applyFill="1" applyBorder="1">
      <alignment vertical="center"/>
    </xf>
    <xf numFmtId="188" fontId="21" fillId="9" borderId="57" xfId="0" applyNumberFormat="1" applyFont="1" applyFill="1" applyBorder="1">
      <alignment vertical="center"/>
    </xf>
    <xf numFmtId="188" fontId="21" fillId="9" borderId="58" xfId="0" applyNumberFormat="1" applyFont="1" applyFill="1" applyBorder="1">
      <alignment vertical="center"/>
    </xf>
    <xf numFmtId="188" fontId="21" fillId="9" borderId="59" xfId="0" applyNumberFormat="1" applyFont="1" applyFill="1" applyBorder="1">
      <alignment vertical="center"/>
    </xf>
    <xf numFmtId="188" fontId="26" fillId="9" borderId="60" xfId="0" applyNumberFormat="1" applyFont="1" applyFill="1" applyBorder="1" applyAlignment="1">
      <alignment horizontal="center" vertical="center"/>
    </xf>
    <xf numFmtId="188" fontId="27" fillId="9" borderId="61" xfId="0" applyNumberFormat="1" applyFont="1" applyFill="1" applyBorder="1" applyAlignment="1">
      <alignment horizontal="center" vertical="center"/>
    </xf>
    <xf numFmtId="188" fontId="27" fillId="9" borderId="62" xfId="0" applyNumberFormat="1" applyFont="1" applyFill="1" applyBorder="1" applyAlignment="1">
      <alignment horizontal="center" vertical="center"/>
    </xf>
    <xf numFmtId="188" fontId="28" fillId="19" borderId="60" xfId="0" applyNumberFormat="1" applyFont="1" applyFill="1" applyBorder="1">
      <alignment vertical="center"/>
    </xf>
    <xf numFmtId="188" fontId="14" fillId="19" borderId="62" xfId="0" applyNumberFormat="1" applyFont="1" applyFill="1" applyBorder="1">
      <alignment vertical="center"/>
    </xf>
    <xf numFmtId="0" fontId="43" fillId="0" borderId="24" xfId="0" applyFont="1" applyBorder="1" applyAlignment="1">
      <alignment horizontal="center" vertical="center"/>
    </xf>
    <xf numFmtId="0" fontId="0" fillId="0" borderId="2" xfId="0" applyBorder="1" applyAlignment="1" applyProtection="1">
      <alignment vertical="top"/>
      <protection locked="0"/>
    </xf>
    <xf numFmtId="0" fontId="0" fillId="0" borderId="4" xfId="0" applyBorder="1" applyAlignment="1" applyProtection="1">
      <alignment vertical="top"/>
      <protection locked="0"/>
    </xf>
    <xf numFmtId="0" fontId="0" fillId="0" borderId="25" xfId="0" applyBorder="1" applyAlignment="1" applyProtection="1">
      <alignment vertical="top"/>
      <protection locked="0"/>
    </xf>
    <xf numFmtId="188" fontId="28" fillId="9" borderId="109" xfId="0" applyNumberFormat="1" applyFont="1" applyFill="1" applyBorder="1">
      <alignment vertical="center"/>
    </xf>
    <xf numFmtId="0" fontId="0" fillId="0" borderId="110" xfId="0" applyBorder="1">
      <alignment vertical="center"/>
    </xf>
    <xf numFmtId="0" fontId="0" fillId="0" borderId="55" xfId="0" applyBorder="1">
      <alignment vertical="center"/>
    </xf>
    <xf numFmtId="0" fontId="0" fillId="0" borderId="56" xfId="0" applyBorder="1">
      <alignment vertical="center"/>
    </xf>
    <xf numFmtId="0" fontId="0" fillId="0" borderId="57" xfId="0" applyBorder="1">
      <alignment vertical="center"/>
    </xf>
    <xf numFmtId="0" fontId="0" fillId="0" borderId="59" xfId="0" applyBorder="1">
      <alignment vertical="center"/>
    </xf>
    <xf numFmtId="0" fontId="0" fillId="0" borderId="34" xfId="0" applyBorder="1">
      <alignment vertical="center"/>
    </xf>
    <xf numFmtId="6" fontId="28" fillId="9" borderId="54" xfId="0" applyNumberFormat="1" applyFont="1" applyFill="1" applyBorder="1">
      <alignment vertical="center"/>
    </xf>
    <xf numFmtId="188" fontId="28" fillId="0" borderId="60" xfId="0" applyNumberFormat="1" applyFont="1" applyBorder="1" applyProtection="1">
      <alignment vertical="center"/>
      <protection locked="0"/>
    </xf>
    <xf numFmtId="188" fontId="14" fillId="0" borderId="62" xfId="0" applyNumberFormat="1" applyFont="1" applyBorder="1" applyProtection="1">
      <alignment vertical="center"/>
      <protection locked="0"/>
    </xf>
    <xf numFmtId="188" fontId="28" fillId="19" borderId="60" xfId="0" applyNumberFormat="1" applyFont="1" applyFill="1" applyBorder="1" applyAlignment="1">
      <alignment horizontal="right" vertical="center"/>
    </xf>
    <xf numFmtId="188" fontId="14" fillId="19" borderId="60" xfId="0" applyNumberFormat="1" applyFont="1" applyFill="1" applyBorder="1" applyAlignment="1">
      <alignment horizontal="right" vertical="center"/>
    </xf>
    <xf numFmtId="188" fontId="14" fillId="19" borderId="62" xfId="0" applyNumberFormat="1" applyFont="1" applyFill="1" applyBorder="1" applyAlignment="1">
      <alignment horizontal="right" vertical="center"/>
    </xf>
    <xf numFmtId="188" fontId="14" fillId="0" borderId="60" xfId="0" applyNumberFormat="1" applyFont="1" applyBorder="1" applyProtection="1">
      <alignment vertical="center"/>
      <protection locked="0"/>
    </xf>
    <xf numFmtId="188" fontId="14" fillId="19" borderId="60" xfId="0" applyNumberFormat="1" applyFont="1" applyFill="1" applyBorder="1">
      <alignment vertical="center"/>
    </xf>
    <xf numFmtId="188" fontId="14" fillId="19" borderId="61" xfId="0" applyNumberFormat="1" applyFont="1" applyFill="1" applyBorder="1">
      <alignment vertical="center"/>
    </xf>
    <xf numFmtId="188" fontId="14" fillId="0" borderId="61" xfId="0" applyNumberFormat="1" applyFont="1" applyBorder="1" applyProtection="1">
      <alignment vertical="center"/>
      <protection locked="0"/>
    </xf>
    <xf numFmtId="0" fontId="0" fillId="9" borderId="0" xfId="0" applyFill="1" applyAlignment="1">
      <alignment vertical="top" wrapText="1"/>
    </xf>
    <xf numFmtId="0" fontId="0" fillId="9" borderId="0" xfId="0" applyFill="1" applyAlignment="1">
      <alignment vertical="top"/>
    </xf>
    <xf numFmtId="190" fontId="17" fillId="9" borderId="20" xfId="0" applyNumberFormat="1" applyFont="1" applyFill="1" applyBorder="1">
      <alignment vertical="center"/>
    </xf>
    <xf numFmtId="190" fontId="0" fillId="9" borderId="40" xfId="0" applyNumberFormat="1" applyFill="1" applyBorder="1">
      <alignment vertical="center"/>
    </xf>
    <xf numFmtId="190" fontId="0" fillId="9" borderId="21" xfId="0" applyNumberFormat="1" applyFill="1" applyBorder="1">
      <alignment vertical="center"/>
    </xf>
    <xf numFmtId="0" fontId="37" fillId="0" borderId="4" xfId="0" applyFont="1" applyBorder="1" applyAlignment="1">
      <alignment shrinkToFit="1"/>
    </xf>
    <xf numFmtId="0" fontId="38" fillId="0" borderId="0" xfId="0" applyFont="1" applyAlignment="1">
      <alignment shrinkToFit="1"/>
    </xf>
    <xf numFmtId="189" fontId="3" fillId="11" borderId="49" xfId="0" applyNumberFormat="1" applyFont="1" applyFill="1" applyBorder="1" applyAlignment="1">
      <alignment horizontal="center" shrinkToFit="1"/>
    </xf>
    <xf numFmtId="189" fontId="3" fillId="11" borderId="15" xfId="0" applyNumberFormat="1" applyFont="1" applyFill="1" applyBorder="1" applyAlignment="1">
      <alignment horizontal="center" shrinkToFit="1"/>
    </xf>
    <xf numFmtId="189" fontId="0" fillId="0" borderId="0" xfId="0" applyNumberFormat="1">
      <alignment vertical="center"/>
    </xf>
    <xf numFmtId="189" fontId="0" fillId="9" borderId="41" xfId="0" applyNumberFormat="1" applyFill="1" applyBorder="1">
      <alignment vertical="center"/>
    </xf>
    <xf numFmtId="0" fontId="0" fillId="9" borderId="41" xfId="0" applyFill="1" applyBorder="1">
      <alignment vertical="center"/>
    </xf>
    <xf numFmtId="188" fontId="20" fillId="9" borderId="20" xfId="0" applyNumberFormat="1" applyFont="1" applyFill="1" applyBorder="1">
      <alignment vertical="center"/>
    </xf>
    <xf numFmtId="188" fontId="20" fillId="9" borderId="40" xfId="0" applyNumberFormat="1" applyFont="1" applyFill="1" applyBorder="1">
      <alignment vertical="center"/>
    </xf>
    <xf numFmtId="188" fontId="20" fillId="9" borderId="21" xfId="0" applyNumberFormat="1" applyFont="1" applyFill="1" applyBorder="1">
      <alignment vertical="center"/>
    </xf>
    <xf numFmtId="189" fontId="3" fillId="11" borderId="1" xfId="0" applyNumberFormat="1" applyFont="1" applyFill="1" applyBorder="1" applyAlignment="1">
      <alignment shrinkToFit="1"/>
    </xf>
    <xf numFmtId="0" fontId="0" fillId="0" borderId="10" xfId="0" applyBorder="1" applyAlignment="1">
      <alignment shrinkToFit="1"/>
    </xf>
    <xf numFmtId="38" fontId="3" fillId="11" borderId="1" xfId="0" applyNumberFormat="1" applyFont="1" applyFill="1" applyBorder="1" applyAlignment="1">
      <alignment horizontal="right" shrinkToFit="1"/>
    </xf>
    <xf numFmtId="38" fontId="0" fillId="0" borderId="10" xfId="0" applyNumberFormat="1" applyBorder="1" applyAlignment="1">
      <alignment horizontal="right" shrinkToFit="1"/>
    </xf>
    <xf numFmtId="180" fontId="3" fillId="11" borderId="1" xfId="0" applyNumberFormat="1" applyFont="1" applyFill="1" applyBorder="1" applyAlignment="1">
      <alignment shrinkToFit="1"/>
    </xf>
    <xf numFmtId="38" fontId="3" fillId="11" borderId="10" xfId="0" applyNumberFormat="1" applyFont="1" applyFill="1" applyBorder="1" applyAlignment="1">
      <alignment horizontal="right" shrinkToFit="1"/>
    </xf>
    <xf numFmtId="0" fontId="0" fillId="0" borderId="20" xfId="0" applyBorder="1">
      <alignment vertical="center"/>
    </xf>
    <xf numFmtId="0" fontId="0" fillId="0" borderId="40" xfId="0" applyBorder="1">
      <alignment vertical="center"/>
    </xf>
    <xf numFmtId="0" fontId="0" fillId="0" borderId="21" xfId="0" applyBorder="1">
      <alignment vertical="center"/>
    </xf>
    <xf numFmtId="38" fontId="53" fillId="0" borderId="28" xfId="0" applyNumberFormat="1" applyFont="1" applyBorder="1">
      <alignment vertical="center"/>
    </xf>
    <xf numFmtId="38" fontId="0" fillId="0" borderId="29" xfId="0" applyNumberFormat="1" applyBorder="1">
      <alignment vertical="center"/>
    </xf>
    <xf numFmtId="0" fontId="57" fillId="21" borderId="27" xfId="0" applyFont="1" applyFill="1" applyBorder="1" applyAlignment="1">
      <alignment horizontal="center" vertical="center"/>
    </xf>
    <xf numFmtId="0" fontId="57" fillId="21" borderId="28" xfId="0" applyFont="1" applyFill="1" applyBorder="1" applyAlignment="1">
      <alignment horizontal="center" vertical="center"/>
    </xf>
    <xf numFmtId="0" fontId="57" fillId="21" borderId="29" xfId="0" applyFont="1" applyFill="1" applyBorder="1" applyAlignment="1">
      <alignment horizontal="center" vertical="center"/>
    </xf>
    <xf numFmtId="195" fontId="23" fillId="12" borderId="91" xfId="0" applyNumberFormat="1" applyFont="1" applyFill="1" applyBorder="1" applyAlignment="1">
      <alignment horizontal="center" vertical="center"/>
    </xf>
    <xf numFmtId="0" fontId="0" fillId="0" borderId="93" xfId="0" applyBorder="1" applyAlignment="1">
      <alignment horizontal="center" vertical="center"/>
    </xf>
    <xf numFmtId="0" fontId="20" fillId="9" borderId="20" xfId="0" applyFont="1" applyFill="1" applyBorder="1" applyAlignment="1">
      <alignment horizontal="center" vertical="center"/>
    </xf>
    <xf numFmtId="0" fontId="64" fillId="0" borderId="40" xfId="0" applyFont="1" applyBorder="1" applyAlignment="1">
      <alignment horizontal="center" vertical="center"/>
    </xf>
    <xf numFmtId="0" fontId="64" fillId="0" borderId="21" xfId="0" applyFont="1" applyBorder="1" applyAlignment="1">
      <alignment horizontal="center" vertical="center"/>
    </xf>
    <xf numFmtId="197" fontId="28" fillId="9" borderId="54" xfId="0" applyNumberFormat="1" applyFont="1" applyFill="1" applyBorder="1">
      <alignment vertical="center"/>
    </xf>
    <xf numFmtId="197" fontId="28" fillId="9" borderId="31" xfId="0" applyNumberFormat="1" applyFont="1" applyFill="1" applyBorder="1">
      <alignment vertical="center"/>
    </xf>
    <xf numFmtId="197" fontId="28" fillId="9" borderId="34" xfId="0" applyNumberFormat="1" applyFont="1" applyFill="1" applyBorder="1">
      <alignment vertical="center"/>
    </xf>
    <xf numFmtId="197" fontId="28" fillId="9" borderId="55" xfId="0" applyNumberFormat="1" applyFont="1" applyFill="1" applyBorder="1">
      <alignment vertical="center"/>
    </xf>
    <xf numFmtId="197" fontId="28" fillId="9" borderId="0" xfId="0" applyNumberFormat="1" applyFont="1" applyFill="1">
      <alignment vertical="center"/>
    </xf>
    <xf numFmtId="197" fontId="28" fillId="9" borderId="56" xfId="0" applyNumberFormat="1" applyFont="1" applyFill="1" applyBorder="1">
      <alignment vertical="center"/>
    </xf>
    <xf numFmtId="197" fontId="28" fillId="9" borderId="57" xfId="0" applyNumberFormat="1" applyFont="1" applyFill="1" applyBorder="1">
      <alignment vertical="center"/>
    </xf>
    <xf numFmtId="197" fontId="28" fillId="9" borderId="58" xfId="0" applyNumberFormat="1" applyFont="1" applyFill="1" applyBorder="1">
      <alignment vertical="center"/>
    </xf>
    <xf numFmtId="197" fontId="28" fillId="9" borderId="59" xfId="0" applyNumberFormat="1" applyFont="1" applyFill="1" applyBorder="1">
      <alignment vertical="center"/>
    </xf>
    <xf numFmtId="190" fontId="28" fillId="9" borderId="54" xfId="0" applyNumberFormat="1" applyFont="1" applyFill="1" applyBorder="1">
      <alignment vertical="center"/>
    </xf>
    <xf numFmtId="190" fontId="0" fillId="9" borderId="31" xfId="0" applyNumberFormat="1" applyFill="1" applyBorder="1">
      <alignment vertical="center"/>
    </xf>
    <xf numFmtId="190" fontId="0" fillId="9" borderId="34" xfId="0" applyNumberFormat="1" applyFill="1" applyBorder="1">
      <alignment vertical="center"/>
    </xf>
    <xf numFmtId="190" fontId="0" fillId="9" borderId="55" xfId="0" applyNumberFormat="1" applyFill="1" applyBorder="1">
      <alignment vertical="center"/>
    </xf>
    <xf numFmtId="190" fontId="0" fillId="9" borderId="0" xfId="0" applyNumberFormat="1" applyFill="1">
      <alignment vertical="center"/>
    </xf>
    <xf numFmtId="190" fontId="0" fillId="9" borderId="56" xfId="0" applyNumberFormat="1" applyFill="1" applyBorder="1">
      <alignment vertical="center"/>
    </xf>
    <xf numFmtId="189" fontId="28" fillId="9" borderId="54" xfId="0" applyNumberFormat="1" applyFont="1" applyFill="1" applyBorder="1">
      <alignment vertical="center"/>
    </xf>
    <xf numFmtId="189" fontId="0" fillId="9" borderId="31" xfId="0" applyNumberFormat="1" applyFill="1" applyBorder="1">
      <alignment vertical="center"/>
    </xf>
    <xf numFmtId="189" fontId="0" fillId="9" borderId="34" xfId="0" applyNumberFormat="1" applyFill="1" applyBorder="1">
      <alignment vertical="center"/>
    </xf>
    <xf numFmtId="189" fontId="0" fillId="9" borderId="55" xfId="0" applyNumberFormat="1" applyFill="1" applyBorder="1">
      <alignment vertical="center"/>
    </xf>
    <xf numFmtId="189" fontId="0" fillId="9" borderId="0" xfId="0" applyNumberFormat="1" applyFill="1">
      <alignment vertical="center"/>
    </xf>
    <xf numFmtId="189" fontId="0" fillId="9" borderId="56" xfId="0" applyNumberFormat="1" applyFill="1" applyBorder="1">
      <alignment vertical="center"/>
    </xf>
    <xf numFmtId="189" fontId="0" fillId="9" borderId="57" xfId="0" applyNumberFormat="1" applyFill="1" applyBorder="1">
      <alignment vertical="center"/>
    </xf>
    <xf numFmtId="189" fontId="0" fillId="9" borderId="58" xfId="0" applyNumberFormat="1" applyFill="1" applyBorder="1">
      <alignment vertical="center"/>
    </xf>
    <xf numFmtId="189" fontId="0" fillId="9" borderId="59" xfId="0" applyNumberFormat="1" applyFill="1" applyBorder="1">
      <alignment vertical="center"/>
    </xf>
    <xf numFmtId="197" fontId="28" fillId="9" borderId="24" xfId="0" applyNumberFormat="1" applyFont="1" applyFill="1" applyBorder="1">
      <alignment vertical="center"/>
    </xf>
    <xf numFmtId="190" fontId="28" fillId="9" borderId="31" xfId="0" applyNumberFormat="1" applyFont="1" applyFill="1" applyBorder="1">
      <alignment vertical="center"/>
    </xf>
    <xf numFmtId="190" fontId="28" fillId="9" borderId="34" xfId="0" applyNumberFormat="1" applyFont="1" applyFill="1" applyBorder="1">
      <alignment vertical="center"/>
    </xf>
    <xf numFmtId="190" fontId="28" fillId="9" borderId="55" xfId="0" applyNumberFormat="1" applyFont="1" applyFill="1" applyBorder="1">
      <alignment vertical="center"/>
    </xf>
    <xf numFmtId="190" fontId="28" fillId="9" borderId="0" xfId="0" applyNumberFormat="1" applyFont="1" applyFill="1">
      <alignment vertical="center"/>
    </xf>
    <xf numFmtId="190" fontId="28" fillId="9" borderId="56" xfId="0" applyNumberFormat="1" applyFont="1" applyFill="1" applyBorder="1">
      <alignment vertical="center"/>
    </xf>
    <xf numFmtId="190" fontId="0" fillId="0" borderId="31" xfId="0" applyNumberFormat="1" applyBorder="1">
      <alignment vertical="center"/>
    </xf>
    <xf numFmtId="190" fontId="0" fillId="0" borderId="34" xfId="0" applyNumberFormat="1" applyBorder="1">
      <alignment vertical="center"/>
    </xf>
    <xf numFmtId="190" fontId="0" fillId="0" borderId="55" xfId="0" applyNumberFormat="1" applyBorder="1">
      <alignment vertical="center"/>
    </xf>
    <xf numFmtId="190" fontId="0" fillId="0" borderId="0" xfId="0" applyNumberFormat="1">
      <alignment vertical="center"/>
    </xf>
    <xf numFmtId="190" fontId="0" fillId="0" borderId="56" xfId="0" applyNumberFormat="1" applyBorder="1">
      <alignment vertical="center"/>
    </xf>
    <xf numFmtId="0" fontId="47" fillId="9" borderId="9" xfId="0" applyFont="1" applyFill="1" applyBorder="1">
      <alignment vertical="center"/>
    </xf>
    <xf numFmtId="176" fontId="35" fillId="9" borderId="3" xfId="0" applyNumberFormat="1" applyFont="1" applyFill="1" applyBorder="1" applyAlignment="1" applyProtection="1">
      <protection locked="0"/>
    </xf>
    <xf numFmtId="0" fontId="65" fillId="6" borderId="68" xfId="0" applyFont="1" applyFill="1" applyBorder="1" applyAlignment="1" applyProtection="1">
      <alignment horizontal="center"/>
      <protection hidden="1"/>
    </xf>
    <xf numFmtId="0" fontId="65" fillId="6" borderId="69" xfId="0" applyFont="1" applyFill="1" applyBorder="1" applyAlignment="1" applyProtection="1">
      <alignment horizontal="center"/>
      <protection hidden="1"/>
    </xf>
    <xf numFmtId="0" fontId="66" fillId="0" borderId="0" xfId="0" applyFont="1" applyAlignment="1" applyProtection="1">
      <protection hidden="1"/>
    </xf>
    <xf numFmtId="176" fontId="67" fillId="0" borderId="77" xfId="0" applyNumberFormat="1" applyFont="1" applyBorder="1" applyAlignment="1" applyProtection="1">
      <protection locked="0"/>
    </xf>
    <xf numFmtId="187" fontId="48" fillId="18" borderId="64" xfId="0" applyNumberFormat="1" applyFont="1" applyFill="1" applyBorder="1" applyAlignment="1" applyProtection="1">
      <alignment horizontal="center"/>
      <protection locked="0"/>
    </xf>
    <xf numFmtId="187" fontId="48" fillId="18" borderId="84" xfId="0" applyNumberFormat="1" applyFont="1" applyFill="1" applyBorder="1" applyAlignment="1" applyProtection="1">
      <alignment horizontal="center"/>
      <protection locked="0"/>
    </xf>
    <xf numFmtId="187" fontId="48" fillId="18" borderId="66" xfId="0" applyNumberFormat="1" applyFont="1" applyFill="1" applyBorder="1" applyAlignment="1" applyProtection="1">
      <alignment horizontal="center"/>
      <protection locked="0"/>
    </xf>
    <xf numFmtId="187" fontId="48" fillId="18" borderId="97" xfId="0" applyNumberFormat="1" applyFont="1" applyFill="1" applyBorder="1" applyAlignment="1" applyProtection="1">
      <alignment horizontal="center"/>
      <protection locked="0"/>
    </xf>
    <xf numFmtId="187" fontId="48" fillId="18" borderId="99" xfId="0" applyNumberFormat="1" applyFont="1" applyFill="1" applyBorder="1" applyAlignment="1" applyProtection="1">
      <alignment horizontal="center"/>
      <protection locked="0"/>
    </xf>
    <xf numFmtId="187" fontId="48" fillId="18" borderId="79" xfId="0" applyNumberFormat="1" applyFont="1" applyFill="1" applyBorder="1" applyAlignment="1" applyProtection="1">
      <alignment horizontal="center"/>
      <protection locked="0"/>
    </xf>
    <xf numFmtId="187" fontId="48" fillId="18" borderId="77" xfId="0" applyNumberFormat="1" applyFont="1" applyFill="1" applyBorder="1" applyAlignment="1" applyProtection="1">
      <alignment horizontal="center"/>
      <protection locked="0"/>
    </xf>
    <xf numFmtId="187" fontId="48" fillId="18" borderId="101" xfId="0" applyNumberFormat="1" applyFont="1" applyFill="1" applyBorder="1" applyAlignment="1" applyProtection="1">
      <alignment horizontal="center"/>
      <protection locked="0"/>
    </xf>
    <xf numFmtId="0" fontId="23" fillId="17" borderId="83" xfId="0" applyFont="1" applyFill="1" applyBorder="1" applyAlignment="1" applyProtection="1">
      <alignment shrinkToFit="1"/>
      <protection locked="0"/>
    </xf>
    <xf numFmtId="0" fontId="23" fillId="17" borderId="78" xfId="0" applyFont="1" applyFill="1" applyBorder="1" applyAlignment="1" applyProtection="1">
      <alignment shrinkToFit="1"/>
      <protection locked="0"/>
    </xf>
    <xf numFmtId="0" fontId="23" fillId="17" borderId="76" xfId="0" applyFont="1" applyFill="1" applyBorder="1" applyAlignment="1" applyProtection="1">
      <alignment shrinkToFit="1"/>
      <protection locked="0"/>
    </xf>
    <xf numFmtId="0" fontId="23" fillId="17" borderId="98" xfId="0" applyFont="1" applyFill="1" applyBorder="1" applyAlignment="1" applyProtection="1">
      <alignment shrinkToFit="1"/>
      <protection locked="0"/>
    </xf>
    <xf numFmtId="0" fontId="23" fillId="17" borderId="1" xfId="0" applyFont="1" applyFill="1" applyBorder="1" applyAlignment="1" applyProtection="1">
      <alignment shrinkToFit="1"/>
      <protection locked="0"/>
    </xf>
    <xf numFmtId="0" fontId="9" fillId="5" borderId="18" xfId="0" applyFont="1" applyFill="1" applyBorder="1" applyAlignment="1">
      <alignment horizontal="center" shrinkToFit="1"/>
    </xf>
    <xf numFmtId="0" fontId="35" fillId="0" borderId="5" xfId="0" applyFont="1" applyFill="1" applyBorder="1" applyAlignment="1" applyProtection="1">
      <alignment shrinkToFit="1"/>
      <protection locked="0"/>
    </xf>
    <xf numFmtId="0" fontId="29" fillId="20" borderId="33" xfId="0" applyFont="1" applyFill="1" applyBorder="1" applyAlignment="1">
      <alignment horizontal="center" shrinkToFit="1"/>
    </xf>
    <xf numFmtId="0" fontId="65" fillId="20" borderId="9" xfId="0" applyFont="1" applyFill="1" applyBorder="1" applyAlignment="1">
      <alignment shrinkToFit="1"/>
    </xf>
    <xf numFmtId="0" fontId="29" fillId="20" borderId="20" xfId="0" applyFont="1" applyFill="1" applyBorder="1" applyAlignment="1">
      <alignment horizontal="center" shrinkToFit="1"/>
    </xf>
    <xf numFmtId="176" fontId="65" fillId="20" borderId="9" xfId="0" applyNumberFormat="1" applyFont="1" applyFill="1" applyBorder="1" applyAlignment="1">
      <alignment shrinkToFit="1"/>
    </xf>
    <xf numFmtId="0" fontId="35" fillId="0" borderId="22" xfId="0" applyFont="1" applyFill="1" applyBorder="1" applyAlignment="1" applyProtection="1">
      <alignment shrinkToFit="1"/>
      <protection locked="0"/>
    </xf>
    <xf numFmtId="0" fontId="35" fillId="9" borderId="6" xfId="0" applyFont="1" applyFill="1" applyBorder="1" applyAlignment="1" applyProtection="1">
      <alignment shrinkToFit="1"/>
      <protection locked="0"/>
    </xf>
    <xf numFmtId="0" fontId="35" fillId="9" borderId="5" xfId="0" applyFont="1" applyFill="1" applyBorder="1" applyAlignment="1" applyProtection="1">
      <alignment shrinkToFit="1"/>
      <protection locked="0"/>
    </xf>
    <xf numFmtId="0" fontId="35" fillId="19" borderId="5" xfId="0" applyFont="1" applyFill="1" applyBorder="1" applyAlignment="1" applyProtection="1">
      <alignment shrinkToFit="1"/>
      <protection locked="0"/>
    </xf>
    <xf numFmtId="0" fontId="35" fillId="19" borderId="7" xfId="0" applyFont="1" applyFill="1" applyBorder="1" applyAlignment="1" applyProtection="1">
      <alignment shrinkToFit="1"/>
      <protection locked="0"/>
    </xf>
    <xf numFmtId="0" fontId="23" fillId="8" borderId="0" xfId="0" applyFont="1" applyFill="1" applyBorder="1" applyAlignment="1" applyProtection="1">
      <alignment shrinkToFit="1"/>
      <protection locked="0"/>
    </xf>
    <xf numFmtId="0" fontId="23" fillId="7" borderId="0" xfId="0" applyFont="1" applyFill="1" applyBorder="1" applyAlignment="1" applyProtection="1">
      <alignment shrinkToFit="1"/>
      <protection locked="0"/>
    </xf>
    <xf numFmtId="0" fontId="3" fillId="5" borderId="11" xfId="0" applyFont="1" applyFill="1" applyBorder="1" applyAlignment="1">
      <alignment shrinkToFit="1"/>
    </xf>
    <xf numFmtId="0" fontId="9" fillId="5" borderId="13" xfId="0" applyFont="1" applyFill="1" applyBorder="1" applyAlignment="1">
      <alignment horizontal="center" shrinkToFit="1"/>
    </xf>
    <xf numFmtId="176" fontId="41" fillId="9" borderId="36" xfId="0" applyNumberFormat="1" applyFont="1" applyFill="1" applyBorder="1" applyAlignment="1">
      <alignment shrinkToFit="1"/>
    </xf>
    <xf numFmtId="176" fontId="41" fillId="9" borderId="37" xfId="0" applyNumberFormat="1" applyFont="1" applyFill="1" applyBorder="1" applyAlignment="1">
      <alignment shrinkToFit="1"/>
    </xf>
    <xf numFmtId="176" fontId="42" fillId="0" borderId="37" xfId="0" applyNumberFormat="1" applyFont="1" applyBorder="1" applyAlignment="1" applyProtection="1">
      <alignment shrinkToFit="1"/>
      <protection locked="0"/>
    </xf>
    <xf numFmtId="176" fontId="42" fillId="0" borderId="19" xfId="0" applyNumberFormat="1" applyFont="1" applyBorder="1" applyAlignment="1" applyProtection="1">
      <alignment shrinkToFit="1"/>
      <protection locked="0"/>
    </xf>
    <xf numFmtId="176" fontId="29" fillId="0" borderId="131" xfId="0" applyNumberFormat="1" applyFont="1" applyBorder="1" applyAlignment="1" applyProtection="1">
      <alignment shrinkToFit="1"/>
      <protection locked="0"/>
    </xf>
    <xf numFmtId="176" fontId="29" fillId="0" borderId="8" xfId="0" applyNumberFormat="1" applyFont="1" applyBorder="1" applyAlignment="1" applyProtection="1">
      <alignment shrinkToFit="1"/>
      <protection locked="0"/>
    </xf>
    <xf numFmtId="0" fontId="68" fillId="9" borderId="107" xfId="0" applyFont="1" applyFill="1" applyBorder="1" applyAlignment="1" applyProtection="1">
      <protection hidden="1"/>
    </xf>
    <xf numFmtId="176" fontId="35" fillId="18" borderId="81" xfId="0" applyNumberFormat="1" applyFont="1" applyFill="1" applyBorder="1" applyAlignment="1" applyProtection="1">
      <protection locked="0"/>
    </xf>
    <xf numFmtId="176" fontId="35" fillId="18" borderId="75" xfId="0" applyNumberFormat="1" applyFont="1" applyFill="1" applyBorder="1" applyAlignment="1" applyProtection="1">
      <protection locked="0"/>
    </xf>
    <xf numFmtId="187" fontId="48" fillId="18" borderId="74" xfId="0" applyNumberFormat="1" applyFont="1" applyFill="1" applyBorder="1" applyAlignment="1">
      <alignment horizontal="center"/>
    </xf>
    <xf numFmtId="187" fontId="48" fillId="18" borderId="78" xfId="0" applyNumberFormat="1" applyFont="1" applyFill="1" applyBorder="1" applyAlignment="1">
      <alignment horizontal="center"/>
    </xf>
    <xf numFmtId="187" fontId="48" fillId="18" borderId="83" xfId="0" applyNumberFormat="1" applyFont="1" applyFill="1" applyBorder="1" applyAlignment="1">
      <alignment horizontal="center"/>
    </xf>
    <xf numFmtId="187" fontId="48" fillId="18" borderId="85" xfId="0" applyNumberFormat="1" applyFont="1" applyFill="1" applyBorder="1" applyAlignment="1">
      <alignment horizontal="center"/>
    </xf>
    <xf numFmtId="187" fontId="48" fillId="18" borderId="70" xfId="0" applyNumberFormat="1" applyFont="1" applyFill="1" applyBorder="1" applyAlignment="1">
      <alignment horizontal="center"/>
    </xf>
    <xf numFmtId="187" fontId="48" fillId="18" borderId="76" xfId="0" applyNumberFormat="1" applyFont="1" applyFill="1" applyBorder="1" applyAlignment="1">
      <alignment horizontal="center"/>
    </xf>
    <xf numFmtId="187" fontId="48" fillId="18" borderId="73" xfId="0" applyNumberFormat="1" applyFont="1" applyFill="1" applyBorder="1" applyAlignment="1">
      <alignment horizontal="center"/>
    </xf>
    <xf numFmtId="187" fontId="35" fillId="18" borderId="74" xfId="0" applyNumberFormat="1" applyFont="1" applyFill="1" applyBorder="1" applyAlignment="1">
      <alignment horizontal="center"/>
    </xf>
    <xf numFmtId="187" fontId="35" fillId="18" borderId="78" xfId="0" applyNumberFormat="1" applyFont="1" applyFill="1" applyBorder="1" applyAlignment="1">
      <alignment horizontal="center"/>
    </xf>
    <xf numFmtId="187" fontId="35" fillId="18" borderId="83" xfId="0" applyNumberFormat="1" applyFont="1" applyFill="1" applyBorder="1" applyAlignment="1">
      <alignment horizontal="center"/>
    </xf>
    <xf numFmtId="187" fontId="35" fillId="18" borderId="85" xfId="0" applyNumberFormat="1" applyFont="1" applyFill="1" applyBorder="1" applyAlignment="1">
      <alignment horizontal="center"/>
    </xf>
    <xf numFmtId="176" fontId="48" fillId="18" borderId="64" xfId="0" applyNumberFormat="1" applyFont="1" applyFill="1" applyBorder="1" applyAlignment="1">
      <alignment horizontal="center"/>
    </xf>
    <xf numFmtId="176" fontId="48" fillId="18" borderId="72" xfId="0" applyNumberFormat="1" applyFont="1" applyFill="1" applyBorder="1" applyAlignment="1">
      <alignment horizontal="center"/>
    </xf>
    <xf numFmtId="0" fontId="48" fillId="18" borderId="66" xfId="0" applyFont="1" applyFill="1" applyBorder="1" applyAlignment="1">
      <alignment horizontal="center"/>
    </xf>
    <xf numFmtId="176" fontId="35" fillId="18" borderId="79" xfId="0" applyNumberFormat="1" applyFont="1" applyFill="1" applyBorder="1" applyAlignment="1" applyProtection="1">
      <protection locked="0"/>
    </xf>
    <xf numFmtId="176" fontId="35" fillId="18" borderId="84" xfId="0" applyNumberFormat="1" applyFont="1" applyFill="1" applyBorder="1" applyAlignment="1" applyProtection="1">
      <protection locked="0"/>
    </xf>
    <xf numFmtId="176" fontId="35" fillId="18" borderId="77" xfId="0" applyNumberFormat="1" applyFont="1" applyFill="1" applyBorder="1" applyAlignment="1" applyProtection="1">
      <protection locked="0"/>
    </xf>
    <xf numFmtId="0" fontId="23" fillId="4" borderId="3" xfId="0" applyFont="1" applyFill="1" applyBorder="1" applyAlignment="1" applyProtection="1">
      <alignment shrinkToFit="1"/>
      <protection locked="0"/>
    </xf>
    <xf numFmtId="0" fontId="35" fillId="0" borderId="1" xfId="0" applyFont="1" applyFill="1" applyBorder="1" applyAlignment="1" applyProtection="1">
      <alignment shrinkToFit="1"/>
      <protection locked="0"/>
    </xf>
    <xf numFmtId="0" fontId="29" fillId="2" borderId="20" xfId="0" applyFont="1" applyFill="1" applyBorder="1" applyAlignment="1">
      <alignment horizontal="center" shrinkToFit="1"/>
    </xf>
    <xf numFmtId="0" fontId="29" fillId="2" borderId="33" xfId="0" applyFont="1" applyFill="1" applyBorder="1" applyAlignment="1">
      <alignment horizontal="center" shrinkToFit="1"/>
    </xf>
    <xf numFmtId="176" fontId="29" fillId="20" borderId="9" xfId="0" applyNumberFormat="1" applyFont="1" applyFill="1" applyBorder="1" applyAlignment="1" applyProtection="1">
      <alignment shrinkToFit="1"/>
      <protection locked="0"/>
    </xf>
    <xf numFmtId="176" fontId="5" fillId="20" borderId="120" xfId="0" applyNumberFormat="1" applyFont="1" applyFill="1" applyBorder="1" applyAlignment="1" applyProtection="1">
      <alignment shrinkToFit="1"/>
      <protection locked="0"/>
    </xf>
    <xf numFmtId="0" fontId="0" fillId="20" borderId="0" xfId="0" applyFill="1">
      <alignment vertical="center"/>
    </xf>
    <xf numFmtId="0" fontId="29" fillId="2" borderId="132" xfId="0" applyFont="1" applyFill="1" applyBorder="1" applyAlignment="1">
      <alignment horizontal="center" shrinkToFit="1"/>
    </xf>
    <xf numFmtId="176" fontId="29" fillId="2" borderId="38" xfId="0" applyNumberFormat="1" applyFont="1" applyFill="1" applyBorder="1" applyAlignment="1">
      <alignment shrinkToFit="1"/>
    </xf>
    <xf numFmtId="176" fontId="29" fillId="2" borderId="133" xfId="0" applyNumberFormat="1" applyFont="1" applyFill="1" applyBorder="1" applyAlignment="1">
      <alignment shrinkToFit="1"/>
    </xf>
    <xf numFmtId="0" fontId="35" fillId="11" borderId="46" xfId="0" applyFont="1" applyFill="1" applyBorder="1" applyAlignment="1">
      <alignment shrinkToFit="1"/>
    </xf>
    <xf numFmtId="176" fontId="29" fillId="0" borderId="134" xfId="0" applyNumberFormat="1" applyFont="1" applyBorder="1" applyAlignment="1">
      <alignment shrinkToFit="1"/>
    </xf>
    <xf numFmtId="176" fontId="42" fillId="0" borderId="135" xfId="0" applyNumberFormat="1" applyFont="1" applyBorder="1" applyAlignment="1" applyProtection="1">
      <alignment shrinkToFit="1"/>
      <protection locked="0"/>
    </xf>
    <xf numFmtId="176" fontId="54" fillId="5" borderId="9" xfId="0" applyNumberFormat="1" applyFont="1" applyFill="1" applyBorder="1" applyAlignment="1">
      <alignment horizontal="center" shrinkToFit="1"/>
    </xf>
    <xf numFmtId="0" fontId="29" fillId="0" borderId="39" xfId="0" applyFont="1" applyFill="1" applyBorder="1" applyAlignment="1">
      <alignment horizontal="center" shrinkToFit="1"/>
    </xf>
    <xf numFmtId="176" fontId="29" fillId="0" borderId="39" xfId="0" applyNumberFormat="1" applyFont="1" applyFill="1" applyBorder="1" applyAlignment="1">
      <alignment shrinkToFit="1"/>
    </xf>
    <xf numFmtId="0" fontId="0" fillId="18" borderId="0" xfId="0" applyFill="1">
      <alignment vertical="center"/>
    </xf>
    <xf numFmtId="180" fontId="69" fillId="0" borderId="9" xfId="0" applyNumberFormat="1" applyFont="1" applyBorder="1">
      <alignment vertical="center"/>
    </xf>
    <xf numFmtId="0" fontId="47" fillId="24" borderId="0" xfId="1" applyFont="1" applyFill="1"/>
    <xf numFmtId="0" fontId="60" fillId="24" borderId="0" xfId="1" applyFill="1"/>
    <xf numFmtId="0" fontId="59" fillId="25" borderId="0" xfId="2" applyFill="1">
      <alignment vertical="center"/>
    </xf>
    <xf numFmtId="5" fontId="51" fillId="25" borderId="0" xfId="1" applyNumberFormat="1" applyFont="1" applyFill="1"/>
    <xf numFmtId="5" fontId="70" fillId="25" borderId="0" xfId="1" applyNumberFormat="1" applyFont="1" applyFill="1"/>
  </cellXfs>
  <cellStyles count="4">
    <cellStyle name="桁区切り 2" xfId="3" xr:uid="{1D2733E5-EEC0-4FE0-AACB-6DBF0EF3F5F0}"/>
    <cellStyle name="標準" xfId="0" builtinId="0"/>
    <cellStyle name="標準 2 2" xfId="2" xr:uid="{EE78A8F6-8489-4E3B-AE64-CCEEDDF95993}"/>
    <cellStyle name="標準 3" xfId="1" xr:uid="{F1326B50-0668-443A-8525-345600B41F58}"/>
  </cellStyles>
  <dxfs count="0"/>
  <tableStyles count="0" defaultTableStyle="TableStyleMedium2" defaultPivotStyle="PivotStyleLight16"/>
  <colors>
    <mruColors>
      <color rgb="FF9E9093"/>
      <color rgb="FF88787B"/>
      <color rgb="FF6F6164"/>
      <color rgb="FFBBB1B3"/>
      <color rgb="FFCC99FF"/>
      <color rgb="FFFFCC99"/>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ja-JP"/>
              <a:t>来期</a:t>
            </a:r>
          </a:p>
        </c:rich>
      </c:tx>
      <c:layout>
        <c:manualLayout>
          <c:xMode val="edge"/>
          <c:yMode val="edge"/>
          <c:x val="0.4494949494949495"/>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ja-JP"/>
        </a:p>
      </c:txPr>
    </c:title>
    <c:autoTitleDeleted val="0"/>
    <c:plotArea>
      <c:layout>
        <c:manualLayout>
          <c:layoutTarget val="inner"/>
          <c:xMode val="edge"/>
          <c:yMode val="edge"/>
          <c:x val="9.5241650678734732E-2"/>
          <c:y val="0.1096756287816964"/>
          <c:w val="0.85255821504393592"/>
          <c:h val="0.80536513818125677"/>
        </c:manualLayout>
      </c:layout>
      <c:scatterChart>
        <c:scatterStyle val="lineMarker"/>
        <c:varyColors val="0"/>
        <c:ser>
          <c:idx val="0"/>
          <c:order val="0"/>
          <c:tx>
            <c:strRef>
              <c:f>損益分岐点!$I$2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F200-4332-BBC9-9A98442D1BB1}"/>
                </c:ext>
              </c:extLst>
            </c:dLbl>
            <c:dLbl>
              <c:idx val="1"/>
              <c:delete val="1"/>
              <c:extLst>
                <c:ext xmlns:c15="http://schemas.microsoft.com/office/drawing/2012/chart" uri="{CE6537A1-D6FC-4f65-9D91-7224C49458BB}"/>
                <c:ext xmlns:c16="http://schemas.microsoft.com/office/drawing/2014/chart" uri="{C3380CC4-5D6E-409C-BE32-E72D297353CC}">
                  <c16:uniqueId val="{00000001-F200-4332-BBC9-9A98442D1BB1}"/>
                </c:ext>
              </c:extLst>
            </c:dLbl>
            <c:dLbl>
              <c:idx val="2"/>
              <c:delete val="1"/>
              <c:extLst>
                <c:ext xmlns:c15="http://schemas.microsoft.com/office/drawing/2012/chart" uri="{CE6537A1-D6FC-4f65-9D91-7224C49458BB}"/>
                <c:ext xmlns:c16="http://schemas.microsoft.com/office/drawing/2014/chart" uri="{C3380CC4-5D6E-409C-BE32-E72D297353CC}">
                  <c16:uniqueId val="{00000002-F200-4332-BBC9-9A98442D1BB1}"/>
                </c:ext>
              </c:extLst>
            </c:dLbl>
            <c:dLbl>
              <c:idx val="3"/>
              <c:delete val="1"/>
              <c:extLst>
                <c:ext xmlns:c15="http://schemas.microsoft.com/office/drawing/2012/chart" uri="{CE6537A1-D6FC-4f65-9D91-7224C49458BB}"/>
                <c:ext xmlns:c16="http://schemas.microsoft.com/office/drawing/2014/chart" uri="{C3380CC4-5D6E-409C-BE32-E72D297353CC}">
                  <c16:uniqueId val="{00000003-F200-4332-BBC9-9A98442D1BB1}"/>
                </c:ext>
              </c:extLst>
            </c:dLbl>
            <c:dLbl>
              <c:idx val="4"/>
              <c:delete val="1"/>
              <c:extLst>
                <c:ext xmlns:c15="http://schemas.microsoft.com/office/drawing/2012/chart" uri="{CE6537A1-D6FC-4f65-9D91-7224C49458BB}"/>
                <c:ext xmlns:c16="http://schemas.microsoft.com/office/drawing/2014/chart" uri="{C3380CC4-5D6E-409C-BE32-E72D297353CC}">
                  <c16:uniqueId val="{00000004-F200-4332-BBC9-9A98442D1BB1}"/>
                </c:ext>
              </c:extLst>
            </c:dLbl>
            <c:dLbl>
              <c:idx val="5"/>
              <c:layout>
                <c:manualLayout>
                  <c:x val="-0.49433654908417951"/>
                  <c:y val="2.3707180833165087E-2"/>
                </c:manualLayout>
              </c:layout>
              <c:tx>
                <c:rich>
                  <a:bodyPr/>
                  <a:lstStyle/>
                  <a:p>
                    <a:r>
                      <a:rPr lang="ja-JP" altLang="en-US"/>
                      <a:t>総費用線</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200-4332-BBC9-9A98442D1BB1}"/>
                </c:ext>
              </c:extLst>
            </c:dLbl>
            <c:dLbl>
              <c:idx val="6"/>
              <c:delete val="1"/>
              <c:extLst>
                <c:ext xmlns:c15="http://schemas.microsoft.com/office/drawing/2012/chart" uri="{CE6537A1-D6FC-4f65-9D91-7224C49458BB}"/>
                <c:ext xmlns:c16="http://schemas.microsoft.com/office/drawing/2014/chart" uri="{C3380CC4-5D6E-409C-BE32-E72D297353CC}">
                  <c16:uniqueId val="{00000006-F200-4332-BBC9-9A98442D1B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損益分岐点!$H$3:$H$37</c:f>
              <c:numCache>
                <c:formatCode>General</c:formatCode>
                <c:ptCount val="35"/>
                <c:pt idx="0">
                  <c:v>0</c:v>
                </c:pt>
                <c:pt idx="1">
                  <c:v>75000000</c:v>
                </c:pt>
                <c:pt idx="2">
                  <c:v>150000000</c:v>
                </c:pt>
                <c:pt idx="3">
                  <c:v>225000000</c:v>
                </c:pt>
                <c:pt idx="4">
                  <c:v>300000000</c:v>
                </c:pt>
                <c:pt idx="5">
                  <c:v>375000000</c:v>
                </c:pt>
                <c:pt idx="6">
                  <c:v>450000000</c:v>
                </c:pt>
              </c:numCache>
            </c:numRef>
          </c:xVal>
          <c:yVal>
            <c:numRef>
              <c:f>損益分岐点!$I$3:$I$37</c:f>
              <c:numCache>
                <c:formatCode>#,##0_);[Red]\(#,##0\)</c:formatCode>
                <c:ptCount val="35"/>
                <c:pt idx="0">
                  <c:v>130400000</c:v>
                </c:pt>
                <c:pt idx="1">
                  <c:v>176000000</c:v>
                </c:pt>
                <c:pt idx="2">
                  <c:v>221600000</c:v>
                </c:pt>
                <c:pt idx="3">
                  <c:v>267199999.99999997</c:v>
                </c:pt>
                <c:pt idx="4">
                  <c:v>312800000</c:v>
                </c:pt>
                <c:pt idx="5">
                  <c:v>358399999.99999994</c:v>
                </c:pt>
                <c:pt idx="6">
                  <c:v>403999999.99999994</c:v>
                </c:pt>
              </c:numCache>
            </c:numRef>
          </c:yVal>
          <c:smooth val="0"/>
          <c:extLst>
            <c:ext xmlns:c16="http://schemas.microsoft.com/office/drawing/2014/chart" uri="{C3380CC4-5D6E-409C-BE32-E72D297353CC}">
              <c16:uniqueId val="{00000007-F200-4332-BBC9-9A98442D1BB1}"/>
            </c:ext>
          </c:extLst>
        </c:ser>
        <c:ser>
          <c:idx val="1"/>
          <c:order val="1"/>
          <c:tx>
            <c:strRef>
              <c:f>損益分岐点!$H$2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F200-4332-BBC9-9A98442D1BB1}"/>
                </c:ext>
              </c:extLst>
            </c:dLbl>
            <c:dLbl>
              <c:idx val="1"/>
              <c:layout>
                <c:manualLayout>
                  <c:x val="0.16164337560047934"/>
                  <c:y val="3.7843232364045964E-2"/>
                </c:manualLayout>
              </c:layout>
              <c:tx>
                <c:rich>
                  <a:bodyPr/>
                  <a:lstStyle/>
                  <a:p>
                    <a:r>
                      <a:rPr lang="ja-JP" altLang="en-US"/>
                      <a:t>売上高線</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200-4332-BBC9-9A98442D1BB1}"/>
                </c:ext>
              </c:extLst>
            </c:dLbl>
            <c:dLbl>
              <c:idx val="2"/>
              <c:delete val="1"/>
              <c:extLst>
                <c:ext xmlns:c15="http://schemas.microsoft.com/office/drawing/2012/chart" uri="{CE6537A1-D6FC-4f65-9D91-7224C49458BB}"/>
                <c:ext xmlns:c16="http://schemas.microsoft.com/office/drawing/2014/chart" uri="{C3380CC4-5D6E-409C-BE32-E72D297353CC}">
                  <c16:uniqueId val="{0000000A-F200-4332-BBC9-9A98442D1BB1}"/>
                </c:ext>
              </c:extLst>
            </c:dLbl>
            <c:dLbl>
              <c:idx val="3"/>
              <c:delete val="1"/>
              <c:extLst>
                <c:ext xmlns:c15="http://schemas.microsoft.com/office/drawing/2012/chart" uri="{CE6537A1-D6FC-4f65-9D91-7224C49458BB}"/>
                <c:ext xmlns:c16="http://schemas.microsoft.com/office/drawing/2014/chart" uri="{C3380CC4-5D6E-409C-BE32-E72D297353CC}">
                  <c16:uniqueId val="{0000000B-F200-4332-BBC9-9A98442D1BB1}"/>
                </c:ext>
              </c:extLst>
            </c:dLbl>
            <c:dLbl>
              <c:idx val="4"/>
              <c:delete val="1"/>
              <c:extLst>
                <c:ext xmlns:c15="http://schemas.microsoft.com/office/drawing/2012/chart" uri="{CE6537A1-D6FC-4f65-9D91-7224C49458BB}"/>
                <c:ext xmlns:c16="http://schemas.microsoft.com/office/drawing/2014/chart" uri="{C3380CC4-5D6E-409C-BE32-E72D297353CC}">
                  <c16:uniqueId val="{0000000C-F200-4332-BBC9-9A98442D1BB1}"/>
                </c:ext>
              </c:extLst>
            </c:dLbl>
            <c:dLbl>
              <c:idx val="5"/>
              <c:delete val="1"/>
              <c:extLst>
                <c:ext xmlns:c15="http://schemas.microsoft.com/office/drawing/2012/chart" uri="{CE6537A1-D6FC-4f65-9D91-7224C49458BB}"/>
                <c:ext xmlns:c16="http://schemas.microsoft.com/office/drawing/2014/chart" uri="{C3380CC4-5D6E-409C-BE32-E72D297353CC}">
                  <c16:uniqueId val="{0000000D-F200-4332-BBC9-9A98442D1BB1}"/>
                </c:ext>
              </c:extLst>
            </c:dLbl>
            <c:dLbl>
              <c:idx val="6"/>
              <c:delete val="1"/>
              <c:extLst>
                <c:ext xmlns:c15="http://schemas.microsoft.com/office/drawing/2012/chart" uri="{CE6537A1-D6FC-4f65-9D91-7224C49458BB}"/>
                <c:ext xmlns:c16="http://schemas.microsoft.com/office/drawing/2014/chart" uri="{C3380CC4-5D6E-409C-BE32-E72D297353CC}">
                  <c16:uniqueId val="{0000000E-F200-4332-BBC9-9A98442D1B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損益分岐点!$H$3:$H$10</c:f>
              <c:numCache>
                <c:formatCode>General</c:formatCode>
                <c:ptCount val="8"/>
                <c:pt idx="0">
                  <c:v>0</c:v>
                </c:pt>
                <c:pt idx="1">
                  <c:v>75000000</c:v>
                </c:pt>
                <c:pt idx="2">
                  <c:v>150000000</c:v>
                </c:pt>
                <c:pt idx="3">
                  <c:v>225000000</c:v>
                </c:pt>
                <c:pt idx="4">
                  <c:v>300000000</c:v>
                </c:pt>
                <c:pt idx="5">
                  <c:v>375000000</c:v>
                </c:pt>
                <c:pt idx="6">
                  <c:v>450000000</c:v>
                </c:pt>
              </c:numCache>
            </c:numRef>
          </c:xVal>
          <c:yVal>
            <c:numRef>
              <c:f>損益分岐点!$H$3:$H$10</c:f>
              <c:numCache>
                <c:formatCode>General</c:formatCode>
                <c:ptCount val="8"/>
                <c:pt idx="0">
                  <c:v>0</c:v>
                </c:pt>
                <c:pt idx="1">
                  <c:v>75000000</c:v>
                </c:pt>
                <c:pt idx="2">
                  <c:v>150000000</c:v>
                </c:pt>
                <c:pt idx="3">
                  <c:v>225000000</c:v>
                </c:pt>
                <c:pt idx="4">
                  <c:v>300000000</c:v>
                </c:pt>
                <c:pt idx="5">
                  <c:v>375000000</c:v>
                </c:pt>
                <c:pt idx="6">
                  <c:v>450000000</c:v>
                </c:pt>
              </c:numCache>
            </c:numRef>
          </c:yVal>
          <c:smooth val="0"/>
          <c:extLst>
            <c:ext xmlns:c16="http://schemas.microsoft.com/office/drawing/2014/chart" uri="{C3380CC4-5D6E-409C-BE32-E72D297353CC}">
              <c16:uniqueId val="{0000000F-F200-4332-BBC9-9A98442D1BB1}"/>
            </c:ext>
          </c:extLst>
        </c:ser>
        <c:ser>
          <c:idx val="2"/>
          <c:order val="2"/>
          <c:tx>
            <c:v>損益分岐点</c:v>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3.0239140683822028E-2"/>
                  <c:y val="0.30036005114745273"/>
                </c:manualLayout>
              </c:layout>
              <c:tx>
                <c:rich>
                  <a:bodyPr/>
                  <a:lstStyle/>
                  <a:p>
                    <a:r>
                      <a:rPr lang="ja-JP" altLang="en-US"/>
                      <a:t>損益分岐点</a:t>
                    </a:r>
                  </a:p>
                  <a:p>
                    <a:fld id="{406E62EA-D18C-4266-A67C-0F1047BD6461}" type="YVALUE">
                      <a:rPr lang="en-US" altLang="ja-JP"/>
                      <a:pPr/>
                      <a:t>[Y 値]</a:t>
                    </a:fld>
                    <a:endParaRPr lang="ja-JP" alt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F200-4332-BBC9-9A98442D1B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損益分岐点!$B$6</c:f>
              <c:numCache>
                <c:formatCode>"¥"#,##0_);\("¥"#,##0\)</c:formatCode>
                <c:ptCount val="1"/>
                <c:pt idx="0">
                  <c:v>332653061.22448969</c:v>
                </c:pt>
              </c:numCache>
            </c:numRef>
          </c:xVal>
          <c:yVal>
            <c:numRef>
              <c:f>損益分岐点!$B$6</c:f>
              <c:numCache>
                <c:formatCode>"¥"#,##0_);\("¥"#,##0\)</c:formatCode>
                <c:ptCount val="1"/>
                <c:pt idx="0">
                  <c:v>332653061.22448969</c:v>
                </c:pt>
              </c:numCache>
            </c:numRef>
          </c:yVal>
          <c:smooth val="0"/>
          <c:extLst>
            <c:ext xmlns:c16="http://schemas.microsoft.com/office/drawing/2014/chart" uri="{C3380CC4-5D6E-409C-BE32-E72D297353CC}">
              <c16:uniqueId val="{00000011-F200-4332-BBC9-9A98442D1BB1}"/>
            </c:ext>
          </c:extLst>
        </c:ser>
        <c:dLbls>
          <c:dLblPos val="t"/>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crossAx val="12539120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ja-JP" altLang="en-US"/>
              <a:t>現状</a:t>
            </a:r>
            <a:endParaRPr lang="ja-JP"/>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ja-JP"/>
        </a:p>
      </c:txPr>
    </c:title>
    <c:autoTitleDeleted val="0"/>
    <c:plotArea>
      <c:layout>
        <c:manualLayout>
          <c:layoutTarget val="inner"/>
          <c:xMode val="edge"/>
          <c:yMode val="edge"/>
          <c:x val="0.10487296926782631"/>
          <c:y val="0.12868250024140293"/>
          <c:w val="0.82817372853299509"/>
          <c:h val="0.78613801760656554"/>
        </c:manualLayout>
      </c:layout>
      <c:scatterChart>
        <c:scatterStyle val="lineMarker"/>
        <c:varyColors val="0"/>
        <c:ser>
          <c:idx val="0"/>
          <c:order val="0"/>
          <c:tx>
            <c:strRef>
              <c:f>損益分岐点!$O$2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43B7-4934-82D6-F441952225C4}"/>
                </c:ext>
              </c:extLst>
            </c:dLbl>
            <c:dLbl>
              <c:idx val="1"/>
              <c:delete val="1"/>
              <c:extLst>
                <c:ext xmlns:c15="http://schemas.microsoft.com/office/drawing/2012/chart" uri="{CE6537A1-D6FC-4f65-9D91-7224C49458BB}"/>
                <c:ext xmlns:c16="http://schemas.microsoft.com/office/drawing/2014/chart" uri="{C3380CC4-5D6E-409C-BE32-E72D297353CC}">
                  <c16:uniqueId val="{00000001-43B7-4934-82D6-F441952225C4}"/>
                </c:ext>
              </c:extLst>
            </c:dLbl>
            <c:dLbl>
              <c:idx val="2"/>
              <c:delete val="1"/>
              <c:extLst>
                <c:ext xmlns:c15="http://schemas.microsoft.com/office/drawing/2012/chart" uri="{CE6537A1-D6FC-4f65-9D91-7224C49458BB}"/>
                <c:ext xmlns:c16="http://schemas.microsoft.com/office/drawing/2014/chart" uri="{C3380CC4-5D6E-409C-BE32-E72D297353CC}">
                  <c16:uniqueId val="{00000002-43B7-4934-82D6-F441952225C4}"/>
                </c:ext>
              </c:extLst>
            </c:dLbl>
            <c:dLbl>
              <c:idx val="3"/>
              <c:delete val="1"/>
              <c:extLst>
                <c:ext xmlns:c15="http://schemas.microsoft.com/office/drawing/2012/chart" uri="{CE6537A1-D6FC-4f65-9D91-7224C49458BB}"/>
                <c:ext xmlns:c16="http://schemas.microsoft.com/office/drawing/2014/chart" uri="{C3380CC4-5D6E-409C-BE32-E72D297353CC}">
                  <c16:uniqueId val="{00000003-43B7-4934-82D6-F441952225C4}"/>
                </c:ext>
              </c:extLst>
            </c:dLbl>
            <c:dLbl>
              <c:idx val="4"/>
              <c:layout>
                <c:manualLayout>
                  <c:x val="-0.48425513075925752"/>
                  <c:y val="-0.10804688496370586"/>
                </c:manualLayout>
              </c:layout>
              <c:tx>
                <c:rich>
                  <a:bodyPr/>
                  <a:lstStyle/>
                  <a:p>
                    <a:r>
                      <a:rPr lang="ja-JP" altLang="en-US"/>
                      <a:t>総費用線</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3B7-4934-82D6-F441952225C4}"/>
                </c:ext>
              </c:extLst>
            </c:dLbl>
            <c:dLbl>
              <c:idx val="5"/>
              <c:delete val="1"/>
              <c:extLst>
                <c:ext xmlns:c15="http://schemas.microsoft.com/office/drawing/2012/chart" uri="{CE6537A1-D6FC-4f65-9D91-7224C49458BB}"/>
                <c:ext xmlns:c16="http://schemas.microsoft.com/office/drawing/2014/chart" uri="{C3380CC4-5D6E-409C-BE32-E72D297353CC}">
                  <c16:uniqueId val="{00000005-43B7-4934-82D6-F441952225C4}"/>
                </c:ext>
              </c:extLst>
            </c:dLbl>
            <c:dLbl>
              <c:idx val="6"/>
              <c:delete val="1"/>
              <c:extLst>
                <c:ext xmlns:c15="http://schemas.microsoft.com/office/drawing/2012/chart" uri="{CE6537A1-D6FC-4f65-9D91-7224C49458BB}"/>
                <c:ext xmlns:c16="http://schemas.microsoft.com/office/drawing/2014/chart" uri="{C3380CC4-5D6E-409C-BE32-E72D297353CC}">
                  <c16:uniqueId val="{00000006-43B7-4934-82D6-F441952225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59166666.666666664</c:v>
                </c:pt>
                <c:pt idx="2">
                  <c:v>118333333.33333333</c:v>
                </c:pt>
                <c:pt idx="3">
                  <c:v>177500000</c:v>
                </c:pt>
                <c:pt idx="4">
                  <c:v>236666666.66666666</c:v>
                </c:pt>
                <c:pt idx="5">
                  <c:v>295833333.33333331</c:v>
                </c:pt>
                <c:pt idx="6">
                  <c:v>355000000</c:v>
                </c:pt>
              </c:numCache>
            </c:numRef>
          </c:xVal>
          <c:yVal>
            <c:numRef>
              <c:f>損益分岐点!$O$3:$O$9</c:f>
              <c:numCache>
                <c:formatCode>#,##0_);[Red]\(#,##0\)</c:formatCode>
                <c:ptCount val="7"/>
                <c:pt idx="0">
                  <c:v>103800000</c:v>
                </c:pt>
                <c:pt idx="1">
                  <c:v>141283333.33333331</c:v>
                </c:pt>
                <c:pt idx="2">
                  <c:v>178766666.66666666</c:v>
                </c:pt>
                <c:pt idx="3">
                  <c:v>216250000</c:v>
                </c:pt>
                <c:pt idx="4">
                  <c:v>253733333.33333331</c:v>
                </c:pt>
                <c:pt idx="5">
                  <c:v>291216666.66666663</c:v>
                </c:pt>
                <c:pt idx="6">
                  <c:v>328700000</c:v>
                </c:pt>
              </c:numCache>
            </c:numRef>
          </c:yVal>
          <c:smooth val="0"/>
          <c:extLst>
            <c:ext xmlns:c16="http://schemas.microsoft.com/office/drawing/2014/chart" uri="{C3380CC4-5D6E-409C-BE32-E72D297353CC}">
              <c16:uniqueId val="{00000007-43B7-4934-82D6-F441952225C4}"/>
            </c:ext>
          </c:extLst>
        </c:ser>
        <c:ser>
          <c:idx val="1"/>
          <c:order val="1"/>
          <c:tx>
            <c:strRef>
              <c:f>損益分岐点!$N$2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43B7-4934-82D6-F441952225C4}"/>
                </c:ext>
              </c:extLst>
            </c:dLbl>
            <c:dLbl>
              <c:idx val="1"/>
              <c:layout>
                <c:manualLayout>
                  <c:x val="0.17189362840246258"/>
                  <c:y val="4.9824798306018103E-2"/>
                </c:manualLayout>
              </c:layout>
              <c:tx>
                <c:rich>
                  <a:bodyPr/>
                  <a:lstStyle/>
                  <a:p>
                    <a:r>
                      <a:rPr lang="ja-JP" altLang="en-US"/>
                      <a:t>売上高線</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3B7-4934-82D6-F441952225C4}"/>
                </c:ext>
              </c:extLst>
            </c:dLbl>
            <c:dLbl>
              <c:idx val="2"/>
              <c:delete val="1"/>
              <c:extLst>
                <c:ext xmlns:c15="http://schemas.microsoft.com/office/drawing/2012/chart" uri="{CE6537A1-D6FC-4f65-9D91-7224C49458BB}"/>
                <c:ext xmlns:c16="http://schemas.microsoft.com/office/drawing/2014/chart" uri="{C3380CC4-5D6E-409C-BE32-E72D297353CC}">
                  <c16:uniqueId val="{0000000A-43B7-4934-82D6-F441952225C4}"/>
                </c:ext>
              </c:extLst>
            </c:dLbl>
            <c:dLbl>
              <c:idx val="3"/>
              <c:delete val="1"/>
              <c:extLst>
                <c:ext xmlns:c15="http://schemas.microsoft.com/office/drawing/2012/chart" uri="{CE6537A1-D6FC-4f65-9D91-7224C49458BB}"/>
                <c:ext xmlns:c16="http://schemas.microsoft.com/office/drawing/2014/chart" uri="{C3380CC4-5D6E-409C-BE32-E72D297353CC}">
                  <c16:uniqueId val="{0000000B-43B7-4934-82D6-F441952225C4}"/>
                </c:ext>
              </c:extLst>
            </c:dLbl>
            <c:dLbl>
              <c:idx val="4"/>
              <c:delete val="1"/>
              <c:extLst>
                <c:ext xmlns:c15="http://schemas.microsoft.com/office/drawing/2012/chart" uri="{CE6537A1-D6FC-4f65-9D91-7224C49458BB}"/>
                <c:ext xmlns:c16="http://schemas.microsoft.com/office/drawing/2014/chart" uri="{C3380CC4-5D6E-409C-BE32-E72D297353CC}">
                  <c16:uniqueId val="{0000000C-43B7-4934-82D6-F441952225C4}"/>
                </c:ext>
              </c:extLst>
            </c:dLbl>
            <c:dLbl>
              <c:idx val="5"/>
              <c:delete val="1"/>
              <c:extLst>
                <c:ext xmlns:c15="http://schemas.microsoft.com/office/drawing/2012/chart" uri="{CE6537A1-D6FC-4f65-9D91-7224C49458BB}"/>
                <c:ext xmlns:c16="http://schemas.microsoft.com/office/drawing/2014/chart" uri="{C3380CC4-5D6E-409C-BE32-E72D297353CC}">
                  <c16:uniqueId val="{0000000D-43B7-4934-82D6-F441952225C4}"/>
                </c:ext>
              </c:extLst>
            </c:dLbl>
            <c:dLbl>
              <c:idx val="6"/>
              <c:delete val="1"/>
              <c:extLst>
                <c:ext xmlns:c15="http://schemas.microsoft.com/office/drawing/2012/chart" uri="{CE6537A1-D6FC-4f65-9D91-7224C49458BB}"/>
                <c:ext xmlns:c16="http://schemas.microsoft.com/office/drawing/2014/chart" uri="{C3380CC4-5D6E-409C-BE32-E72D297353CC}">
                  <c16:uniqueId val="{0000000E-43B7-4934-82D6-F441952225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59166666.666666664</c:v>
                </c:pt>
                <c:pt idx="2">
                  <c:v>118333333.33333333</c:v>
                </c:pt>
                <c:pt idx="3">
                  <c:v>177500000</c:v>
                </c:pt>
                <c:pt idx="4">
                  <c:v>236666666.66666666</c:v>
                </c:pt>
                <c:pt idx="5">
                  <c:v>295833333.33333331</c:v>
                </c:pt>
                <c:pt idx="6">
                  <c:v>355000000</c:v>
                </c:pt>
              </c:numCache>
            </c:numRef>
          </c:xVal>
          <c:yVal>
            <c:numRef>
              <c:f>損益分岐点!$N$3:$N$9</c:f>
              <c:numCache>
                <c:formatCode>General</c:formatCode>
                <c:ptCount val="7"/>
                <c:pt idx="0">
                  <c:v>0</c:v>
                </c:pt>
                <c:pt idx="1">
                  <c:v>59166666.666666664</c:v>
                </c:pt>
                <c:pt idx="2">
                  <c:v>118333333.33333333</c:v>
                </c:pt>
                <c:pt idx="3">
                  <c:v>177500000</c:v>
                </c:pt>
                <c:pt idx="4">
                  <c:v>236666666.66666666</c:v>
                </c:pt>
                <c:pt idx="5">
                  <c:v>295833333.33333331</c:v>
                </c:pt>
                <c:pt idx="6">
                  <c:v>355000000</c:v>
                </c:pt>
              </c:numCache>
            </c:numRef>
          </c:yVal>
          <c:smooth val="0"/>
          <c:extLst>
            <c:ext xmlns:c16="http://schemas.microsoft.com/office/drawing/2014/chart" uri="{C3380CC4-5D6E-409C-BE32-E72D297353CC}">
              <c16:uniqueId val="{0000000F-43B7-4934-82D6-F441952225C4}"/>
            </c:ext>
          </c:extLst>
        </c:ser>
        <c:ser>
          <c:idx val="2"/>
          <c:order val="2"/>
          <c:tx>
            <c:v>損益分岐点</c:v>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4.882205989311577E-2"/>
                  <c:y val="0.21138664403524784"/>
                </c:manualLayout>
              </c:layout>
              <c:tx>
                <c:rich>
                  <a:bodyPr/>
                  <a:lstStyle/>
                  <a:p>
                    <a:r>
                      <a:rPr lang="ja-JP" altLang="en-US"/>
                      <a:t>損益分岐点</a:t>
                    </a:r>
                  </a:p>
                  <a:p>
                    <a:fld id="{6A1F21C3-01A4-4B3C-9F96-5FEC940E616C}" type="YVALUE">
                      <a:rPr lang="en-US" altLang="ja-JP"/>
                      <a:pPr/>
                      <a:t>[Y 値]</a:t>
                    </a:fld>
                    <a:endParaRPr lang="ja-JP" alt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43B7-4934-82D6-F441952225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損益分岐点!$E$6</c:f>
              <c:numCache>
                <c:formatCode>"¥"#,##0_);\("¥"#,##0\)</c:formatCode>
                <c:ptCount val="1"/>
                <c:pt idx="0">
                  <c:v>283235972.3289777</c:v>
                </c:pt>
              </c:numCache>
            </c:numRef>
          </c:xVal>
          <c:yVal>
            <c:numRef>
              <c:f>損益分岐点!$E$6</c:f>
              <c:numCache>
                <c:formatCode>"¥"#,##0_);\("¥"#,##0\)</c:formatCode>
                <c:ptCount val="1"/>
                <c:pt idx="0">
                  <c:v>283235972.3289777</c:v>
                </c:pt>
              </c:numCache>
            </c:numRef>
          </c:yVal>
          <c:smooth val="0"/>
          <c:extLst>
            <c:ext xmlns:c16="http://schemas.microsoft.com/office/drawing/2014/chart" uri="{C3380CC4-5D6E-409C-BE32-E72D297353CC}">
              <c16:uniqueId val="{00000011-43B7-4934-82D6-F441952225C4}"/>
            </c:ext>
          </c:extLst>
        </c:ser>
        <c:dLbls>
          <c:dLblPos val="t"/>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crossAx val="12539120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4</xdr:col>
      <xdr:colOff>0</xdr:colOff>
      <xdr:row>46</xdr:row>
      <xdr:rowOff>85725</xdr:rowOff>
    </xdr:from>
    <xdr:to>
      <xdr:col>5</xdr:col>
      <xdr:colOff>0</xdr:colOff>
      <xdr:row>46</xdr:row>
      <xdr:rowOff>85725</xdr:rowOff>
    </xdr:to>
    <xdr:sp macro="" textlink="">
      <xdr:nvSpPr>
        <xdr:cNvPr id="2" name="Line 4">
          <a:extLst>
            <a:ext uri="{FF2B5EF4-FFF2-40B4-BE49-F238E27FC236}">
              <a16:creationId xmlns:a16="http://schemas.microsoft.com/office/drawing/2014/main" id="{EFD9A904-7BB6-4EA0-9D58-88821D146FAF}"/>
            </a:ext>
          </a:extLst>
        </xdr:cNvPr>
        <xdr:cNvSpPr>
          <a:spLocks noChangeShapeType="1"/>
        </xdr:cNvSpPr>
      </xdr:nvSpPr>
      <xdr:spPr bwMode="auto">
        <a:xfrm flipH="1">
          <a:off x="5593080" y="10471785"/>
          <a:ext cx="10744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46</xdr:row>
      <xdr:rowOff>85725</xdr:rowOff>
    </xdr:from>
    <xdr:to>
      <xdr:col>4</xdr:col>
      <xdr:colOff>342900</xdr:colOff>
      <xdr:row>47</xdr:row>
      <xdr:rowOff>104775</xdr:rowOff>
    </xdr:to>
    <xdr:sp macro="" textlink="">
      <xdr:nvSpPr>
        <xdr:cNvPr id="3" name="Freeform 6">
          <a:extLst>
            <a:ext uri="{FF2B5EF4-FFF2-40B4-BE49-F238E27FC236}">
              <a16:creationId xmlns:a16="http://schemas.microsoft.com/office/drawing/2014/main" id="{A4C947EF-C3B5-49F0-90EF-533B895638D2}"/>
            </a:ext>
          </a:extLst>
        </xdr:cNvPr>
        <xdr:cNvSpPr>
          <a:spLocks/>
        </xdr:cNvSpPr>
      </xdr:nvSpPr>
      <xdr:spPr bwMode="auto">
        <a:xfrm>
          <a:off x="4274820" y="9420225"/>
          <a:ext cx="342900" cy="209550"/>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52</xdr:row>
      <xdr:rowOff>85725</xdr:rowOff>
    </xdr:from>
    <xdr:to>
      <xdr:col>4</xdr:col>
      <xdr:colOff>1181100</xdr:colOff>
      <xdr:row>52</xdr:row>
      <xdr:rowOff>85725</xdr:rowOff>
    </xdr:to>
    <xdr:sp macro="" textlink="">
      <xdr:nvSpPr>
        <xdr:cNvPr id="4" name="Line 7">
          <a:extLst>
            <a:ext uri="{FF2B5EF4-FFF2-40B4-BE49-F238E27FC236}">
              <a16:creationId xmlns:a16="http://schemas.microsoft.com/office/drawing/2014/main" id="{E887B7D7-2760-491E-B674-4589AD63C5CB}"/>
            </a:ext>
          </a:extLst>
        </xdr:cNvPr>
        <xdr:cNvSpPr>
          <a:spLocks noChangeShapeType="1"/>
        </xdr:cNvSpPr>
      </xdr:nvSpPr>
      <xdr:spPr bwMode="auto">
        <a:xfrm flipH="1">
          <a:off x="4274820" y="10563225"/>
          <a:ext cx="107442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52</xdr:row>
      <xdr:rowOff>85725</xdr:rowOff>
    </xdr:from>
    <xdr:to>
      <xdr:col>4</xdr:col>
      <xdr:colOff>342900</xdr:colOff>
      <xdr:row>53</xdr:row>
      <xdr:rowOff>104775</xdr:rowOff>
    </xdr:to>
    <xdr:sp macro="" textlink="">
      <xdr:nvSpPr>
        <xdr:cNvPr id="5" name="Freeform 8">
          <a:extLst>
            <a:ext uri="{FF2B5EF4-FFF2-40B4-BE49-F238E27FC236}">
              <a16:creationId xmlns:a16="http://schemas.microsoft.com/office/drawing/2014/main" id="{742E37BC-E335-4C38-91B8-02BCD9D66493}"/>
            </a:ext>
          </a:extLst>
        </xdr:cNvPr>
        <xdr:cNvSpPr>
          <a:spLocks/>
        </xdr:cNvSpPr>
      </xdr:nvSpPr>
      <xdr:spPr bwMode="auto">
        <a:xfrm>
          <a:off x="4274820" y="10563225"/>
          <a:ext cx="342900" cy="209550"/>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53</xdr:row>
      <xdr:rowOff>76200</xdr:rowOff>
    </xdr:from>
    <xdr:to>
      <xdr:col>4</xdr:col>
      <xdr:colOff>342900</xdr:colOff>
      <xdr:row>54</xdr:row>
      <xdr:rowOff>104775</xdr:rowOff>
    </xdr:to>
    <xdr:sp macro="" textlink="">
      <xdr:nvSpPr>
        <xdr:cNvPr id="6" name="Freeform 11">
          <a:extLst>
            <a:ext uri="{FF2B5EF4-FFF2-40B4-BE49-F238E27FC236}">
              <a16:creationId xmlns:a16="http://schemas.microsoft.com/office/drawing/2014/main" id="{8CE3BD4E-2DB4-455C-9B42-9217031A8758}"/>
            </a:ext>
          </a:extLst>
        </xdr:cNvPr>
        <xdr:cNvSpPr>
          <a:spLocks/>
        </xdr:cNvSpPr>
      </xdr:nvSpPr>
      <xdr:spPr bwMode="auto">
        <a:xfrm>
          <a:off x="4274820" y="10744200"/>
          <a:ext cx="342900" cy="219075"/>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oneCellAnchor>
    <xdr:from>
      <xdr:col>4</xdr:col>
      <xdr:colOff>766235</xdr:colOff>
      <xdr:row>4</xdr:row>
      <xdr:rowOff>84667</xdr:rowOff>
    </xdr:from>
    <xdr:ext cx="3302000" cy="3015697"/>
    <xdr:sp macro="" textlink="">
      <xdr:nvSpPr>
        <xdr:cNvPr id="7" name="テキスト ボックス 6">
          <a:extLst>
            <a:ext uri="{FF2B5EF4-FFF2-40B4-BE49-F238E27FC236}">
              <a16:creationId xmlns:a16="http://schemas.microsoft.com/office/drawing/2014/main" id="{E48F96AE-78E9-D239-846D-80BD2375ABA1}"/>
            </a:ext>
          </a:extLst>
        </xdr:cNvPr>
        <xdr:cNvSpPr txBox="1"/>
      </xdr:nvSpPr>
      <xdr:spPr>
        <a:xfrm>
          <a:off x="6354235" y="1769534"/>
          <a:ext cx="3302000" cy="3015697"/>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a:t>決算書を見ながら一つ一つ直近の数字を入力していく。</a:t>
          </a:r>
          <a:endParaRPr kumimoji="1" lang="en-US" altLang="ja-JP" sz="1400" kern="1200"/>
        </a:p>
        <a:p>
          <a:r>
            <a:rPr kumimoji="1" lang="ja-JP" altLang="en-US" sz="1400" kern="1200"/>
            <a:t>製造原価を別に計上していない決算書であれば製造原価には記入しない事。</a:t>
          </a:r>
          <a:endParaRPr kumimoji="1" lang="en-US" altLang="ja-JP" sz="1400" kern="1200"/>
        </a:p>
        <a:p>
          <a:r>
            <a:rPr kumimoji="1" lang="ja-JP" altLang="en-US" sz="1400" kern="1200"/>
            <a:t>ただし今後税理士と打ち合わせを行い、製造原価を作っていく事を推奨します。</a:t>
          </a:r>
          <a:endParaRPr kumimoji="1" lang="en-US" altLang="ja-JP" sz="1400" kern="1200"/>
        </a:p>
        <a:p>
          <a:r>
            <a:rPr kumimoji="1" lang="ja-JP" altLang="en-US" sz="1400" kern="1200"/>
            <a:t>自社工事部などいない場合でも、材料を支給して発注している会社も製造原価を別に作るべき。</a:t>
          </a:r>
          <a:endParaRPr kumimoji="1" lang="en-US" altLang="ja-JP" sz="1400" kern="1200"/>
        </a:p>
        <a:p>
          <a:endParaRPr kumimoji="1" lang="en-US" altLang="ja-JP" sz="1400" kern="1200"/>
        </a:p>
      </xdr:txBody>
    </xdr:sp>
    <xdr:clientData/>
  </xdr:oneCellAnchor>
  <xdr:twoCellAnchor editAs="oneCell">
    <xdr:from>
      <xdr:col>5</xdr:col>
      <xdr:colOff>1075267</xdr:colOff>
      <xdr:row>1</xdr:row>
      <xdr:rowOff>33177</xdr:rowOff>
    </xdr:from>
    <xdr:to>
      <xdr:col>7</xdr:col>
      <xdr:colOff>584199</xdr:colOff>
      <xdr:row>3</xdr:row>
      <xdr:rowOff>3176</xdr:rowOff>
    </xdr:to>
    <xdr:pic>
      <xdr:nvPicPr>
        <xdr:cNvPr id="15" name="図 14">
          <a:extLst>
            <a:ext uri="{FF2B5EF4-FFF2-40B4-BE49-F238E27FC236}">
              <a16:creationId xmlns:a16="http://schemas.microsoft.com/office/drawing/2014/main" id="{5B418C40-4121-DC3E-4AE3-7AD70A15F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9200" y="744377"/>
          <a:ext cx="2065867" cy="740466"/>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237066</xdr:colOff>
      <xdr:row>11</xdr:row>
      <xdr:rowOff>93134</xdr:rowOff>
    </xdr:from>
    <xdr:to>
      <xdr:col>4</xdr:col>
      <xdr:colOff>237066</xdr:colOff>
      <xdr:row>59</xdr:row>
      <xdr:rowOff>110067</xdr:rowOff>
    </xdr:to>
    <xdr:cxnSp macro="">
      <xdr:nvCxnSpPr>
        <xdr:cNvPr id="9" name="直線矢印コネクタ 8">
          <a:extLst>
            <a:ext uri="{FF2B5EF4-FFF2-40B4-BE49-F238E27FC236}">
              <a16:creationId xmlns:a16="http://schemas.microsoft.com/office/drawing/2014/main" id="{1023A24B-AEB1-2345-115D-0F02533C909C}"/>
            </a:ext>
          </a:extLst>
        </xdr:cNvPr>
        <xdr:cNvCxnSpPr/>
      </xdr:nvCxnSpPr>
      <xdr:spPr>
        <a:xfrm>
          <a:off x="5825066" y="3843867"/>
          <a:ext cx="0" cy="936413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2108201</xdr:colOff>
      <xdr:row>11</xdr:row>
      <xdr:rowOff>93134</xdr:rowOff>
    </xdr:from>
    <xdr:to>
      <xdr:col>4</xdr:col>
      <xdr:colOff>237067</xdr:colOff>
      <xdr:row>11</xdr:row>
      <xdr:rowOff>93134</xdr:rowOff>
    </xdr:to>
    <xdr:cxnSp macro="">
      <xdr:nvCxnSpPr>
        <xdr:cNvPr id="17" name="直線コネクタ 16">
          <a:extLst>
            <a:ext uri="{FF2B5EF4-FFF2-40B4-BE49-F238E27FC236}">
              <a16:creationId xmlns:a16="http://schemas.microsoft.com/office/drawing/2014/main" id="{EB5CB7CD-124C-9A77-62A9-890482DCD56F}"/>
            </a:ext>
          </a:extLst>
        </xdr:cNvPr>
        <xdr:cNvCxnSpPr/>
      </xdr:nvCxnSpPr>
      <xdr:spPr>
        <a:xfrm>
          <a:off x="5579534" y="3843867"/>
          <a:ext cx="24553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2111828</xdr:colOff>
      <xdr:row>59</xdr:row>
      <xdr:rowOff>87085</xdr:rowOff>
    </xdr:from>
    <xdr:to>
      <xdr:col>4</xdr:col>
      <xdr:colOff>261258</xdr:colOff>
      <xdr:row>59</xdr:row>
      <xdr:rowOff>87085</xdr:rowOff>
    </xdr:to>
    <xdr:cxnSp macro="">
      <xdr:nvCxnSpPr>
        <xdr:cNvPr id="22" name="直線矢印コネクタ 21">
          <a:extLst>
            <a:ext uri="{FF2B5EF4-FFF2-40B4-BE49-F238E27FC236}">
              <a16:creationId xmlns:a16="http://schemas.microsoft.com/office/drawing/2014/main" id="{6FCECCB8-19B1-07B0-27F8-E4F40EE7E6D2}"/>
            </a:ext>
          </a:extLst>
        </xdr:cNvPr>
        <xdr:cNvCxnSpPr/>
      </xdr:nvCxnSpPr>
      <xdr:spPr>
        <a:xfrm flipH="1">
          <a:off x="5584371" y="13247914"/>
          <a:ext cx="272144" cy="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93132</xdr:colOff>
      <xdr:row>2</xdr:row>
      <xdr:rowOff>16933</xdr:rowOff>
    </xdr:from>
    <xdr:ext cx="2048933" cy="607346"/>
    <xdr:sp macro="" textlink="">
      <xdr:nvSpPr>
        <xdr:cNvPr id="2" name="テキスト ボックス 1">
          <a:extLst>
            <a:ext uri="{FF2B5EF4-FFF2-40B4-BE49-F238E27FC236}">
              <a16:creationId xmlns:a16="http://schemas.microsoft.com/office/drawing/2014/main" id="{821AB2CB-52B3-4663-9EF6-26158D6F40C2}"/>
            </a:ext>
          </a:extLst>
        </xdr:cNvPr>
        <xdr:cNvSpPr txBox="1"/>
      </xdr:nvSpPr>
      <xdr:spPr>
        <a:xfrm>
          <a:off x="355599" y="872066"/>
          <a:ext cx="204893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r>
            <a:rPr kumimoji="1" lang="ja-JP" altLang="en-US" sz="2400" kern="1200"/>
            <a:t>（売上）</a:t>
          </a:r>
        </a:p>
      </xdr:txBody>
    </xdr:sp>
    <xdr:clientData/>
  </xdr:oneCellAnchor>
  <xdr:oneCellAnchor>
    <xdr:from>
      <xdr:col>5</xdr:col>
      <xdr:colOff>0</xdr:colOff>
      <xdr:row>2</xdr:row>
      <xdr:rowOff>0</xdr:rowOff>
    </xdr:from>
    <xdr:ext cx="2362200" cy="607346"/>
    <xdr:sp macro="" textlink="">
      <xdr:nvSpPr>
        <xdr:cNvPr id="3" name="テキスト ボックス 2">
          <a:extLst>
            <a:ext uri="{FF2B5EF4-FFF2-40B4-BE49-F238E27FC236}">
              <a16:creationId xmlns:a16="http://schemas.microsoft.com/office/drawing/2014/main" id="{6FDC2019-AAC5-49F7-9B40-E9278D478FBC}"/>
            </a:ext>
          </a:extLst>
        </xdr:cNvPr>
        <xdr:cNvSpPr txBox="1"/>
      </xdr:nvSpPr>
      <xdr:spPr>
        <a:xfrm>
          <a:off x="2937933" y="855133"/>
          <a:ext cx="2362200"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r>
            <a:rPr kumimoji="1" lang="ja-JP" altLang="en-US" sz="2400" kern="1200"/>
            <a:t>（変動費）</a:t>
          </a:r>
        </a:p>
      </xdr:txBody>
    </xdr:sp>
    <xdr:clientData/>
  </xdr:oneCellAnchor>
  <xdr:oneCellAnchor>
    <xdr:from>
      <xdr:col>5</xdr:col>
      <xdr:colOff>16934</xdr:colOff>
      <xdr:row>11</xdr:row>
      <xdr:rowOff>169334</xdr:rowOff>
    </xdr:from>
    <xdr:ext cx="1676400" cy="607346"/>
    <xdr:sp macro="" textlink="">
      <xdr:nvSpPr>
        <xdr:cNvPr id="4" name="テキスト ボックス 3">
          <a:extLst>
            <a:ext uri="{FF2B5EF4-FFF2-40B4-BE49-F238E27FC236}">
              <a16:creationId xmlns:a16="http://schemas.microsoft.com/office/drawing/2014/main" id="{123EE128-0533-41B2-9E0B-D3816FB877E8}"/>
            </a:ext>
          </a:extLst>
        </xdr:cNvPr>
        <xdr:cNvSpPr txBox="1"/>
      </xdr:nvSpPr>
      <xdr:spPr>
        <a:xfrm>
          <a:off x="2954867" y="3081867"/>
          <a:ext cx="1676400"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r>
            <a:rPr kumimoji="1" lang="ja-JP" altLang="en-US" sz="2400" kern="1200"/>
            <a:t>（粗利）</a:t>
          </a:r>
        </a:p>
      </xdr:txBody>
    </xdr:sp>
    <xdr:clientData/>
  </xdr:oneCellAnchor>
  <xdr:oneCellAnchor>
    <xdr:from>
      <xdr:col>7</xdr:col>
      <xdr:colOff>16932</xdr:colOff>
      <xdr:row>11</xdr:row>
      <xdr:rowOff>186267</xdr:rowOff>
    </xdr:from>
    <xdr:ext cx="1964267" cy="607346"/>
    <xdr:sp macro="" textlink="">
      <xdr:nvSpPr>
        <xdr:cNvPr id="5" name="テキスト ボックス 4">
          <a:extLst>
            <a:ext uri="{FF2B5EF4-FFF2-40B4-BE49-F238E27FC236}">
              <a16:creationId xmlns:a16="http://schemas.microsoft.com/office/drawing/2014/main" id="{F5D65767-B498-404D-A686-0C1F7F9D5F82}"/>
            </a:ext>
          </a:extLst>
        </xdr:cNvPr>
        <xdr:cNvSpPr txBox="1"/>
      </xdr:nvSpPr>
      <xdr:spPr>
        <a:xfrm>
          <a:off x="4809065" y="3098800"/>
          <a:ext cx="1964267"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r>
            <a:rPr kumimoji="1" lang="ja-JP" altLang="en-US" sz="2400" kern="1200"/>
            <a:t>（固定費）</a:t>
          </a:r>
        </a:p>
      </xdr:txBody>
    </xdr:sp>
    <xdr:clientData/>
  </xdr:oneCellAnchor>
  <xdr:oneCellAnchor>
    <xdr:from>
      <xdr:col>7</xdr:col>
      <xdr:colOff>25400</xdr:colOff>
      <xdr:row>16</xdr:row>
      <xdr:rowOff>169333</xdr:rowOff>
    </xdr:from>
    <xdr:ext cx="1625600" cy="607346"/>
    <xdr:sp macro="" textlink="">
      <xdr:nvSpPr>
        <xdr:cNvPr id="6" name="テキスト ボックス 5">
          <a:extLst>
            <a:ext uri="{FF2B5EF4-FFF2-40B4-BE49-F238E27FC236}">
              <a16:creationId xmlns:a16="http://schemas.microsoft.com/office/drawing/2014/main" id="{C466016F-4498-4886-A1CC-4EBAB34CD07C}"/>
            </a:ext>
          </a:extLst>
        </xdr:cNvPr>
        <xdr:cNvSpPr txBox="1"/>
      </xdr:nvSpPr>
      <xdr:spPr>
        <a:xfrm>
          <a:off x="4818380" y="4261273"/>
          <a:ext cx="1625600"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r>
            <a:rPr kumimoji="1" lang="ja-JP" altLang="en-US" sz="2400" kern="1200"/>
            <a:t>（利益）</a:t>
          </a:r>
        </a:p>
      </xdr:txBody>
    </xdr:sp>
    <xdr:clientData/>
  </xdr:oneCellAnchor>
  <xdr:oneCellAnchor>
    <xdr:from>
      <xdr:col>10</xdr:col>
      <xdr:colOff>263313</xdr:colOff>
      <xdr:row>2</xdr:row>
      <xdr:rowOff>0</xdr:rowOff>
    </xdr:from>
    <xdr:ext cx="2208954" cy="468013"/>
    <xdr:sp macro="" textlink="">
      <xdr:nvSpPr>
        <xdr:cNvPr id="7" name="テキスト ボックス 6">
          <a:extLst>
            <a:ext uri="{FF2B5EF4-FFF2-40B4-BE49-F238E27FC236}">
              <a16:creationId xmlns:a16="http://schemas.microsoft.com/office/drawing/2014/main" id="{6ED73D97-5BAD-438E-9A85-A21D41DF5339}"/>
            </a:ext>
          </a:extLst>
        </xdr:cNvPr>
        <xdr:cNvSpPr txBox="1"/>
      </xdr:nvSpPr>
      <xdr:spPr>
        <a:xfrm>
          <a:off x="7138246" y="855133"/>
          <a:ext cx="220895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kumimoji="1" lang="ja-JP" altLang="en-US" sz="1000" kern="1200"/>
            <a:t>（プライス）</a:t>
          </a:r>
          <a:r>
            <a:rPr lang="ja-JP" altLang="en-US" sz="1000" b="0" i="0" u="none" strike="noStrike">
              <a:solidFill>
                <a:schemeClr val="tx1"/>
              </a:solidFill>
              <a:effectLst/>
              <a:latin typeface="+mn-lt"/>
              <a:ea typeface="+mn-ea"/>
              <a:cs typeface="+mn-cs"/>
            </a:rPr>
            <a:t>　 </a:t>
          </a:r>
          <a:endParaRPr kumimoji="1" lang="ja-JP" altLang="en-US" sz="1000" kern="1200"/>
        </a:p>
      </xdr:txBody>
    </xdr:sp>
    <xdr:clientData/>
  </xdr:oneCellAnchor>
  <xdr:oneCellAnchor>
    <xdr:from>
      <xdr:col>10</xdr:col>
      <xdr:colOff>263313</xdr:colOff>
      <xdr:row>12</xdr:row>
      <xdr:rowOff>0</xdr:rowOff>
    </xdr:from>
    <xdr:ext cx="2963333" cy="468013"/>
    <xdr:sp macro="" textlink="">
      <xdr:nvSpPr>
        <xdr:cNvPr id="8" name="テキスト ボックス 7">
          <a:extLst>
            <a:ext uri="{FF2B5EF4-FFF2-40B4-BE49-F238E27FC236}">
              <a16:creationId xmlns:a16="http://schemas.microsoft.com/office/drawing/2014/main" id="{74775786-C43C-4892-BC59-B3A15BFEAA4E}"/>
            </a:ext>
          </a:extLst>
        </xdr:cNvPr>
        <xdr:cNvSpPr txBox="1"/>
      </xdr:nvSpPr>
      <xdr:spPr>
        <a:xfrm>
          <a:off x="7138246" y="3149600"/>
          <a:ext cx="29633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r>
            <a:rPr kumimoji="1" lang="ja-JP" altLang="en-US" sz="1200" kern="1200"/>
            <a:t>（ヴァリアブル）</a:t>
          </a:r>
          <a:endParaRPr kumimoji="1" lang="en-US" altLang="ja-JP" sz="1200" kern="1200"/>
        </a:p>
      </xdr:txBody>
    </xdr:sp>
    <xdr:clientData/>
  </xdr:oneCellAnchor>
  <xdr:oneCellAnchor>
    <xdr:from>
      <xdr:col>15</xdr:col>
      <xdr:colOff>668866</xdr:colOff>
      <xdr:row>2</xdr:row>
      <xdr:rowOff>0</xdr:rowOff>
    </xdr:from>
    <xdr:ext cx="4148668" cy="468013"/>
    <xdr:sp macro="" textlink="">
      <xdr:nvSpPr>
        <xdr:cNvPr id="9" name="テキスト ボックス 8">
          <a:extLst>
            <a:ext uri="{FF2B5EF4-FFF2-40B4-BE49-F238E27FC236}">
              <a16:creationId xmlns:a16="http://schemas.microsoft.com/office/drawing/2014/main" id="{796F7CC8-517A-4B47-B31D-0436EAE48077}"/>
            </a:ext>
          </a:extLst>
        </xdr:cNvPr>
        <xdr:cNvSpPr txBox="1"/>
      </xdr:nvSpPr>
      <xdr:spPr>
        <a:xfrm>
          <a:off x="10490199" y="855133"/>
          <a:ext cx="414866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kumimoji="1" lang="ja-JP" altLang="en-US" sz="1050" b="0" i="0" u="none" strike="noStrike" kern="1200">
              <a:solidFill>
                <a:schemeClr val="tx1"/>
              </a:solidFill>
              <a:effectLst/>
              <a:latin typeface="+mn-lt"/>
              <a:ea typeface="+mn-ea"/>
              <a:cs typeface="+mn-cs"/>
            </a:rPr>
            <a:t>（クォンティティー）</a:t>
          </a:r>
          <a:r>
            <a:rPr lang="ja-JP" altLang="en-US" sz="1050" b="0" i="0" u="none" strike="noStrike">
              <a:solidFill>
                <a:schemeClr val="tx1"/>
              </a:solidFill>
              <a:effectLst/>
              <a:latin typeface="+mn-lt"/>
              <a:ea typeface="+mn-ea"/>
              <a:cs typeface="+mn-cs"/>
            </a:rPr>
            <a:t>　 </a:t>
          </a:r>
          <a:endParaRPr kumimoji="1" lang="ja-JP" altLang="en-US" sz="1050" kern="1200"/>
        </a:p>
      </xdr:txBody>
    </xdr:sp>
    <xdr:clientData/>
  </xdr:oneCellAnchor>
  <xdr:oneCellAnchor>
    <xdr:from>
      <xdr:col>16</xdr:col>
      <xdr:colOff>0</xdr:colOff>
      <xdr:row>12</xdr:row>
      <xdr:rowOff>0</xdr:rowOff>
    </xdr:from>
    <xdr:ext cx="558800" cy="468013"/>
    <xdr:sp macro="" textlink="">
      <xdr:nvSpPr>
        <xdr:cNvPr id="10" name="テキスト ボックス 9">
          <a:extLst>
            <a:ext uri="{FF2B5EF4-FFF2-40B4-BE49-F238E27FC236}">
              <a16:creationId xmlns:a16="http://schemas.microsoft.com/office/drawing/2014/main" id="{750E62B6-9DBB-4092-91B8-602360A4A39C}"/>
            </a:ext>
          </a:extLst>
        </xdr:cNvPr>
        <xdr:cNvSpPr txBox="1"/>
      </xdr:nvSpPr>
      <xdr:spPr>
        <a:xfrm>
          <a:off x="10904220" y="3147060"/>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twoCellAnchor>
    <xdr:from>
      <xdr:col>10</xdr:col>
      <xdr:colOff>93135</xdr:colOff>
      <xdr:row>0</xdr:row>
      <xdr:rowOff>101601</xdr:rowOff>
    </xdr:from>
    <xdr:to>
      <xdr:col>19</xdr:col>
      <xdr:colOff>626534</xdr:colOff>
      <xdr:row>1</xdr:row>
      <xdr:rowOff>516467</xdr:rowOff>
    </xdr:to>
    <xdr:sp macro="" textlink="">
      <xdr:nvSpPr>
        <xdr:cNvPr id="11" name="テキスト ボックス 10">
          <a:extLst>
            <a:ext uri="{FF2B5EF4-FFF2-40B4-BE49-F238E27FC236}">
              <a16:creationId xmlns:a16="http://schemas.microsoft.com/office/drawing/2014/main" id="{2512D1D7-6D03-8797-751D-56933E804C60}"/>
            </a:ext>
          </a:extLst>
        </xdr:cNvPr>
        <xdr:cNvSpPr txBox="1"/>
      </xdr:nvSpPr>
      <xdr:spPr>
        <a:xfrm>
          <a:off x="6968068" y="101601"/>
          <a:ext cx="6155266" cy="64346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solidFill>
                <a:sysClr val="windowText" lastClr="000000"/>
              </a:solidFill>
            </a:rPr>
            <a:t>売上に対して現場の稼働が何現場施工したかを平均で割って、</a:t>
          </a:r>
          <a:r>
            <a:rPr kumimoji="1" lang="en-US" altLang="ja-JP" sz="1100" kern="1200">
              <a:solidFill>
                <a:sysClr val="windowText" lastClr="000000"/>
              </a:solidFill>
            </a:rPr>
            <a:t>1</a:t>
          </a:r>
          <a:r>
            <a:rPr kumimoji="1" lang="ja-JP" altLang="en-US" sz="1100" kern="1200">
              <a:solidFill>
                <a:sysClr val="windowText" lastClr="000000"/>
              </a:solidFill>
            </a:rPr>
            <a:t>現場当たりの客単価を知ろう。</a:t>
          </a:r>
          <a:endParaRPr kumimoji="1" lang="en-US" altLang="ja-JP" sz="1100" kern="1200">
            <a:solidFill>
              <a:sysClr val="windowText" lastClr="000000"/>
            </a:solidFill>
          </a:endParaRPr>
        </a:p>
        <a:p>
          <a:r>
            <a:rPr kumimoji="1" lang="en-US" altLang="ja-JP" sz="1100" kern="1200">
              <a:solidFill>
                <a:sysClr val="windowText" lastClr="000000"/>
              </a:solidFill>
            </a:rPr>
            <a:t>P</a:t>
          </a:r>
          <a:r>
            <a:rPr kumimoji="1" lang="ja-JP" altLang="en-US" sz="1100" kern="1200">
              <a:solidFill>
                <a:sysClr val="windowText" lastClr="000000"/>
              </a:solidFill>
            </a:rPr>
            <a:t>には１現場あたりの客単価を。</a:t>
          </a:r>
          <a:r>
            <a:rPr kumimoji="1" lang="en-US" altLang="ja-JP" sz="1100" kern="1200" baseline="0">
              <a:solidFill>
                <a:sysClr val="windowText" lastClr="000000"/>
              </a:solidFill>
            </a:rPr>
            <a:t>    </a:t>
          </a:r>
          <a:r>
            <a:rPr kumimoji="1" lang="en-US" altLang="ja-JP" sz="1100" kern="1200">
              <a:solidFill>
                <a:sysClr val="windowText" lastClr="000000"/>
              </a:solidFill>
            </a:rPr>
            <a:t>Q</a:t>
          </a:r>
          <a:r>
            <a:rPr kumimoji="1" lang="ja-JP" altLang="en-US" sz="1100" kern="1200">
              <a:solidFill>
                <a:sysClr val="windowText" lastClr="000000"/>
              </a:solidFill>
            </a:rPr>
            <a:t>にはその現場の数を入れる。</a:t>
          </a:r>
        </a:p>
      </xdr:txBody>
    </xdr:sp>
    <xdr:clientData/>
  </xdr:twoCellAnchor>
  <xdr:twoCellAnchor>
    <xdr:from>
      <xdr:col>0</xdr:col>
      <xdr:colOff>262466</xdr:colOff>
      <xdr:row>18</xdr:row>
      <xdr:rowOff>93132</xdr:rowOff>
    </xdr:from>
    <xdr:to>
      <xdr:col>4</xdr:col>
      <xdr:colOff>660398</xdr:colOff>
      <xdr:row>22</xdr:row>
      <xdr:rowOff>25399</xdr:rowOff>
    </xdr:to>
    <xdr:sp macro="" textlink="">
      <xdr:nvSpPr>
        <xdr:cNvPr id="12" name="テキスト ボックス 11">
          <a:extLst>
            <a:ext uri="{FF2B5EF4-FFF2-40B4-BE49-F238E27FC236}">
              <a16:creationId xmlns:a16="http://schemas.microsoft.com/office/drawing/2014/main" id="{0AE8BF80-E91E-4093-8211-77D5CD5B7236}"/>
            </a:ext>
          </a:extLst>
        </xdr:cNvPr>
        <xdr:cNvSpPr txBox="1"/>
      </xdr:nvSpPr>
      <xdr:spPr>
        <a:xfrm>
          <a:off x="262466" y="4665132"/>
          <a:ext cx="2666999" cy="880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solidFill>
                <a:srgbClr val="FF0000"/>
              </a:solidFill>
            </a:rPr>
            <a:t>P×Q</a:t>
          </a:r>
          <a:r>
            <a:rPr kumimoji="1" lang="ja-JP" altLang="en-US" sz="1100" kern="1200">
              <a:solidFill>
                <a:srgbClr val="FF0000"/>
              </a:solidFill>
            </a:rPr>
            <a:t>を入れるとここに売り上げが反映。</a:t>
          </a:r>
          <a:endParaRPr kumimoji="1" lang="en-US" altLang="ja-JP" sz="1100" kern="1200">
            <a:solidFill>
              <a:srgbClr val="FF0000"/>
            </a:solidFill>
          </a:endParaRPr>
        </a:p>
        <a:p>
          <a:r>
            <a:rPr kumimoji="1" lang="ja-JP" altLang="en-US" sz="1100" kern="1200">
              <a:solidFill>
                <a:srgbClr val="FF0000"/>
              </a:solidFill>
            </a:rPr>
            <a:t>上と同じ数字になるように①と②で調整しましょう。</a:t>
          </a:r>
        </a:p>
      </xdr:txBody>
    </xdr:sp>
    <xdr:clientData/>
  </xdr:twoCellAnchor>
  <xdr:twoCellAnchor>
    <xdr:from>
      <xdr:col>14</xdr:col>
      <xdr:colOff>191346</xdr:colOff>
      <xdr:row>1</xdr:row>
      <xdr:rowOff>625687</xdr:rowOff>
    </xdr:from>
    <xdr:to>
      <xdr:col>14</xdr:col>
      <xdr:colOff>654473</xdr:colOff>
      <xdr:row>4</xdr:row>
      <xdr:rowOff>37254</xdr:rowOff>
    </xdr:to>
    <xdr:sp macro="" textlink="">
      <xdr:nvSpPr>
        <xdr:cNvPr id="13" name="テキスト ボックス 12">
          <a:extLst>
            <a:ext uri="{FF2B5EF4-FFF2-40B4-BE49-F238E27FC236}">
              <a16:creationId xmlns:a16="http://schemas.microsoft.com/office/drawing/2014/main" id="{3183155D-0CB4-4633-9E67-2471F2E45EFA}"/>
            </a:ext>
          </a:extLst>
        </xdr:cNvPr>
        <xdr:cNvSpPr txBox="1"/>
      </xdr:nvSpPr>
      <xdr:spPr>
        <a:xfrm>
          <a:off x="9343813" y="854287"/>
          <a:ext cx="46312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①</a:t>
          </a:r>
        </a:p>
      </xdr:txBody>
    </xdr:sp>
    <xdr:clientData/>
  </xdr:twoCellAnchor>
  <xdr:twoCellAnchor>
    <xdr:from>
      <xdr:col>19</xdr:col>
      <xdr:colOff>211666</xdr:colOff>
      <xdr:row>2</xdr:row>
      <xdr:rowOff>42334</xdr:rowOff>
    </xdr:from>
    <xdr:to>
      <xdr:col>20</xdr:col>
      <xdr:colOff>5926</xdr:colOff>
      <xdr:row>4</xdr:row>
      <xdr:rowOff>80434</xdr:rowOff>
    </xdr:to>
    <xdr:sp macro="" textlink="">
      <xdr:nvSpPr>
        <xdr:cNvPr id="14" name="テキスト ボックス 13">
          <a:extLst>
            <a:ext uri="{FF2B5EF4-FFF2-40B4-BE49-F238E27FC236}">
              <a16:creationId xmlns:a16="http://schemas.microsoft.com/office/drawing/2014/main" id="{50373B10-D145-49A4-A0C8-F23A93672A2B}"/>
            </a:ext>
          </a:extLst>
        </xdr:cNvPr>
        <xdr:cNvSpPr txBox="1"/>
      </xdr:nvSpPr>
      <xdr:spPr>
        <a:xfrm>
          <a:off x="12708466" y="897467"/>
          <a:ext cx="46312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②</a:t>
          </a:r>
        </a:p>
      </xdr:txBody>
    </xdr:sp>
    <xdr:clientData/>
  </xdr:twoCellAnchor>
  <xdr:twoCellAnchor>
    <xdr:from>
      <xdr:col>1</xdr:col>
      <xdr:colOff>42332</xdr:colOff>
      <xdr:row>11</xdr:row>
      <xdr:rowOff>228600</xdr:rowOff>
    </xdr:from>
    <xdr:to>
      <xdr:col>1</xdr:col>
      <xdr:colOff>505459</xdr:colOff>
      <xdr:row>14</xdr:row>
      <xdr:rowOff>12700</xdr:rowOff>
    </xdr:to>
    <xdr:sp macro="" textlink="">
      <xdr:nvSpPr>
        <xdr:cNvPr id="15" name="テキスト ボックス 14">
          <a:extLst>
            <a:ext uri="{FF2B5EF4-FFF2-40B4-BE49-F238E27FC236}">
              <a16:creationId xmlns:a16="http://schemas.microsoft.com/office/drawing/2014/main" id="{5EBF12DC-3A49-4CCC-B86B-E167C014C8BA}"/>
            </a:ext>
          </a:extLst>
        </xdr:cNvPr>
        <xdr:cNvSpPr txBox="1"/>
      </xdr:nvSpPr>
      <xdr:spPr>
        <a:xfrm>
          <a:off x="304799" y="3141133"/>
          <a:ext cx="46312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③</a:t>
          </a:r>
        </a:p>
      </xdr:txBody>
    </xdr:sp>
    <xdr:clientData/>
  </xdr:twoCellAnchor>
  <xdr:twoCellAnchor editAs="oneCell">
    <xdr:from>
      <xdr:col>16</xdr:col>
      <xdr:colOff>508000</xdr:colOff>
      <xdr:row>32</xdr:row>
      <xdr:rowOff>16933</xdr:rowOff>
    </xdr:from>
    <xdr:to>
      <xdr:col>19</xdr:col>
      <xdr:colOff>567267</xdr:colOff>
      <xdr:row>35</xdr:row>
      <xdr:rowOff>71599</xdr:rowOff>
    </xdr:to>
    <xdr:pic>
      <xdr:nvPicPr>
        <xdr:cNvPr id="16" name="図 15">
          <a:extLst>
            <a:ext uri="{FF2B5EF4-FFF2-40B4-BE49-F238E27FC236}">
              <a16:creationId xmlns:a16="http://schemas.microsoft.com/office/drawing/2014/main" id="{A77CCD84-073A-4D8F-AE96-FB2611BC1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98200" y="7823200"/>
          <a:ext cx="2065867"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1394460</xdr:colOff>
      <xdr:row>3</xdr:row>
      <xdr:rowOff>685800</xdr:rowOff>
    </xdr:from>
    <xdr:ext cx="558800" cy="468013"/>
    <xdr:sp macro="" textlink="">
      <xdr:nvSpPr>
        <xdr:cNvPr id="2" name="テキスト ボックス 1">
          <a:extLst>
            <a:ext uri="{FF2B5EF4-FFF2-40B4-BE49-F238E27FC236}">
              <a16:creationId xmlns:a16="http://schemas.microsoft.com/office/drawing/2014/main" id="{CB5E8E6A-4803-4CB8-820E-106B7E0C92C5}"/>
            </a:ext>
          </a:extLst>
        </xdr:cNvPr>
        <xdr:cNvSpPr txBox="1"/>
      </xdr:nvSpPr>
      <xdr:spPr>
        <a:xfrm>
          <a:off x="6850380" y="2499360"/>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twoCellAnchor editAs="oneCell">
    <xdr:from>
      <xdr:col>11</xdr:col>
      <xdr:colOff>550334</xdr:colOff>
      <xdr:row>7</xdr:row>
      <xdr:rowOff>609600</xdr:rowOff>
    </xdr:from>
    <xdr:to>
      <xdr:col>14</xdr:col>
      <xdr:colOff>609601</xdr:colOff>
      <xdr:row>8</xdr:row>
      <xdr:rowOff>613466</xdr:rowOff>
    </xdr:to>
    <xdr:pic>
      <xdr:nvPicPr>
        <xdr:cNvPr id="3" name="図 2">
          <a:extLst>
            <a:ext uri="{FF2B5EF4-FFF2-40B4-BE49-F238E27FC236}">
              <a16:creationId xmlns:a16="http://schemas.microsoft.com/office/drawing/2014/main" id="{A7F077CD-6BC7-48C6-91FC-85C454D265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1867" y="5401733"/>
          <a:ext cx="2065867"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93133</xdr:colOff>
      <xdr:row>2</xdr:row>
      <xdr:rowOff>16933</xdr:rowOff>
    </xdr:from>
    <xdr:ext cx="558800" cy="468013"/>
    <xdr:sp macro="" textlink="">
      <xdr:nvSpPr>
        <xdr:cNvPr id="2" name="テキスト ボックス 1">
          <a:extLst>
            <a:ext uri="{FF2B5EF4-FFF2-40B4-BE49-F238E27FC236}">
              <a16:creationId xmlns:a16="http://schemas.microsoft.com/office/drawing/2014/main" id="{3DED4B8D-FC93-A0CD-3C0C-73DEC75A68F1}"/>
            </a:ext>
          </a:extLst>
        </xdr:cNvPr>
        <xdr:cNvSpPr txBox="1"/>
      </xdr:nvSpPr>
      <xdr:spPr>
        <a:xfrm>
          <a:off x="762000" y="482600"/>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endParaRPr kumimoji="1" lang="ja-JP" altLang="en-US" sz="2400" kern="1200"/>
        </a:p>
      </xdr:txBody>
    </xdr:sp>
    <xdr:clientData/>
  </xdr:oneCellAnchor>
  <xdr:oneCellAnchor>
    <xdr:from>
      <xdr:col>5</xdr:col>
      <xdr:colOff>0</xdr:colOff>
      <xdr:row>2</xdr:row>
      <xdr:rowOff>0</xdr:rowOff>
    </xdr:from>
    <xdr:ext cx="558800" cy="468013"/>
    <xdr:sp macro="" textlink="">
      <xdr:nvSpPr>
        <xdr:cNvPr id="4" name="テキスト ボックス 3">
          <a:extLst>
            <a:ext uri="{FF2B5EF4-FFF2-40B4-BE49-F238E27FC236}">
              <a16:creationId xmlns:a16="http://schemas.microsoft.com/office/drawing/2014/main" id="{59CE192A-37E8-42E1-9BE4-71E1FA658669}"/>
            </a:ext>
          </a:extLst>
        </xdr:cNvPr>
        <xdr:cNvSpPr txBox="1"/>
      </xdr:nvSpPr>
      <xdr:spPr>
        <a:xfrm>
          <a:off x="3344333" y="465667"/>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endParaRPr kumimoji="1" lang="ja-JP" altLang="en-US" sz="2400" kern="1200"/>
        </a:p>
      </xdr:txBody>
    </xdr:sp>
    <xdr:clientData/>
  </xdr:oneCellAnchor>
  <xdr:oneCellAnchor>
    <xdr:from>
      <xdr:col>5</xdr:col>
      <xdr:colOff>16934</xdr:colOff>
      <xdr:row>11</xdr:row>
      <xdr:rowOff>169334</xdr:rowOff>
    </xdr:from>
    <xdr:ext cx="558800" cy="468013"/>
    <xdr:sp macro="" textlink="">
      <xdr:nvSpPr>
        <xdr:cNvPr id="5" name="テキスト ボックス 4">
          <a:extLst>
            <a:ext uri="{FF2B5EF4-FFF2-40B4-BE49-F238E27FC236}">
              <a16:creationId xmlns:a16="http://schemas.microsoft.com/office/drawing/2014/main" id="{8E384137-6C59-4C30-8E4E-AEEF2066B30B}"/>
            </a:ext>
          </a:extLst>
        </xdr:cNvPr>
        <xdr:cNvSpPr txBox="1"/>
      </xdr:nvSpPr>
      <xdr:spPr>
        <a:xfrm>
          <a:off x="3361267" y="2692401"/>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endParaRPr kumimoji="1" lang="ja-JP" altLang="en-US" sz="2400" kern="1200"/>
        </a:p>
      </xdr:txBody>
    </xdr:sp>
    <xdr:clientData/>
  </xdr:oneCellAnchor>
  <xdr:oneCellAnchor>
    <xdr:from>
      <xdr:col>7</xdr:col>
      <xdr:colOff>16933</xdr:colOff>
      <xdr:row>11</xdr:row>
      <xdr:rowOff>177800</xdr:rowOff>
    </xdr:from>
    <xdr:ext cx="558800" cy="468013"/>
    <xdr:sp macro="" textlink="">
      <xdr:nvSpPr>
        <xdr:cNvPr id="6" name="テキスト ボックス 5">
          <a:extLst>
            <a:ext uri="{FF2B5EF4-FFF2-40B4-BE49-F238E27FC236}">
              <a16:creationId xmlns:a16="http://schemas.microsoft.com/office/drawing/2014/main" id="{36BC5592-393A-46C8-9B15-70715F0BAFBE}"/>
            </a:ext>
          </a:extLst>
        </xdr:cNvPr>
        <xdr:cNvSpPr txBox="1"/>
      </xdr:nvSpPr>
      <xdr:spPr>
        <a:xfrm>
          <a:off x="4834466" y="3090333"/>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endParaRPr kumimoji="1" lang="ja-JP" altLang="en-US" sz="2400" kern="1200"/>
        </a:p>
      </xdr:txBody>
    </xdr:sp>
    <xdr:clientData/>
  </xdr:oneCellAnchor>
  <xdr:oneCellAnchor>
    <xdr:from>
      <xdr:col>6</xdr:col>
      <xdr:colOff>1159932</xdr:colOff>
      <xdr:row>16</xdr:row>
      <xdr:rowOff>186266</xdr:rowOff>
    </xdr:from>
    <xdr:ext cx="558800" cy="468013"/>
    <xdr:sp macro="" textlink="">
      <xdr:nvSpPr>
        <xdr:cNvPr id="7" name="テキスト ボックス 6">
          <a:extLst>
            <a:ext uri="{FF2B5EF4-FFF2-40B4-BE49-F238E27FC236}">
              <a16:creationId xmlns:a16="http://schemas.microsoft.com/office/drawing/2014/main" id="{5434A86B-8C3E-4040-8713-864C4EF459FD}"/>
            </a:ext>
          </a:extLst>
        </xdr:cNvPr>
        <xdr:cNvSpPr txBox="1"/>
      </xdr:nvSpPr>
      <xdr:spPr>
        <a:xfrm>
          <a:off x="4792132" y="4292599"/>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oneCellAnchor>
    <xdr:from>
      <xdr:col>11</xdr:col>
      <xdr:colOff>0</xdr:colOff>
      <xdr:row>2</xdr:row>
      <xdr:rowOff>0</xdr:rowOff>
    </xdr:from>
    <xdr:ext cx="558800" cy="468013"/>
    <xdr:sp macro="" textlink="">
      <xdr:nvSpPr>
        <xdr:cNvPr id="9" name="テキスト ボックス 8">
          <a:extLst>
            <a:ext uri="{FF2B5EF4-FFF2-40B4-BE49-F238E27FC236}">
              <a16:creationId xmlns:a16="http://schemas.microsoft.com/office/drawing/2014/main" id="{D020CEFC-00E4-42AD-8C6E-A90E6FA4E667}"/>
            </a:ext>
          </a:extLst>
        </xdr:cNvPr>
        <xdr:cNvSpPr txBox="1"/>
      </xdr:nvSpPr>
      <xdr:spPr>
        <a:xfrm>
          <a:off x="3344333" y="465667"/>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11</xdr:col>
      <xdr:colOff>0</xdr:colOff>
      <xdr:row>12</xdr:row>
      <xdr:rowOff>0</xdr:rowOff>
    </xdr:from>
    <xdr:ext cx="558800" cy="468013"/>
    <xdr:sp macro="" textlink="">
      <xdr:nvSpPr>
        <xdr:cNvPr id="12" name="テキスト ボックス 11">
          <a:extLst>
            <a:ext uri="{FF2B5EF4-FFF2-40B4-BE49-F238E27FC236}">
              <a16:creationId xmlns:a16="http://schemas.microsoft.com/office/drawing/2014/main" id="{78642CD5-7AB4-4FDE-8919-18F756DA6A89}"/>
            </a:ext>
          </a:extLst>
        </xdr:cNvPr>
        <xdr:cNvSpPr txBox="1"/>
      </xdr:nvSpPr>
      <xdr:spPr>
        <a:xfrm>
          <a:off x="3344333" y="465667"/>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endParaRPr kumimoji="1" lang="ja-JP" altLang="en-US" sz="2400" kern="1200"/>
        </a:p>
      </xdr:txBody>
    </xdr:sp>
    <xdr:clientData/>
  </xdr:oneCellAnchor>
  <xdr:oneCellAnchor>
    <xdr:from>
      <xdr:col>16</xdr:col>
      <xdr:colOff>0</xdr:colOff>
      <xdr:row>2</xdr:row>
      <xdr:rowOff>0</xdr:rowOff>
    </xdr:from>
    <xdr:ext cx="558800" cy="468013"/>
    <xdr:sp macro="" textlink="">
      <xdr:nvSpPr>
        <xdr:cNvPr id="13" name="テキスト ボックス 12">
          <a:extLst>
            <a:ext uri="{FF2B5EF4-FFF2-40B4-BE49-F238E27FC236}">
              <a16:creationId xmlns:a16="http://schemas.microsoft.com/office/drawing/2014/main" id="{95405935-B660-4D7E-B8CE-3EC6AEAE6BF5}"/>
            </a:ext>
          </a:extLst>
        </xdr:cNvPr>
        <xdr:cNvSpPr txBox="1"/>
      </xdr:nvSpPr>
      <xdr:spPr>
        <a:xfrm>
          <a:off x="10701867" y="855133"/>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16</xdr:col>
      <xdr:colOff>0</xdr:colOff>
      <xdr:row>12</xdr:row>
      <xdr:rowOff>0</xdr:rowOff>
    </xdr:from>
    <xdr:ext cx="558800" cy="468013"/>
    <xdr:sp macro="" textlink="">
      <xdr:nvSpPr>
        <xdr:cNvPr id="14" name="テキスト ボックス 13">
          <a:extLst>
            <a:ext uri="{FF2B5EF4-FFF2-40B4-BE49-F238E27FC236}">
              <a16:creationId xmlns:a16="http://schemas.microsoft.com/office/drawing/2014/main" id="{79AEE497-098A-4254-A17B-FA32346E57CE}"/>
            </a:ext>
          </a:extLst>
        </xdr:cNvPr>
        <xdr:cNvSpPr txBox="1"/>
      </xdr:nvSpPr>
      <xdr:spPr>
        <a:xfrm>
          <a:off x="7357533" y="3149600"/>
          <a:ext cx="5588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oneCellAnchor>
    <xdr:from>
      <xdr:col>1</xdr:col>
      <xdr:colOff>524932</xdr:colOff>
      <xdr:row>2</xdr:row>
      <xdr:rowOff>67735</xdr:rowOff>
    </xdr:from>
    <xdr:ext cx="618067" cy="406399"/>
    <xdr:sp macro="" textlink="">
      <xdr:nvSpPr>
        <xdr:cNvPr id="15" name="テキスト ボックス 14">
          <a:extLst>
            <a:ext uri="{FF2B5EF4-FFF2-40B4-BE49-F238E27FC236}">
              <a16:creationId xmlns:a16="http://schemas.microsoft.com/office/drawing/2014/main" id="{05758AFA-D61A-40DE-878D-A2863E02691A}"/>
            </a:ext>
          </a:extLst>
        </xdr:cNvPr>
        <xdr:cNvSpPr txBox="1"/>
      </xdr:nvSpPr>
      <xdr:spPr>
        <a:xfrm>
          <a:off x="812799" y="922868"/>
          <a:ext cx="618067" cy="406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p>
      </xdr:txBody>
    </xdr:sp>
    <xdr:clientData/>
  </xdr:oneCellAnchor>
  <xdr:oneCellAnchor>
    <xdr:from>
      <xdr:col>7</xdr:col>
      <xdr:colOff>211667</xdr:colOff>
      <xdr:row>16</xdr:row>
      <xdr:rowOff>211667</xdr:rowOff>
    </xdr:from>
    <xdr:ext cx="618067" cy="406399"/>
    <xdr:sp macro="" textlink="">
      <xdr:nvSpPr>
        <xdr:cNvPr id="20" name="テキスト ボックス 19">
          <a:extLst>
            <a:ext uri="{FF2B5EF4-FFF2-40B4-BE49-F238E27FC236}">
              <a16:creationId xmlns:a16="http://schemas.microsoft.com/office/drawing/2014/main" id="{3D6332E3-49A6-4C24-9563-125F03461734}"/>
            </a:ext>
          </a:extLst>
        </xdr:cNvPr>
        <xdr:cNvSpPr txBox="1"/>
      </xdr:nvSpPr>
      <xdr:spPr>
        <a:xfrm>
          <a:off x="5029200" y="4318000"/>
          <a:ext cx="618067" cy="406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p>
      </xdr:txBody>
    </xdr:sp>
    <xdr:clientData/>
  </xdr:oneCellAnchor>
  <xdr:oneCellAnchor>
    <xdr:from>
      <xdr:col>7</xdr:col>
      <xdr:colOff>186267</xdr:colOff>
      <xdr:row>11</xdr:row>
      <xdr:rowOff>203200</xdr:rowOff>
    </xdr:from>
    <xdr:ext cx="618067" cy="406399"/>
    <xdr:sp macro="" textlink="">
      <xdr:nvSpPr>
        <xdr:cNvPr id="21" name="テキスト ボックス 20">
          <a:extLst>
            <a:ext uri="{FF2B5EF4-FFF2-40B4-BE49-F238E27FC236}">
              <a16:creationId xmlns:a16="http://schemas.microsoft.com/office/drawing/2014/main" id="{37DE5B38-6DDA-4E07-BFCE-6D65A7DA385B}"/>
            </a:ext>
          </a:extLst>
        </xdr:cNvPr>
        <xdr:cNvSpPr txBox="1"/>
      </xdr:nvSpPr>
      <xdr:spPr>
        <a:xfrm>
          <a:off x="5003800" y="3124200"/>
          <a:ext cx="618067" cy="406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p>
      </xdr:txBody>
    </xdr:sp>
    <xdr:clientData/>
  </xdr:oneCellAnchor>
  <xdr:oneCellAnchor>
    <xdr:from>
      <xdr:col>5</xdr:col>
      <xdr:colOff>287867</xdr:colOff>
      <xdr:row>11</xdr:row>
      <xdr:rowOff>203200</xdr:rowOff>
    </xdr:from>
    <xdr:ext cx="618067" cy="406399"/>
    <xdr:sp macro="" textlink="">
      <xdr:nvSpPr>
        <xdr:cNvPr id="22" name="テキスト ボックス 21">
          <a:extLst>
            <a:ext uri="{FF2B5EF4-FFF2-40B4-BE49-F238E27FC236}">
              <a16:creationId xmlns:a16="http://schemas.microsoft.com/office/drawing/2014/main" id="{B74A8D5C-393A-452F-B22E-43EF79ACAB35}"/>
            </a:ext>
          </a:extLst>
        </xdr:cNvPr>
        <xdr:cNvSpPr txBox="1"/>
      </xdr:nvSpPr>
      <xdr:spPr>
        <a:xfrm>
          <a:off x="3251200" y="3124200"/>
          <a:ext cx="618067" cy="406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p>
      </xdr:txBody>
    </xdr:sp>
    <xdr:clientData/>
  </xdr:oneCellAnchor>
  <xdr:oneCellAnchor>
    <xdr:from>
      <xdr:col>5</xdr:col>
      <xdr:colOff>406400</xdr:colOff>
      <xdr:row>2</xdr:row>
      <xdr:rowOff>42334</xdr:rowOff>
    </xdr:from>
    <xdr:ext cx="618067" cy="406399"/>
    <xdr:sp macro="" textlink="">
      <xdr:nvSpPr>
        <xdr:cNvPr id="23" name="テキスト ボックス 22">
          <a:extLst>
            <a:ext uri="{FF2B5EF4-FFF2-40B4-BE49-F238E27FC236}">
              <a16:creationId xmlns:a16="http://schemas.microsoft.com/office/drawing/2014/main" id="{F6EC63EE-3B88-489D-BE92-19ABD8407343}"/>
            </a:ext>
          </a:extLst>
        </xdr:cNvPr>
        <xdr:cNvSpPr txBox="1"/>
      </xdr:nvSpPr>
      <xdr:spPr>
        <a:xfrm>
          <a:off x="3369733" y="897467"/>
          <a:ext cx="618067" cy="4063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p>
      </xdr:txBody>
    </xdr:sp>
    <xdr:clientData/>
  </xdr:oneCellAnchor>
  <xdr:oneCellAnchor>
    <xdr:from>
      <xdr:col>4</xdr:col>
      <xdr:colOff>584200</xdr:colOff>
      <xdr:row>17</xdr:row>
      <xdr:rowOff>67734</xdr:rowOff>
    </xdr:from>
    <xdr:ext cx="3361267" cy="804332"/>
    <xdr:sp macro="" textlink="">
      <xdr:nvSpPr>
        <xdr:cNvPr id="3" name="テキスト ボックス 2">
          <a:extLst>
            <a:ext uri="{FF2B5EF4-FFF2-40B4-BE49-F238E27FC236}">
              <a16:creationId xmlns:a16="http://schemas.microsoft.com/office/drawing/2014/main" id="{E39ED741-13BF-457D-867E-5E89095B574B}"/>
            </a:ext>
          </a:extLst>
        </xdr:cNvPr>
        <xdr:cNvSpPr txBox="1"/>
      </xdr:nvSpPr>
      <xdr:spPr>
        <a:xfrm>
          <a:off x="2878667" y="4419601"/>
          <a:ext cx="3361267" cy="804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差額</a:t>
          </a:r>
          <a:endParaRPr kumimoji="1" lang="en-US" altLang="ja-JP" sz="1600" b="1" kern="1200"/>
        </a:p>
        <a:p>
          <a:r>
            <a:rPr kumimoji="1" lang="ja-JP" altLang="en-US" sz="1200" b="1" kern="1200"/>
            <a:t>０になるまで⑦を修正</a:t>
          </a:r>
        </a:p>
      </xdr:txBody>
    </xdr:sp>
    <xdr:clientData/>
  </xdr:oneCellAnchor>
  <xdr:twoCellAnchor editAs="oneCell">
    <xdr:from>
      <xdr:col>17</xdr:col>
      <xdr:colOff>473075</xdr:colOff>
      <xdr:row>35</xdr:row>
      <xdr:rowOff>70908</xdr:rowOff>
    </xdr:from>
    <xdr:to>
      <xdr:col>20</xdr:col>
      <xdr:colOff>535517</xdr:colOff>
      <xdr:row>38</xdr:row>
      <xdr:rowOff>125574</xdr:rowOff>
    </xdr:to>
    <xdr:pic>
      <xdr:nvPicPr>
        <xdr:cNvPr id="8" name="図 7">
          <a:extLst>
            <a:ext uri="{FF2B5EF4-FFF2-40B4-BE49-F238E27FC236}">
              <a16:creationId xmlns:a16="http://schemas.microsoft.com/office/drawing/2014/main" id="{1F7D1A69-B03B-4213-BFEF-62E6A10266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12625" y="8662458"/>
          <a:ext cx="2062692"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17</xdr:row>
      <xdr:rowOff>106680</xdr:rowOff>
    </xdr:from>
    <xdr:to>
      <xdr:col>12</xdr:col>
      <xdr:colOff>114300</xdr:colOff>
      <xdr:row>21</xdr:row>
      <xdr:rowOff>175260</xdr:rowOff>
    </xdr:to>
    <xdr:sp macro="" textlink="">
      <xdr:nvSpPr>
        <xdr:cNvPr id="2" name="テキスト ボックス 1">
          <a:extLst>
            <a:ext uri="{FF2B5EF4-FFF2-40B4-BE49-F238E27FC236}">
              <a16:creationId xmlns:a16="http://schemas.microsoft.com/office/drawing/2014/main" id="{2CB9F529-2431-A221-E544-56ABF5BDE726}"/>
            </a:ext>
          </a:extLst>
        </xdr:cNvPr>
        <xdr:cNvSpPr txBox="1"/>
      </xdr:nvSpPr>
      <xdr:spPr>
        <a:xfrm>
          <a:off x="3489960" y="6195060"/>
          <a:ext cx="4343400" cy="12268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前期よりも２％～１０％以上の昇給、増員の計画を入れる事。</a:t>
          </a:r>
          <a:endParaRPr kumimoji="1" lang="en-US" altLang="ja-JP" sz="1100" kern="1200"/>
        </a:p>
        <a:p>
          <a:r>
            <a:rPr kumimoji="1" lang="ja-JP" altLang="en-US" sz="1100" kern="1200"/>
            <a:t>アバウトでも良い。この社長の採用と昇給の意思決定が有無で会社の未来は大きく変わります！ </a:t>
          </a:r>
          <a:endParaRPr kumimoji="1" lang="en-US" altLang="ja-JP" sz="1100" kern="1200"/>
        </a:p>
        <a:p>
          <a:r>
            <a:rPr kumimoji="1" lang="ja-JP" altLang="en-US" sz="1100" kern="1200"/>
            <a:t>上昇率が１００％以上になる事が望ましい。</a:t>
          </a:r>
        </a:p>
      </xdr:txBody>
    </xdr:sp>
    <xdr:clientData/>
  </xdr:twoCellAnchor>
  <xdr:oneCellAnchor>
    <xdr:from>
      <xdr:col>11</xdr:col>
      <xdr:colOff>274320</xdr:colOff>
      <xdr:row>1</xdr:row>
      <xdr:rowOff>266700</xdr:rowOff>
    </xdr:from>
    <xdr:ext cx="2723823" cy="564514"/>
    <xdr:sp macro="" textlink="">
      <xdr:nvSpPr>
        <xdr:cNvPr id="3" name="テキスト ボックス 2">
          <a:extLst>
            <a:ext uri="{FF2B5EF4-FFF2-40B4-BE49-F238E27FC236}">
              <a16:creationId xmlns:a16="http://schemas.microsoft.com/office/drawing/2014/main" id="{D94A9B4A-93C0-5DAA-7CF4-CA1E835A3FEE}"/>
            </a:ext>
          </a:extLst>
        </xdr:cNvPr>
        <xdr:cNvSpPr txBox="1"/>
      </xdr:nvSpPr>
      <xdr:spPr>
        <a:xfrm>
          <a:off x="7018020" y="495300"/>
          <a:ext cx="2723823" cy="564514"/>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solidFill>
                <a:sysClr val="windowText" lastClr="000000"/>
              </a:solidFill>
            </a:rPr>
            <a:t>ここの数字は百万円単位で記入する事！</a:t>
          </a:r>
          <a:endParaRPr kumimoji="1" lang="en-US" altLang="ja-JP" sz="1100" kern="1200">
            <a:solidFill>
              <a:sysClr val="windowText" lastClr="000000"/>
            </a:solidFill>
          </a:endParaRPr>
        </a:p>
        <a:p>
          <a:r>
            <a:rPr kumimoji="1" lang="ja-JP" altLang="en-US" sz="1100" kern="1200">
              <a:solidFill>
                <a:sysClr val="windowText" lastClr="000000"/>
              </a:solidFill>
            </a:rPr>
            <a:t>５３０万円（年収）の場合</a:t>
          </a:r>
          <a:r>
            <a:rPr kumimoji="1" lang="en-US" altLang="ja-JP" sz="1100" kern="1200">
              <a:solidFill>
                <a:sysClr val="windowText" lastClr="000000"/>
              </a:solidFill>
            </a:rPr>
            <a:t>5.3</a:t>
          </a:r>
          <a:r>
            <a:rPr kumimoji="1" lang="ja-JP" altLang="en-US" sz="1100" kern="1200">
              <a:solidFill>
                <a:sysClr val="windowText" lastClr="000000"/>
              </a:solidFill>
            </a:rPr>
            <a:t>と記入</a:t>
          </a:r>
          <a:endParaRPr kumimoji="1" lang="en-US" altLang="ja-JP" sz="1100" kern="1200">
            <a:solidFill>
              <a:sysClr val="windowText" lastClr="000000"/>
            </a:solidFill>
          </a:endParaRPr>
        </a:p>
      </xdr:txBody>
    </xdr:sp>
    <xdr:clientData/>
  </xdr:oneCellAnchor>
  <xdr:twoCellAnchor>
    <xdr:from>
      <xdr:col>6</xdr:col>
      <xdr:colOff>30480</xdr:colOff>
      <xdr:row>15</xdr:row>
      <xdr:rowOff>53340</xdr:rowOff>
    </xdr:from>
    <xdr:to>
      <xdr:col>9</xdr:col>
      <xdr:colOff>121920</xdr:colOff>
      <xdr:row>17</xdr:row>
      <xdr:rowOff>83820</xdr:rowOff>
    </xdr:to>
    <xdr:sp macro="" textlink="">
      <xdr:nvSpPr>
        <xdr:cNvPr id="4" name="テキスト ボックス 3">
          <a:extLst>
            <a:ext uri="{FF2B5EF4-FFF2-40B4-BE49-F238E27FC236}">
              <a16:creationId xmlns:a16="http://schemas.microsoft.com/office/drawing/2014/main" id="{9B909209-30DC-4339-9744-4A6E2C1A8177}"/>
            </a:ext>
          </a:extLst>
        </xdr:cNvPr>
        <xdr:cNvSpPr txBox="1"/>
      </xdr:nvSpPr>
      <xdr:spPr>
        <a:xfrm>
          <a:off x="3520440" y="5562600"/>
          <a:ext cx="2407920" cy="609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現状の内部社員数を入力する</a:t>
          </a:r>
          <a:endParaRPr kumimoji="1" lang="en-US" altLang="ja-JP" sz="1100" kern="1200"/>
        </a:p>
        <a:p>
          <a:r>
            <a:rPr kumimoji="1" lang="ja-JP" altLang="en-US" sz="1100" kern="1200"/>
            <a:t>役員は含まない。</a:t>
          </a:r>
          <a:endParaRPr kumimoji="1" lang="en-US" altLang="ja-JP" sz="1100" kern="1200"/>
        </a:p>
      </xdr:txBody>
    </xdr:sp>
    <xdr:clientData/>
  </xdr:twoCellAnchor>
  <xdr:twoCellAnchor>
    <xdr:from>
      <xdr:col>4</xdr:col>
      <xdr:colOff>0</xdr:colOff>
      <xdr:row>14</xdr:row>
      <xdr:rowOff>419100</xdr:rowOff>
    </xdr:from>
    <xdr:to>
      <xdr:col>6</xdr:col>
      <xdr:colOff>30480</xdr:colOff>
      <xdr:row>16</xdr:row>
      <xdr:rowOff>129540</xdr:rowOff>
    </xdr:to>
    <xdr:cxnSp macro="">
      <xdr:nvCxnSpPr>
        <xdr:cNvPr id="5" name="直線矢印コネクタ 4">
          <a:extLst>
            <a:ext uri="{FF2B5EF4-FFF2-40B4-BE49-F238E27FC236}">
              <a16:creationId xmlns:a16="http://schemas.microsoft.com/office/drawing/2014/main" id="{C9901407-8AA0-4F52-B93D-2C8CC6E56DB5}"/>
            </a:ext>
          </a:extLst>
        </xdr:cNvPr>
        <xdr:cNvCxnSpPr>
          <a:stCxn id="4" idx="1"/>
        </xdr:cNvCxnSpPr>
      </xdr:nvCxnSpPr>
      <xdr:spPr>
        <a:xfrm flipH="1" flipV="1">
          <a:off x="2476500" y="5486400"/>
          <a:ext cx="1036320" cy="3810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121920</xdr:colOff>
      <xdr:row>15</xdr:row>
      <xdr:rowOff>15240</xdr:rowOff>
    </xdr:from>
    <xdr:to>
      <xdr:col>13</xdr:col>
      <xdr:colOff>0</xdr:colOff>
      <xdr:row>16</xdr:row>
      <xdr:rowOff>129540</xdr:rowOff>
    </xdr:to>
    <xdr:cxnSp macro="">
      <xdr:nvCxnSpPr>
        <xdr:cNvPr id="7" name="直線矢印コネクタ 6">
          <a:extLst>
            <a:ext uri="{FF2B5EF4-FFF2-40B4-BE49-F238E27FC236}">
              <a16:creationId xmlns:a16="http://schemas.microsoft.com/office/drawing/2014/main" id="{44AC65DF-94EC-4453-A664-FEE77413BCAA}"/>
            </a:ext>
          </a:extLst>
        </xdr:cNvPr>
        <xdr:cNvCxnSpPr>
          <a:stCxn id="4" idx="3"/>
        </xdr:cNvCxnSpPr>
      </xdr:nvCxnSpPr>
      <xdr:spPr>
        <a:xfrm flipV="1">
          <a:off x="5913120" y="5524500"/>
          <a:ext cx="2453640" cy="3429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262890</xdr:colOff>
      <xdr:row>14</xdr:row>
      <xdr:rowOff>403860</xdr:rowOff>
    </xdr:from>
    <xdr:to>
      <xdr:col>8</xdr:col>
      <xdr:colOff>30480</xdr:colOff>
      <xdr:row>15</xdr:row>
      <xdr:rowOff>53340</xdr:rowOff>
    </xdr:to>
    <xdr:cxnSp macro="">
      <xdr:nvCxnSpPr>
        <xdr:cNvPr id="10" name="直線矢印コネクタ 9">
          <a:extLst>
            <a:ext uri="{FF2B5EF4-FFF2-40B4-BE49-F238E27FC236}">
              <a16:creationId xmlns:a16="http://schemas.microsoft.com/office/drawing/2014/main" id="{F99DC006-FEAE-4A4C-ADA8-44C07DE5D45B}"/>
            </a:ext>
          </a:extLst>
        </xdr:cNvPr>
        <xdr:cNvCxnSpPr>
          <a:stCxn id="4" idx="0"/>
        </xdr:cNvCxnSpPr>
      </xdr:nvCxnSpPr>
      <xdr:spPr>
        <a:xfrm flipV="1">
          <a:off x="4712970" y="5471160"/>
          <a:ext cx="438150" cy="9144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487680</xdr:colOff>
      <xdr:row>24</xdr:row>
      <xdr:rowOff>30480</xdr:rowOff>
    </xdr:from>
    <xdr:to>
      <xdr:col>15</xdr:col>
      <xdr:colOff>541867</xdr:colOff>
      <xdr:row>27</xdr:row>
      <xdr:rowOff>85146</xdr:rowOff>
    </xdr:to>
    <xdr:pic>
      <xdr:nvPicPr>
        <xdr:cNvPr id="6" name="図 5">
          <a:extLst>
            <a:ext uri="{FF2B5EF4-FFF2-40B4-BE49-F238E27FC236}">
              <a16:creationId xmlns:a16="http://schemas.microsoft.com/office/drawing/2014/main" id="{10A5C0ED-94FF-42AD-B099-FCD4B0170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6740" y="7962900"/>
          <a:ext cx="2065867"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364067</xdr:colOff>
      <xdr:row>42</xdr:row>
      <xdr:rowOff>93134</xdr:rowOff>
    </xdr:from>
    <xdr:to>
      <xdr:col>11</xdr:col>
      <xdr:colOff>567268</xdr:colOff>
      <xdr:row>43</xdr:row>
      <xdr:rowOff>325600</xdr:rowOff>
    </xdr:to>
    <xdr:pic>
      <xdr:nvPicPr>
        <xdr:cNvPr id="2" name="図 1">
          <a:extLst>
            <a:ext uri="{FF2B5EF4-FFF2-40B4-BE49-F238E27FC236}">
              <a16:creationId xmlns:a16="http://schemas.microsoft.com/office/drawing/2014/main" id="{FA8565C7-E606-4587-97C0-08FA150FA4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41734" y="14181667"/>
          <a:ext cx="2065867" cy="740466"/>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406400</xdr:colOff>
      <xdr:row>25</xdr:row>
      <xdr:rowOff>84667</xdr:rowOff>
    </xdr:from>
    <xdr:to>
      <xdr:col>9</xdr:col>
      <xdr:colOff>397933</xdr:colOff>
      <xdr:row>30</xdr:row>
      <xdr:rowOff>245534</xdr:rowOff>
    </xdr:to>
    <xdr:sp macro="" textlink="">
      <xdr:nvSpPr>
        <xdr:cNvPr id="3" name="テキスト ボックス 2">
          <a:extLst>
            <a:ext uri="{FF2B5EF4-FFF2-40B4-BE49-F238E27FC236}">
              <a16:creationId xmlns:a16="http://schemas.microsoft.com/office/drawing/2014/main" id="{81E8FA12-C865-4DBF-B682-A6797AE43C16}"/>
            </a:ext>
          </a:extLst>
        </xdr:cNvPr>
        <xdr:cNvSpPr txBox="1"/>
      </xdr:nvSpPr>
      <xdr:spPr>
        <a:xfrm>
          <a:off x="3640667" y="8712200"/>
          <a:ext cx="4334933" cy="176953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✅売上が増えれば経費も人件費も増えます。</a:t>
          </a:r>
          <a:endParaRPr kumimoji="1" lang="en-US" altLang="ja-JP" sz="1100" kern="1200"/>
        </a:p>
        <a:p>
          <a:r>
            <a:rPr kumimoji="1" lang="ja-JP" altLang="en-US" sz="1100" kern="1200"/>
            <a:t>必要な経費は使い、無駄な費用は圧縮させます。</a:t>
          </a:r>
          <a:endParaRPr kumimoji="1" lang="en-US" altLang="ja-JP" sz="1100" kern="1200"/>
        </a:p>
        <a:p>
          <a:r>
            <a:rPr kumimoji="1" lang="ja-JP" altLang="en-US" sz="1100" kern="1200"/>
            <a:t>基本的には前年度よりも多く経費を記入する事です。</a:t>
          </a:r>
          <a:endParaRPr kumimoji="1" lang="en-US" altLang="ja-JP" sz="1100" kern="1200"/>
        </a:p>
        <a:p>
          <a:r>
            <a:rPr kumimoji="1" lang="ja-JP" altLang="en-US" sz="1100" kern="1200"/>
            <a:t>１０５％～１１５％が望ましい。</a:t>
          </a:r>
          <a:endParaRPr kumimoji="1" lang="en-US" altLang="ja-JP" sz="1100" kern="1200"/>
        </a:p>
        <a:p>
          <a:endParaRPr kumimoji="1" lang="en-US" altLang="ja-JP" sz="1100" kern="1200"/>
        </a:p>
        <a:p>
          <a:r>
            <a:rPr kumimoji="1" lang="en-US" altLang="ja-JP" sz="1100" kern="1200"/>
            <a:t>※</a:t>
          </a:r>
          <a:r>
            <a:rPr kumimoji="1" lang="ja-JP" altLang="en-US" sz="1100" kern="1200"/>
            <a:t>項目は自由に書き足し、訂正可能。</a:t>
          </a:r>
          <a:endParaRPr kumimoji="1" lang="en-US" altLang="ja-JP" sz="1100" kern="1200"/>
        </a:p>
        <a:p>
          <a:r>
            <a:rPr kumimoji="1" lang="ja-JP" altLang="en-US" sz="1100" kern="1200"/>
            <a:t>現状よりも必ず上げるように調整しましょう。</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11</xdr:col>
      <xdr:colOff>211666</xdr:colOff>
      <xdr:row>1</xdr:row>
      <xdr:rowOff>203200</xdr:rowOff>
    </xdr:from>
    <xdr:ext cx="2723823" cy="564514"/>
    <xdr:sp macro="" textlink="">
      <xdr:nvSpPr>
        <xdr:cNvPr id="3" name="テキスト ボックス 2">
          <a:extLst>
            <a:ext uri="{FF2B5EF4-FFF2-40B4-BE49-F238E27FC236}">
              <a16:creationId xmlns:a16="http://schemas.microsoft.com/office/drawing/2014/main" id="{CC5E5438-6B2C-43AB-B29C-55AB1B2B4B57}"/>
            </a:ext>
          </a:extLst>
        </xdr:cNvPr>
        <xdr:cNvSpPr txBox="1"/>
      </xdr:nvSpPr>
      <xdr:spPr>
        <a:xfrm>
          <a:off x="6951133" y="203200"/>
          <a:ext cx="2723823" cy="564514"/>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solidFill>
                <a:sysClr val="windowText" lastClr="000000"/>
              </a:solidFill>
            </a:rPr>
            <a:t>ここの数字は百万円単位で記入する事！</a:t>
          </a:r>
          <a:endParaRPr kumimoji="1" lang="en-US" altLang="ja-JP" sz="1100" kern="1200">
            <a:solidFill>
              <a:sysClr val="windowText" lastClr="000000"/>
            </a:solidFill>
          </a:endParaRPr>
        </a:p>
        <a:p>
          <a:r>
            <a:rPr kumimoji="1" lang="ja-JP" altLang="en-US" sz="1100" kern="1200">
              <a:solidFill>
                <a:sysClr val="windowText" lastClr="000000"/>
              </a:solidFill>
            </a:rPr>
            <a:t>５３０万円（年収）の場合</a:t>
          </a:r>
          <a:r>
            <a:rPr kumimoji="1" lang="en-US" altLang="ja-JP" sz="1100" kern="1200">
              <a:solidFill>
                <a:sysClr val="windowText" lastClr="000000"/>
              </a:solidFill>
            </a:rPr>
            <a:t>5.3</a:t>
          </a:r>
          <a:r>
            <a:rPr kumimoji="1" lang="ja-JP" altLang="en-US" sz="1100" kern="1200">
              <a:solidFill>
                <a:sysClr val="windowText" lastClr="000000"/>
              </a:solidFill>
            </a:rPr>
            <a:t>と記入</a:t>
          </a:r>
          <a:endParaRPr kumimoji="1" lang="en-US" altLang="ja-JP" sz="1100" kern="1200">
            <a:solidFill>
              <a:sysClr val="windowText" lastClr="000000"/>
            </a:solidFill>
          </a:endParaRPr>
        </a:p>
      </xdr:txBody>
    </xdr:sp>
    <xdr:clientData/>
  </xdr:oneCellAnchor>
  <xdr:twoCellAnchor>
    <xdr:from>
      <xdr:col>6</xdr:col>
      <xdr:colOff>50800</xdr:colOff>
      <xdr:row>17</xdr:row>
      <xdr:rowOff>228598</xdr:rowOff>
    </xdr:from>
    <xdr:to>
      <xdr:col>12</xdr:col>
      <xdr:colOff>169334</xdr:colOff>
      <xdr:row>22</xdr:row>
      <xdr:rowOff>75352</xdr:rowOff>
    </xdr:to>
    <xdr:sp macro="" textlink="">
      <xdr:nvSpPr>
        <xdr:cNvPr id="4" name="テキスト ボックス 3">
          <a:extLst>
            <a:ext uri="{FF2B5EF4-FFF2-40B4-BE49-F238E27FC236}">
              <a16:creationId xmlns:a16="http://schemas.microsoft.com/office/drawing/2014/main" id="{CD989FB3-43EC-4703-9153-9866340F12C7}"/>
            </a:ext>
          </a:extLst>
        </xdr:cNvPr>
        <xdr:cNvSpPr txBox="1"/>
      </xdr:nvSpPr>
      <xdr:spPr>
        <a:xfrm>
          <a:off x="3539067" y="6358465"/>
          <a:ext cx="4343400" cy="12268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前期よりも２％～１０％以上の昇給、増員の計画を入れる事。</a:t>
          </a:r>
          <a:endParaRPr kumimoji="1" lang="en-US" altLang="ja-JP" sz="1100" kern="1200"/>
        </a:p>
        <a:p>
          <a:r>
            <a:rPr kumimoji="1" lang="ja-JP" altLang="en-US" sz="1100" kern="1200"/>
            <a:t>アバウトでも良い。この社長の採用と昇給の意思決定が有無で会社の未来は大きく変わります！ </a:t>
          </a:r>
          <a:endParaRPr kumimoji="1" lang="en-US" altLang="ja-JP" sz="1100" kern="1200"/>
        </a:p>
        <a:p>
          <a:r>
            <a:rPr kumimoji="1" lang="ja-JP" altLang="en-US" sz="1100" kern="1200"/>
            <a:t>上昇率が１００％以上になる事が望ましい。</a:t>
          </a:r>
        </a:p>
      </xdr:txBody>
    </xdr:sp>
    <xdr:clientData/>
  </xdr:twoCellAnchor>
  <xdr:twoCellAnchor>
    <xdr:from>
      <xdr:col>3</xdr:col>
      <xdr:colOff>651933</xdr:colOff>
      <xdr:row>14</xdr:row>
      <xdr:rowOff>414866</xdr:rowOff>
    </xdr:from>
    <xdr:to>
      <xdr:col>6</xdr:col>
      <xdr:colOff>59266</xdr:colOff>
      <xdr:row>16</xdr:row>
      <xdr:rowOff>238760</xdr:rowOff>
    </xdr:to>
    <xdr:cxnSp macro="">
      <xdr:nvCxnSpPr>
        <xdr:cNvPr id="7" name="直線矢印コネクタ 6">
          <a:extLst>
            <a:ext uri="{FF2B5EF4-FFF2-40B4-BE49-F238E27FC236}">
              <a16:creationId xmlns:a16="http://schemas.microsoft.com/office/drawing/2014/main" id="{5E3EE234-61A9-CFDF-6064-C500CC7D965D}"/>
            </a:ext>
          </a:extLst>
        </xdr:cNvPr>
        <xdr:cNvCxnSpPr>
          <a:cxnSpLocks/>
        </xdr:cNvCxnSpPr>
      </xdr:nvCxnSpPr>
      <xdr:spPr>
        <a:xfrm flipH="1" flipV="1">
          <a:off x="2463800" y="5528733"/>
          <a:ext cx="1083733" cy="49276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541020</xdr:colOff>
      <xdr:row>14</xdr:row>
      <xdr:rowOff>363220</xdr:rowOff>
    </xdr:from>
    <xdr:to>
      <xdr:col>8</xdr:col>
      <xdr:colOff>168486</xdr:colOff>
      <xdr:row>15</xdr:row>
      <xdr:rowOff>185420</xdr:rowOff>
    </xdr:to>
    <xdr:cxnSp macro="">
      <xdr:nvCxnSpPr>
        <xdr:cNvPr id="11" name="直線矢印コネクタ 10">
          <a:extLst>
            <a:ext uri="{FF2B5EF4-FFF2-40B4-BE49-F238E27FC236}">
              <a16:creationId xmlns:a16="http://schemas.microsoft.com/office/drawing/2014/main" id="{1FF37004-E56B-47C4-AAE1-089A47E02549}"/>
            </a:ext>
          </a:extLst>
        </xdr:cNvPr>
        <xdr:cNvCxnSpPr/>
      </xdr:nvCxnSpPr>
      <xdr:spPr>
        <a:xfrm flipV="1">
          <a:off x="5006340" y="5430520"/>
          <a:ext cx="298026" cy="26416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184573</xdr:colOff>
      <xdr:row>15</xdr:row>
      <xdr:rowOff>16934</xdr:rowOff>
    </xdr:from>
    <xdr:to>
      <xdr:col>13</xdr:col>
      <xdr:colOff>143933</xdr:colOff>
      <xdr:row>16</xdr:row>
      <xdr:rowOff>238760</xdr:rowOff>
    </xdr:to>
    <xdr:cxnSp macro="">
      <xdr:nvCxnSpPr>
        <xdr:cNvPr id="13" name="直線矢印コネクタ 12">
          <a:extLst>
            <a:ext uri="{FF2B5EF4-FFF2-40B4-BE49-F238E27FC236}">
              <a16:creationId xmlns:a16="http://schemas.microsoft.com/office/drawing/2014/main" id="{0DC71DEE-AE21-4031-BD1B-5C01FF724935}"/>
            </a:ext>
          </a:extLst>
        </xdr:cNvPr>
        <xdr:cNvCxnSpPr>
          <a:cxnSpLocks/>
        </xdr:cNvCxnSpPr>
      </xdr:nvCxnSpPr>
      <xdr:spPr>
        <a:xfrm flipV="1">
          <a:off x="5315373" y="5571067"/>
          <a:ext cx="3210560" cy="45042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518160</xdr:colOff>
      <xdr:row>25</xdr:row>
      <xdr:rowOff>15240</xdr:rowOff>
    </xdr:from>
    <xdr:to>
      <xdr:col>15</xdr:col>
      <xdr:colOff>572347</xdr:colOff>
      <xdr:row>28</xdr:row>
      <xdr:rowOff>69906</xdr:rowOff>
    </xdr:to>
    <xdr:pic>
      <xdr:nvPicPr>
        <xdr:cNvPr id="2" name="図 1">
          <a:extLst>
            <a:ext uri="{FF2B5EF4-FFF2-40B4-BE49-F238E27FC236}">
              <a16:creationId xmlns:a16="http://schemas.microsoft.com/office/drawing/2014/main" id="{C19F708F-817E-4E55-8064-9F5C770C5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37220" y="8153400"/>
          <a:ext cx="2065867" cy="740466"/>
        </a:xfrm>
        <a:prstGeom prst="rect">
          <a:avLst/>
        </a:prstGeom>
        <a:effectLst>
          <a:outerShdw blurRad="50800" dist="50800" dir="5400000" algn="ctr" rotWithShape="0">
            <a:srgbClr val="000000">
              <a:alpha val="98000"/>
            </a:srgbClr>
          </a:outerShdw>
        </a:effectLst>
      </xdr:spPr>
    </xdr:pic>
    <xdr:clientData/>
  </xdr:twoCellAnchor>
  <xdr:twoCellAnchor>
    <xdr:from>
      <xdr:col>6</xdr:col>
      <xdr:colOff>68580</xdr:colOff>
      <xdr:row>15</xdr:row>
      <xdr:rowOff>167640</xdr:rowOff>
    </xdr:from>
    <xdr:to>
      <xdr:col>9</xdr:col>
      <xdr:colOff>160020</xdr:colOff>
      <xdr:row>17</xdr:row>
      <xdr:rowOff>205740</xdr:rowOff>
    </xdr:to>
    <xdr:sp macro="" textlink="">
      <xdr:nvSpPr>
        <xdr:cNvPr id="6" name="テキスト ボックス 5">
          <a:extLst>
            <a:ext uri="{FF2B5EF4-FFF2-40B4-BE49-F238E27FC236}">
              <a16:creationId xmlns:a16="http://schemas.microsoft.com/office/drawing/2014/main" id="{DE304B11-1309-4EC6-AF9A-106737F70EDA}"/>
            </a:ext>
          </a:extLst>
        </xdr:cNvPr>
        <xdr:cNvSpPr txBox="1"/>
      </xdr:nvSpPr>
      <xdr:spPr>
        <a:xfrm>
          <a:off x="3558540" y="5676900"/>
          <a:ext cx="2407920" cy="609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現状の内部社員数を入力する</a:t>
          </a:r>
          <a:endParaRPr kumimoji="1" lang="en-US" altLang="ja-JP" sz="1100" kern="1200"/>
        </a:p>
        <a:p>
          <a:r>
            <a:rPr kumimoji="1" lang="ja-JP" altLang="en-US" sz="1100" kern="1200"/>
            <a:t>役員は含まない。</a:t>
          </a:r>
          <a:endParaRPr kumimoji="1" lang="en-US" altLang="ja-JP"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965200</xdr:colOff>
      <xdr:row>41</xdr:row>
      <xdr:rowOff>143933</xdr:rowOff>
    </xdr:from>
    <xdr:to>
      <xdr:col>13</xdr:col>
      <xdr:colOff>499533</xdr:colOff>
      <xdr:row>43</xdr:row>
      <xdr:rowOff>215532</xdr:rowOff>
    </xdr:to>
    <xdr:pic>
      <xdr:nvPicPr>
        <xdr:cNvPr id="2" name="図 1">
          <a:extLst>
            <a:ext uri="{FF2B5EF4-FFF2-40B4-BE49-F238E27FC236}">
              <a16:creationId xmlns:a16="http://schemas.microsoft.com/office/drawing/2014/main" id="{365CDC2E-7BD5-4742-9AF0-4F78B0F79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7133" y="13792200"/>
          <a:ext cx="2065867" cy="740466"/>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127001</xdr:colOff>
      <xdr:row>18</xdr:row>
      <xdr:rowOff>8466</xdr:rowOff>
    </xdr:from>
    <xdr:to>
      <xdr:col>9</xdr:col>
      <xdr:colOff>118534</xdr:colOff>
      <xdr:row>23</xdr:row>
      <xdr:rowOff>169333</xdr:rowOff>
    </xdr:to>
    <xdr:sp macro="" textlink="">
      <xdr:nvSpPr>
        <xdr:cNvPr id="4" name="テキスト ボックス 3">
          <a:extLst>
            <a:ext uri="{FF2B5EF4-FFF2-40B4-BE49-F238E27FC236}">
              <a16:creationId xmlns:a16="http://schemas.microsoft.com/office/drawing/2014/main" id="{1B9387E9-0425-43F7-ACBD-26DD74710213}"/>
            </a:ext>
          </a:extLst>
        </xdr:cNvPr>
        <xdr:cNvSpPr txBox="1"/>
      </xdr:nvSpPr>
      <xdr:spPr>
        <a:xfrm>
          <a:off x="3378201" y="6256866"/>
          <a:ext cx="4343400" cy="176953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✅売上が増えれば経費も人件費も増えます。</a:t>
          </a:r>
          <a:endParaRPr kumimoji="1" lang="en-US" altLang="ja-JP" sz="1100" kern="1200"/>
        </a:p>
        <a:p>
          <a:r>
            <a:rPr kumimoji="1" lang="ja-JP" altLang="en-US" sz="1100" kern="1200"/>
            <a:t>必要な経費は使い、無駄な費用は圧縮させます。</a:t>
          </a:r>
          <a:endParaRPr kumimoji="1" lang="en-US" altLang="ja-JP" sz="1100" kern="1200"/>
        </a:p>
        <a:p>
          <a:r>
            <a:rPr kumimoji="1" lang="ja-JP" altLang="en-US" sz="1100" kern="1200"/>
            <a:t>基本的には前年度よりも多く経費を記入する事です。</a:t>
          </a:r>
          <a:endParaRPr kumimoji="1" lang="en-US" altLang="ja-JP" sz="1100" kern="1200"/>
        </a:p>
        <a:p>
          <a:r>
            <a:rPr kumimoji="1" lang="ja-JP" altLang="en-US" sz="1100" kern="1200"/>
            <a:t>１０５％～１１５％が望ましい。</a:t>
          </a:r>
          <a:endParaRPr kumimoji="1" lang="en-US" altLang="ja-JP" sz="1100" kern="1200"/>
        </a:p>
        <a:p>
          <a:endParaRPr kumimoji="1" lang="en-US" altLang="ja-JP" sz="1100" kern="1200"/>
        </a:p>
        <a:p>
          <a:r>
            <a:rPr kumimoji="1" lang="en-US" altLang="ja-JP" sz="1100" kern="1200"/>
            <a:t>※</a:t>
          </a:r>
          <a:r>
            <a:rPr kumimoji="1" lang="ja-JP" altLang="en-US" sz="1100" kern="1200"/>
            <a:t>項目は自由に書き足し、訂正可能。</a:t>
          </a:r>
          <a:endParaRPr kumimoji="1" lang="en-US" altLang="ja-JP" sz="1100" kern="1200"/>
        </a:p>
        <a:p>
          <a:r>
            <a:rPr kumimoji="1" lang="ja-JP" altLang="en-US" sz="1100" kern="1200"/>
            <a:t>現状よりも必ず上げるように調整しましょう。</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42334</xdr:colOff>
      <xdr:row>3</xdr:row>
      <xdr:rowOff>220134</xdr:rowOff>
    </xdr:from>
    <xdr:to>
      <xdr:col>9</xdr:col>
      <xdr:colOff>643467</xdr:colOff>
      <xdr:row>7</xdr:row>
      <xdr:rowOff>220134</xdr:rowOff>
    </xdr:to>
    <xdr:sp macro="" textlink="">
      <xdr:nvSpPr>
        <xdr:cNvPr id="2" name="テキスト ボックス 1">
          <a:extLst>
            <a:ext uri="{FF2B5EF4-FFF2-40B4-BE49-F238E27FC236}">
              <a16:creationId xmlns:a16="http://schemas.microsoft.com/office/drawing/2014/main" id="{3EEC3D0E-85E2-DCD0-538B-6D08FD922626}"/>
            </a:ext>
          </a:extLst>
        </xdr:cNvPr>
        <xdr:cNvSpPr txBox="1"/>
      </xdr:nvSpPr>
      <xdr:spPr>
        <a:xfrm>
          <a:off x="8051801" y="1413934"/>
          <a:ext cx="1947333" cy="914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①業種、種別、商品名など商品群として並べたいものを任意で追記して良い</a:t>
          </a:r>
        </a:p>
      </xdr:txBody>
    </xdr:sp>
    <xdr:clientData/>
  </xdr:twoCellAnchor>
  <xdr:twoCellAnchor>
    <xdr:from>
      <xdr:col>0</xdr:col>
      <xdr:colOff>999067</xdr:colOff>
      <xdr:row>5</xdr:row>
      <xdr:rowOff>220134</xdr:rowOff>
    </xdr:from>
    <xdr:to>
      <xdr:col>7</xdr:col>
      <xdr:colOff>42334</xdr:colOff>
      <xdr:row>6</xdr:row>
      <xdr:rowOff>194733</xdr:rowOff>
    </xdr:to>
    <xdr:cxnSp macro="">
      <xdr:nvCxnSpPr>
        <xdr:cNvPr id="4" name="直線矢印コネクタ 3">
          <a:extLst>
            <a:ext uri="{FF2B5EF4-FFF2-40B4-BE49-F238E27FC236}">
              <a16:creationId xmlns:a16="http://schemas.microsoft.com/office/drawing/2014/main" id="{D8E0A9DC-AF4E-93B0-2DD8-B0BFAB1FE82B}"/>
            </a:ext>
          </a:extLst>
        </xdr:cNvPr>
        <xdr:cNvCxnSpPr>
          <a:stCxn id="2" idx="1"/>
        </xdr:cNvCxnSpPr>
      </xdr:nvCxnSpPr>
      <xdr:spPr>
        <a:xfrm flipH="1">
          <a:off x="999067" y="1871134"/>
          <a:ext cx="7052734" cy="20319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973667</xdr:colOff>
      <xdr:row>36</xdr:row>
      <xdr:rowOff>67733</xdr:rowOff>
    </xdr:from>
    <xdr:to>
      <xdr:col>9</xdr:col>
      <xdr:colOff>584200</xdr:colOff>
      <xdr:row>39</xdr:row>
      <xdr:rowOff>122399</xdr:rowOff>
    </xdr:to>
    <xdr:pic>
      <xdr:nvPicPr>
        <xdr:cNvPr id="3" name="図 2">
          <a:extLst>
            <a:ext uri="{FF2B5EF4-FFF2-40B4-BE49-F238E27FC236}">
              <a16:creationId xmlns:a16="http://schemas.microsoft.com/office/drawing/2014/main" id="{7CB9DCA2-1FE5-4B63-A13B-A724C43B8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4000" y="8847666"/>
          <a:ext cx="2065867"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182880</xdr:rowOff>
    </xdr:from>
    <xdr:to>
      <xdr:col>3</xdr:col>
      <xdr:colOff>1363980</xdr:colOff>
      <xdr:row>22</xdr:row>
      <xdr:rowOff>182880</xdr:rowOff>
    </xdr:to>
    <xdr:graphicFrame macro="">
      <xdr:nvGraphicFramePr>
        <xdr:cNvPr id="2" name="グラフ 1">
          <a:extLst>
            <a:ext uri="{FF2B5EF4-FFF2-40B4-BE49-F238E27FC236}">
              <a16:creationId xmlns:a16="http://schemas.microsoft.com/office/drawing/2014/main" id="{401D1BE4-60BF-45E1-B836-A18A9D4E6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1897380</xdr:colOff>
      <xdr:row>9</xdr:row>
      <xdr:rowOff>205154</xdr:rowOff>
    </xdr:from>
    <xdr:to>
      <xdr:col>9</xdr:col>
      <xdr:colOff>617220</xdr:colOff>
      <xdr:row>23</xdr:row>
      <xdr:rowOff>0</xdr:rowOff>
    </xdr:to>
    <xdr:graphicFrame macro="">
      <xdr:nvGraphicFramePr>
        <xdr:cNvPr id="3" name="グラフ 2">
          <a:extLst>
            <a:ext uri="{FF2B5EF4-FFF2-40B4-BE49-F238E27FC236}">
              <a16:creationId xmlns:a16="http://schemas.microsoft.com/office/drawing/2014/main" id="{972C2E27-E3DC-4312-B9EE-A23324205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342265</xdr:colOff>
      <xdr:row>0</xdr:row>
      <xdr:rowOff>0</xdr:rowOff>
    </xdr:from>
    <xdr:to>
      <xdr:col>9</xdr:col>
      <xdr:colOff>822325</xdr:colOff>
      <xdr:row>8</xdr:row>
      <xdr:rowOff>213360</xdr:rowOff>
    </xdr:to>
    <xdr:sp macro="" textlink="">
      <xdr:nvSpPr>
        <xdr:cNvPr id="4" name="正方形/長方形 3">
          <a:extLst>
            <a:ext uri="{FF2B5EF4-FFF2-40B4-BE49-F238E27FC236}">
              <a16:creationId xmlns:a16="http://schemas.microsoft.com/office/drawing/2014/main" id="{DA1B9850-5CF8-4CEC-AD0C-1058BCC8BEE4}"/>
            </a:ext>
          </a:extLst>
        </xdr:cNvPr>
        <xdr:cNvSpPr/>
      </xdr:nvSpPr>
      <xdr:spPr>
        <a:xfrm>
          <a:off x="9143365" y="0"/>
          <a:ext cx="3366135" cy="22326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551180</xdr:colOff>
      <xdr:row>23</xdr:row>
      <xdr:rowOff>215900</xdr:rowOff>
    </xdr:from>
    <xdr:to>
      <xdr:col>9</xdr:col>
      <xdr:colOff>401319</xdr:colOff>
      <xdr:row>27</xdr:row>
      <xdr:rowOff>41966</xdr:rowOff>
    </xdr:to>
    <xdr:pic>
      <xdr:nvPicPr>
        <xdr:cNvPr id="5" name="図 4">
          <a:extLst>
            <a:ext uri="{FF2B5EF4-FFF2-40B4-BE49-F238E27FC236}">
              <a16:creationId xmlns:a16="http://schemas.microsoft.com/office/drawing/2014/main" id="{380BA64D-359E-44B3-8FBF-F427B82A25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44380" y="5524500"/>
          <a:ext cx="2059939" cy="740466"/>
        </a:xfrm>
        <a:prstGeom prst="rect">
          <a:avLst/>
        </a:prstGeom>
        <a:effectLst>
          <a:outerShdw blurRad="50800" dist="50800" dir="5400000" algn="ctr" rotWithShape="0">
            <a:srgbClr val="000000">
              <a:alpha val="98000"/>
            </a:srgbClr>
          </a:outerShdw>
        </a:effectLst>
      </xdr:spPr>
    </xdr:pic>
    <xdr:clientData/>
  </xdr:twoCellAnchor>
  <xdr:twoCellAnchor>
    <xdr:from>
      <xdr:col>10</xdr:col>
      <xdr:colOff>38100</xdr:colOff>
      <xdr:row>0</xdr:row>
      <xdr:rowOff>85725</xdr:rowOff>
    </xdr:from>
    <xdr:to>
      <xdr:col>18</xdr:col>
      <xdr:colOff>355600</xdr:colOff>
      <xdr:row>9</xdr:row>
      <xdr:rowOff>210185</xdr:rowOff>
    </xdr:to>
    <xdr:sp macro="" textlink="">
      <xdr:nvSpPr>
        <xdr:cNvPr id="6" name="正方形/長方形 5">
          <a:extLst>
            <a:ext uri="{FF2B5EF4-FFF2-40B4-BE49-F238E27FC236}">
              <a16:creationId xmlns:a16="http://schemas.microsoft.com/office/drawing/2014/main" id="{62484D36-169A-4877-B081-FB90D4D02436}"/>
            </a:ext>
          </a:extLst>
        </xdr:cNvPr>
        <xdr:cNvSpPr/>
      </xdr:nvSpPr>
      <xdr:spPr>
        <a:xfrm>
          <a:off x="12192000" y="85725"/>
          <a:ext cx="5765800" cy="2219960"/>
        </a:xfrm>
        <a:prstGeom prst="rect">
          <a:avLst/>
        </a:prstGeom>
        <a:solidFill>
          <a:srgbClr val="9E9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12</xdr:col>
      <xdr:colOff>313267</xdr:colOff>
      <xdr:row>47</xdr:row>
      <xdr:rowOff>118534</xdr:rowOff>
    </xdr:from>
    <xdr:ext cx="184731" cy="264560"/>
    <xdr:sp macro="" textlink="">
      <xdr:nvSpPr>
        <xdr:cNvPr id="3" name="テキスト ボックス 2">
          <a:extLst>
            <a:ext uri="{FF2B5EF4-FFF2-40B4-BE49-F238E27FC236}">
              <a16:creationId xmlns:a16="http://schemas.microsoft.com/office/drawing/2014/main" id="{CD1D90B9-BA86-A951-A483-0D755838DE21}"/>
            </a:ext>
          </a:extLst>
        </xdr:cNvPr>
        <xdr:cNvSpPr txBox="1"/>
      </xdr:nvSpPr>
      <xdr:spPr>
        <a:xfrm>
          <a:off x="9838267" y="146642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xdr:from>
      <xdr:col>10</xdr:col>
      <xdr:colOff>376766</xdr:colOff>
      <xdr:row>52</xdr:row>
      <xdr:rowOff>173566</xdr:rowOff>
    </xdr:from>
    <xdr:to>
      <xdr:col>15</xdr:col>
      <xdr:colOff>431800</xdr:colOff>
      <xdr:row>57</xdr:row>
      <xdr:rowOff>127000</xdr:rowOff>
    </xdr:to>
    <xdr:sp macro="" textlink="">
      <xdr:nvSpPr>
        <xdr:cNvPr id="4" name="テキスト ボックス 3">
          <a:extLst>
            <a:ext uri="{FF2B5EF4-FFF2-40B4-BE49-F238E27FC236}">
              <a16:creationId xmlns:a16="http://schemas.microsoft.com/office/drawing/2014/main" id="{6133C2AE-9B92-4116-DD06-29C36ADA9A57}"/>
            </a:ext>
          </a:extLst>
        </xdr:cNvPr>
        <xdr:cNvSpPr txBox="1"/>
      </xdr:nvSpPr>
      <xdr:spPr>
        <a:xfrm>
          <a:off x="7780866" y="16239066"/>
          <a:ext cx="3039534" cy="1477434"/>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毎月の試算表が届き次第、実績を加算していく。その際に目標より高くなればその項目は目標よりオーバーしている事になり、注意が必要。経費が掛かりすぎてないか、</a:t>
          </a:r>
        </a:p>
      </xdr:txBody>
    </xdr:sp>
    <xdr:clientData/>
  </xdr:twoCellAnchor>
  <xdr:twoCellAnchor editAs="oneCell">
    <xdr:from>
      <xdr:col>15</xdr:col>
      <xdr:colOff>406400</xdr:colOff>
      <xdr:row>57</xdr:row>
      <xdr:rowOff>266700</xdr:rowOff>
    </xdr:from>
    <xdr:to>
      <xdr:col>17</xdr:col>
      <xdr:colOff>668867</xdr:colOff>
      <xdr:row>60</xdr:row>
      <xdr:rowOff>92766</xdr:rowOff>
    </xdr:to>
    <xdr:pic>
      <xdr:nvPicPr>
        <xdr:cNvPr id="2" name="図 1">
          <a:extLst>
            <a:ext uri="{FF2B5EF4-FFF2-40B4-BE49-F238E27FC236}">
              <a16:creationId xmlns:a16="http://schemas.microsoft.com/office/drawing/2014/main" id="{D44B089B-5BF1-4EF2-A0C4-FDFE3AFBD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3100" y="17856200"/>
          <a:ext cx="2065867" cy="740466"/>
        </a:xfrm>
        <a:prstGeom prst="rect">
          <a:avLst/>
        </a:prstGeom>
        <a:effectLst>
          <a:outerShdw blurRad="50800" dist="50800" dir="5400000" algn="ctr" rotWithShape="0">
            <a:srgbClr val="000000">
              <a:alpha val="98000"/>
            </a:srgbClr>
          </a:outerShdw>
        </a:effec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994834</xdr:colOff>
      <xdr:row>20</xdr:row>
      <xdr:rowOff>207433</xdr:rowOff>
    </xdr:from>
    <xdr:to>
      <xdr:col>11</xdr:col>
      <xdr:colOff>867833</xdr:colOff>
      <xdr:row>24</xdr:row>
      <xdr:rowOff>33499</xdr:rowOff>
    </xdr:to>
    <xdr:pic>
      <xdr:nvPicPr>
        <xdr:cNvPr id="2" name="図 1">
          <a:extLst>
            <a:ext uri="{FF2B5EF4-FFF2-40B4-BE49-F238E27FC236}">
              <a16:creationId xmlns:a16="http://schemas.microsoft.com/office/drawing/2014/main" id="{D1E771FF-C67E-4AA8-B041-8AB3C034C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78534" y="5490633"/>
          <a:ext cx="2057400" cy="740466"/>
        </a:xfrm>
        <a:prstGeom prst="rect">
          <a:avLst/>
        </a:prstGeom>
        <a:effectLst>
          <a:outerShdw blurRad="50800" dist="50800" dir="5400000" algn="ctr" rotWithShape="0">
            <a:srgbClr val="000000">
              <a:alpha val="98000"/>
            </a:srgbClr>
          </a:outerShdw>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 Id="rId1"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はじめに"/>
      <sheetName val="直近データ (印刷用)"/>
      <sheetName val="直近データ (損益)"/>
      <sheetName val="直近データ (製造原価)"/>
      <sheetName val="直近データ"/>
      <sheetName val="勘定科目コード表"/>
      <sheetName val="計画表(転記用)"/>
      <sheetName val="計画表(現状）"/>
      <sheetName val="計画表(試算１）"/>
      <sheetName val="計画表(試算２）"/>
      <sheetName val="計画表(試算３）"/>
      <sheetName val="計画表(試算４）"/>
      <sheetName val="計画表(試算５）"/>
      <sheetName val="計画表(試算６）"/>
      <sheetName val="計画表(決定版）"/>
      <sheetName val="計画表(増減 決定-現状）"/>
      <sheetName val="計画表(増減 フリー）"/>
      <sheetName val="利益計画検討表"/>
      <sheetName val="売上構成比表"/>
      <sheetName val="部門別販売計画"/>
      <sheetName val="商品別販売計画(売上）"/>
      <sheetName val="商品別販売計画(数量）"/>
      <sheetName val="月別利益計画"/>
      <sheetName val="月別利益計画 (変動用)"/>
      <sheetName val="月別利益計画 (チェック用)"/>
      <sheetName val="年計表"/>
      <sheetName val="年計グラフ(売上)"/>
      <sheetName val="年計グラフ(経常益)"/>
      <sheetName val="資金運用編用データ"/>
    </sheetNames>
    <sheetDataSet>
      <sheetData sheetId="0"/>
      <sheetData sheetId="1"/>
      <sheetData sheetId="2">
        <row r="57">
          <cell r="H57" t="str">
            <v>経40</v>
          </cell>
          <cell r="I57" t="str">
            <v>人17</v>
          </cell>
        </row>
        <row r="58">
          <cell r="H58" t="str">
            <v>経41</v>
          </cell>
          <cell r="I58" t="str">
            <v>人18</v>
          </cell>
        </row>
        <row r="59">
          <cell r="H59" t="str">
            <v>経42</v>
          </cell>
        </row>
        <row r="60">
          <cell r="H60" t="str">
            <v>経43</v>
          </cell>
        </row>
      </sheetData>
      <sheetData sheetId="3">
        <row r="69">
          <cell r="H69" t="str">
            <v>経40</v>
          </cell>
        </row>
        <row r="70">
          <cell r="H70" t="str">
            <v>経44</v>
          </cell>
        </row>
      </sheetData>
      <sheetData sheetId="4">
        <row r="8">
          <cell r="J8" t="str">
            <v>千円</v>
          </cell>
        </row>
        <row r="9">
          <cell r="J9" t="str">
            <v>万円</v>
          </cell>
        </row>
        <row r="10">
          <cell r="J10" t="str">
            <v>十万円</v>
          </cell>
        </row>
        <row r="11">
          <cell r="J11" t="str">
            <v>百万円</v>
          </cell>
        </row>
        <row r="12">
          <cell r="J12" t="str">
            <v>一千万円</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3F9A-A1C2-4632-ADCE-3D60F2A1F329}">
  <sheetPr codeName="Sheet1">
    <pageSetUpPr fitToPage="1"/>
  </sheetPr>
  <dimension ref="A1:J120"/>
  <sheetViews>
    <sheetView view="pageBreakPreview" topLeftCell="A88" zoomScaleNormal="100" zoomScaleSheetLayoutView="100" workbookViewId="0">
      <selection activeCell="D55" sqref="D55"/>
    </sheetView>
  </sheetViews>
  <sheetFormatPr defaultColWidth="8.09765625" defaultRowHeight="15" customHeight="1" x14ac:dyDescent="0.45"/>
  <cols>
    <col min="1" max="1" width="8.69921875" style="16" customWidth="1"/>
    <col min="2" max="2" width="17.19921875" style="16" bestFit="1" customWidth="1"/>
    <col min="3" max="3" width="21.3984375" style="16" customWidth="1"/>
    <col min="4" max="4" width="27.69921875" style="16" customWidth="1"/>
    <col min="5" max="5" width="11.8984375" style="16" customWidth="1"/>
    <col min="6" max="6" width="17.19921875" style="16" customWidth="1"/>
    <col min="7" max="7" width="16.19921875" style="16" customWidth="1"/>
    <col min="8" max="16384" width="8.09765625" style="16"/>
  </cols>
  <sheetData>
    <row r="1" spans="1:10" ht="55.95" customHeight="1" thickBot="1" x14ac:dyDescent="0.5">
      <c r="A1" s="438" t="s">
        <v>0</v>
      </c>
      <c r="B1" s="439"/>
      <c r="C1" s="440" t="s">
        <v>392</v>
      </c>
      <c r="D1" s="440"/>
      <c r="E1" s="440"/>
      <c r="F1" s="120" t="s">
        <v>1</v>
      </c>
      <c r="G1" s="390">
        <v>4</v>
      </c>
      <c r="H1" s="120" t="s">
        <v>2</v>
      </c>
      <c r="I1" s="16" t="s">
        <v>3</v>
      </c>
    </row>
    <row r="2" spans="1:10" ht="30.6" customHeight="1" x14ac:dyDescent="0.45">
      <c r="A2" s="41" t="s">
        <v>4</v>
      </c>
      <c r="B2" s="338">
        <v>45170</v>
      </c>
      <c r="C2" s="16" t="s">
        <v>5</v>
      </c>
    </row>
    <row r="3" spans="1:10" ht="30.6" customHeight="1" thickBot="1" x14ac:dyDescent="0.5">
      <c r="A3" s="18" t="s">
        <v>6</v>
      </c>
      <c r="B3" s="339">
        <v>45505</v>
      </c>
      <c r="C3" s="19" t="s">
        <v>7</v>
      </c>
      <c r="D3" s="48" t="s">
        <v>8</v>
      </c>
      <c r="E3" s="441" t="s">
        <v>9</v>
      </c>
      <c r="F3" s="442"/>
      <c r="G3" s="442"/>
    </row>
    <row r="4" spans="1:10" ht="15" customHeight="1" thickBot="1" x14ac:dyDescent="0.5">
      <c r="C4" s="20"/>
      <c r="D4" s="21">
        <v>1</v>
      </c>
    </row>
    <row r="5" spans="1:10" s="17" customFormat="1" ht="38.4" customHeight="1" thickBot="1" x14ac:dyDescent="0.5">
      <c r="A5" s="27" t="s">
        <v>10</v>
      </c>
      <c r="B5" s="597" t="s">
        <v>11</v>
      </c>
      <c r="C5" s="597" t="s">
        <v>12</v>
      </c>
      <c r="D5" s="598" t="s">
        <v>13</v>
      </c>
      <c r="E5" s="47"/>
      <c r="J5" s="22"/>
    </row>
    <row r="6" spans="1:10" ht="33" customHeight="1" x14ac:dyDescent="0.5">
      <c r="A6" s="28" t="s">
        <v>14</v>
      </c>
      <c r="B6" s="29" t="s">
        <v>15</v>
      </c>
      <c r="C6" s="71">
        <v>355</v>
      </c>
      <c r="D6" s="649"/>
      <c r="E6" s="2" t="s">
        <v>16</v>
      </c>
      <c r="J6" s="22"/>
    </row>
    <row r="7" spans="1:10" ht="32.4" customHeight="1" x14ac:dyDescent="0.5">
      <c r="A7" s="30" t="s">
        <v>17</v>
      </c>
      <c r="B7" s="31" t="s">
        <v>18</v>
      </c>
      <c r="C7" s="596">
        <v>130.1</v>
      </c>
      <c r="D7" s="650"/>
      <c r="E7" s="2" t="s">
        <v>18</v>
      </c>
      <c r="J7" s="22"/>
    </row>
    <row r="8" spans="1:10" ht="35.4" customHeight="1" thickBot="1" x14ac:dyDescent="0.55000000000000004">
      <c r="A8" s="32" t="s">
        <v>19</v>
      </c>
      <c r="B8" s="33" t="s">
        <v>20</v>
      </c>
      <c r="C8" s="92">
        <f>IFERROR(C7/C6,"")</f>
        <v>0.36647887323943662</v>
      </c>
      <c r="D8" s="651"/>
      <c r="E8" s="2" t="s">
        <v>21</v>
      </c>
      <c r="J8" s="22"/>
    </row>
    <row r="9" spans="1:10" ht="15" customHeight="1" x14ac:dyDescent="0.5">
      <c r="A9" s="42"/>
      <c r="B9" s="43"/>
      <c r="C9" s="53"/>
      <c r="D9" s="54"/>
      <c r="E9" s="2" t="s">
        <v>22</v>
      </c>
      <c r="F9" s="3"/>
      <c r="J9" s="22"/>
    </row>
    <row r="10" spans="1:10" ht="15" customHeight="1" x14ac:dyDescent="0.5">
      <c r="A10" s="44"/>
      <c r="B10" s="45"/>
      <c r="C10" s="55"/>
      <c r="D10" s="56"/>
      <c r="E10" s="2" t="s">
        <v>23</v>
      </c>
    </row>
    <row r="11" spans="1:10" ht="15" customHeight="1" thickBot="1" x14ac:dyDescent="0.55000000000000004">
      <c r="A11" s="106"/>
      <c r="B11" s="46"/>
      <c r="C11" s="57"/>
      <c r="D11" s="58"/>
      <c r="E11" s="2" t="s">
        <v>24</v>
      </c>
    </row>
    <row r="12" spans="1:10" ht="15" customHeight="1" x14ac:dyDescent="0.45">
      <c r="A12" s="108" t="s">
        <v>25</v>
      </c>
      <c r="B12" s="340" t="s">
        <v>26</v>
      </c>
      <c r="C12" s="59">
        <v>22</v>
      </c>
      <c r="D12" s="374"/>
      <c r="E12" s="2" t="s">
        <v>26</v>
      </c>
    </row>
    <row r="13" spans="1:10" ht="15" customHeight="1" x14ac:dyDescent="0.45">
      <c r="A13" s="108" t="s">
        <v>27</v>
      </c>
      <c r="B13" s="341" t="s">
        <v>28</v>
      </c>
      <c r="C13" s="61"/>
      <c r="D13" s="62"/>
      <c r="E13" s="2" t="s">
        <v>28</v>
      </c>
    </row>
    <row r="14" spans="1:10" ht="15" customHeight="1" x14ac:dyDescent="0.45">
      <c r="A14" s="108" t="s">
        <v>29</v>
      </c>
      <c r="B14" s="341" t="s">
        <v>30</v>
      </c>
      <c r="C14" s="61">
        <v>4</v>
      </c>
      <c r="D14" s="62">
        <v>3</v>
      </c>
      <c r="E14" s="2" t="s">
        <v>30</v>
      </c>
    </row>
    <row r="15" spans="1:10" ht="15" customHeight="1" x14ac:dyDescent="0.45">
      <c r="A15" s="108" t="s">
        <v>31</v>
      </c>
      <c r="B15" s="342" t="s">
        <v>32</v>
      </c>
      <c r="C15" s="63"/>
      <c r="D15" s="652"/>
      <c r="E15" s="2" t="s">
        <v>32</v>
      </c>
    </row>
    <row r="16" spans="1:10" ht="15" customHeight="1" x14ac:dyDescent="0.45">
      <c r="A16" s="108" t="s">
        <v>33</v>
      </c>
      <c r="B16" s="343" t="s">
        <v>34</v>
      </c>
      <c r="C16" s="65">
        <v>0.5</v>
      </c>
      <c r="D16" s="636"/>
      <c r="E16" s="2" t="s">
        <v>34</v>
      </c>
    </row>
    <row r="17" spans="1:6" ht="15" customHeight="1" x14ac:dyDescent="0.5">
      <c r="A17" s="108" t="s">
        <v>35</v>
      </c>
      <c r="B17" s="344" t="s">
        <v>36</v>
      </c>
      <c r="C17" s="67"/>
      <c r="D17" s="602"/>
      <c r="E17" s="2" t="s">
        <v>36</v>
      </c>
    </row>
    <row r="18" spans="1:6" ht="15" customHeight="1" x14ac:dyDescent="0.5">
      <c r="A18" s="108" t="s">
        <v>37</v>
      </c>
      <c r="B18" s="341" t="s">
        <v>38</v>
      </c>
      <c r="C18" s="61"/>
      <c r="D18" s="607"/>
      <c r="E18" s="2" t="s">
        <v>38</v>
      </c>
    </row>
    <row r="19" spans="1:6" ht="15" customHeight="1" x14ac:dyDescent="0.5">
      <c r="A19" s="108" t="s">
        <v>39</v>
      </c>
      <c r="B19" s="342" t="s">
        <v>40</v>
      </c>
      <c r="C19" s="63"/>
      <c r="D19" s="606"/>
      <c r="E19" s="2" t="s">
        <v>40</v>
      </c>
    </row>
    <row r="20" spans="1:6" ht="15" customHeight="1" x14ac:dyDescent="0.45">
      <c r="A20" s="108" t="s">
        <v>41</v>
      </c>
      <c r="B20" s="343" t="s">
        <v>42</v>
      </c>
      <c r="C20" s="65">
        <v>15</v>
      </c>
      <c r="D20" s="636"/>
      <c r="E20" s="2" t="s">
        <v>42</v>
      </c>
    </row>
    <row r="21" spans="1:6" ht="15" customHeight="1" x14ac:dyDescent="0.45">
      <c r="A21" s="108" t="s">
        <v>43</v>
      </c>
      <c r="B21" s="343" t="s">
        <v>44</v>
      </c>
      <c r="C21" s="65"/>
      <c r="D21" s="636"/>
      <c r="E21" s="2" t="s">
        <v>44</v>
      </c>
    </row>
    <row r="22" spans="1:6" ht="15" customHeight="1" x14ac:dyDescent="0.45">
      <c r="A22" s="108" t="s">
        <v>45</v>
      </c>
      <c r="B22" s="344" t="s">
        <v>46</v>
      </c>
      <c r="C22" s="67"/>
      <c r="D22" s="653"/>
      <c r="E22" s="2" t="s">
        <v>46</v>
      </c>
    </row>
    <row r="23" spans="1:6" ht="15" customHeight="1" x14ac:dyDescent="0.45">
      <c r="A23" s="108" t="s">
        <v>47</v>
      </c>
      <c r="B23" s="341" t="s">
        <v>48</v>
      </c>
      <c r="C23" s="61"/>
      <c r="D23" s="654"/>
      <c r="E23" s="2" t="s">
        <v>48</v>
      </c>
    </row>
    <row r="24" spans="1:6" ht="15" customHeight="1" x14ac:dyDescent="0.45">
      <c r="A24" s="108" t="s">
        <v>49</v>
      </c>
      <c r="B24" s="341" t="s">
        <v>50</v>
      </c>
      <c r="C24" s="61"/>
      <c r="D24" s="654"/>
      <c r="E24" s="2" t="s">
        <v>50</v>
      </c>
    </row>
    <row r="25" spans="1:6" ht="15" customHeight="1" x14ac:dyDescent="0.45">
      <c r="A25" s="108" t="s">
        <v>51</v>
      </c>
      <c r="B25" s="341" t="s">
        <v>274</v>
      </c>
      <c r="C25" s="61"/>
      <c r="D25" s="654"/>
      <c r="E25" s="2" t="s">
        <v>52</v>
      </c>
    </row>
    <row r="26" spans="1:6" ht="15" customHeight="1" x14ac:dyDescent="0.45">
      <c r="A26" s="108" t="s">
        <v>53</v>
      </c>
      <c r="B26" s="342" t="s">
        <v>274</v>
      </c>
      <c r="C26" s="63"/>
      <c r="D26" s="652"/>
      <c r="E26" s="2" t="s">
        <v>54</v>
      </c>
    </row>
    <row r="27" spans="1:6" ht="15" customHeight="1" x14ac:dyDescent="0.45">
      <c r="A27" s="108" t="s">
        <v>55</v>
      </c>
      <c r="B27" s="344" t="s">
        <v>56</v>
      </c>
      <c r="C27" s="67">
        <v>5</v>
      </c>
      <c r="D27" s="68">
        <v>5</v>
      </c>
      <c r="E27" s="2" t="s">
        <v>56</v>
      </c>
    </row>
    <row r="28" spans="1:6" ht="15" customHeight="1" thickBot="1" x14ac:dyDescent="0.5">
      <c r="A28" s="108" t="s">
        <v>57</v>
      </c>
      <c r="B28" s="345" t="s">
        <v>58</v>
      </c>
      <c r="C28" s="69">
        <v>9</v>
      </c>
      <c r="D28" s="70">
        <v>12</v>
      </c>
      <c r="E28" s="2" t="s">
        <v>58</v>
      </c>
    </row>
    <row r="29" spans="1:6" ht="15" customHeight="1" x14ac:dyDescent="0.5">
      <c r="A29" s="107" t="s">
        <v>401</v>
      </c>
      <c r="B29" s="346" t="s">
        <v>59</v>
      </c>
      <c r="C29" s="71"/>
      <c r="D29" s="601"/>
      <c r="E29" s="2" t="s">
        <v>60</v>
      </c>
      <c r="F29" s="346" t="s">
        <v>59</v>
      </c>
    </row>
    <row r="30" spans="1:6" ht="15" customHeight="1" x14ac:dyDescent="0.5">
      <c r="A30" s="107" t="s">
        <v>402</v>
      </c>
      <c r="B30" s="347" t="s">
        <v>61</v>
      </c>
      <c r="C30" s="67"/>
      <c r="D30" s="602"/>
      <c r="E30" s="2" t="s">
        <v>42</v>
      </c>
      <c r="F30" s="347" t="s">
        <v>61</v>
      </c>
    </row>
    <row r="31" spans="1:6" ht="15" customHeight="1" thickBot="1" x14ac:dyDescent="0.55000000000000004">
      <c r="A31" s="107" t="s">
        <v>403</v>
      </c>
      <c r="B31" s="348" t="s">
        <v>62</v>
      </c>
      <c r="C31" s="72"/>
      <c r="D31" s="603"/>
      <c r="E31" s="2" t="s">
        <v>63</v>
      </c>
      <c r="F31" s="348" t="s">
        <v>62</v>
      </c>
    </row>
    <row r="32" spans="1:6" ht="15" customHeight="1" x14ac:dyDescent="0.5">
      <c r="A32" s="107" t="s">
        <v>404</v>
      </c>
      <c r="B32" s="349" t="s">
        <v>64</v>
      </c>
      <c r="C32" s="73"/>
      <c r="D32" s="604"/>
      <c r="E32" s="2" t="s">
        <v>65</v>
      </c>
      <c r="F32" s="349" t="s">
        <v>64</v>
      </c>
    </row>
    <row r="33" spans="1:6" ht="15" customHeight="1" x14ac:dyDescent="0.5">
      <c r="A33" s="107" t="s">
        <v>405</v>
      </c>
      <c r="B33" s="350" t="s">
        <v>399</v>
      </c>
      <c r="C33" s="74"/>
      <c r="D33" s="605"/>
      <c r="E33" s="2" t="s">
        <v>67</v>
      </c>
      <c r="F33" s="612" t="s">
        <v>66</v>
      </c>
    </row>
    <row r="34" spans="1:6" ht="15" customHeight="1" x14ac:dyDescent="0.5">
      <c r="A34" s="107" t="s">
        <v>406</v>
      </c>
      <c r="B34" s="351" t="s">
        <v>68</v>
      </c>
      <c r="C34" s="63"/>
      <c r="D34" s="606"/>
      <c r="E34" s="2" t="s">
        <v>69</v>
      </c>
      <c r="F34" s="610" t="s">
        <v>68</v>
      </c>
    </row>
    <row r="35" spans="1:6" ht="15" customHeight="1" x14ac:dyDescent="0.5">
      <c r="A35" s="107" t="s">
        <v>407</v>
      </c>
      <c r="B35" s="347" t="s">
        <v>400</v>
      </c>
      <c r="C35" s="67"/>
      <c r="D35" s="602"/>
      <c r="E35" s="2" t="s">
        <v>70</v>
      </c>
      <c r="F35" s="609" t="s">
        <v>63</v>
      </c>
    </row>
    <row r="36" spans="1:6" ht="15" customHeight="1" x14ac:dyDescent="0.5">
      <c r="A36" s="107" t="s">
        <v>408</v>
      </c>
      <c r="B36" s="351" t="s">
        <v>418</v>
      </c>
      <c r="C36" s="63"/>
      <c r="D36" s="606"/>
      <c r="E36" s="2" t="s">
        <v>71</v>
      </c>
      <c r="F36" s="610" t="s">
        <v>65</v>
      </c>
    </row>
    <row r="37" spans="1:6" ht="15" customHeight="1" x14ac:dyDescent="0.5">
      <c r="A37" s="23" t="s">
        <v>409</v>
      </c>
      <c r="B37" s="347" t="s">
        <v>398</v>
      </c>
      <c r="C37" s="67"/>
      <c r="D37" s="602"/>
      <c r="E37" s="2" t="s">
        <v>72</v>
      </c>
      <c r="F37" s="609" t="s">
        <v>67</v>
      </c>
    </row>
    <row r="38" spans="1:6" ht="15" customHeight="1" x14ac:dyDescent="0.5">
      <c r="A38" s="23" t="s">
        <v>410</v>
      </c>
      <c r="B38" s="352" t="s">
        <v>419</v>
      </c>
      <c r="C38" s="61"/>
      <c r="D38" s="607"/>
      <c r="E38" s="2"/>
      <c r="F38" s="611" t="s">
        <v>73</v>
      </c>
    </row>
    <row r="39" spans="1:6" ht="15" customHeight="1" x14ac:dyDescent="0.5">
      <c r="A39" s="23" t="s">
        <v>411</v>
      </c>
      <c r="B39" s="352" t="s">
        <v>397</v>
      </c>
      <c r="C39" s="61"/>
      <c r="D39" s="607"/>
      <c r="E39" s="2"/>
      <c r="F39" s="611" t="s">
        <v>74</v>
      </c>
    </row>
    <row r="40" spans="1:6" ht="15" customHeight="1" x14ac:dyDescent="0.5">
      <c r="A40" s="23" t="s">
        <v>412</v>
      </c>
      <c r="B40" s="352" t="s">
        <v>73</v>
      </c>
      <c r="C40" s="61"/>
      <c r="D40" s="607"/>
      <c r="E40" s="2"/>
      <c r="F40" s="352" t="s">
        <v>71</v>
      </c>
    </row>
    <row r="41" spans="1:6" ht="15" customHeight="1" x14ac:dyDescent="0.5">
      <c r="A41" s="23" t="s">
        <v>413</v>
      </c>
      <c r="B41" s="352" t="s">
        <v>63</v>
      </c>
      <c r="C41" s="61">
        <v>2</v>
      </c>
      <c r="D41" s="607"/>
      <c r="E41" s="2"/>
      <c r="F41" s="352" t="s">
        <v>72</v>
      </c>
    </row>
    <row r="42" spans="1:6" ht="15" customHeight="1" thickBot="1" x14ac:dyDescent="0.55000000000000004">
      <c r="A42" s="23" t="s">
        <v>414</v>
      </c>
      <c r="B42" s="353" t="s">
        <v>75</v>
      </c>
      <c r="C42" s="75"/>
      <c r="D42" s="608"/>
      <c r="E42" s="2" t="s">
        <v>75</v>
      </c>
      <c r="F42" s="613" t="s">
        <v>75</v>
      </c>
    </row>
    <row r="43" spans="1:6" ht="15" customHeight="1" x14ac:dyDescent="0.5">
      <c r="A43" s="113" t="s">
        <v>76</v>
      </c>
      <c r="B43" s="354" t="s">
        <v>77</v>
      </c>
      <c r="C43" s="638"/>
      <c r="D43" s="60">
        <v>0.2</v>
      </c>
      <c r="E43" s="2" t="s">
        <v>77</v>
      </c>
    </row>
    <row r="44" spans="1:6" ht="15" customHeight="1" x14ac:dyDescent="0.5">
      <c r="A44" s="114" t="s">
        <v>78</v>
      </c>
      <c r="B44" s="355" t="s">
        <v>79</v>
      </c>
      <c r="C44" s="639"/>
      <c r="D44" s="64">
        <v>1.3</v>
      </c>
      <c r="E44" s="2" t="s">
        <v>79</v>
      </c>
    </row>
    <row r="45" spans="1:6" ht="15" customHeight="1" x14ac:dyDescent="0.5">
      <c r="A45" s="114" t="s">
        <v>80</v>
      </c>
      <c r="B45" s="356" t="s">
        <v>81</v>
      </c>
      <c r="C45" s="640"/>
      <c r="D45" s="68">
        <v>5</v>
      </c>
      <c r="E45" s="2" t="s">
        <v>81</v>
      </c>
    </row>
    <row r="46" spans="1:6" ht="15" customHeight="1" x14ac:dyDescent="0.5">
      <c r="A46" s="114" t="s">
        <v>82</v>
      </c>
      <c r="B46" s="355" t="s">
        <v>83</v>
      </c>
      <c r="C46" s="639"/>
      <c r="D46" s="64"/>
      <c r="E46" s="2" t="s">
        <v>83</v>
      </c>
    </row>
    <row r="47" spans="1:6" ht="15" customHeight="1" x14ac:dyDescent="0.5">
      <c r="A47" s="114" t="s">
        <v>84</v>
      </c>
      <c r="B47" s="356" t="s">
        <v>85</v>
      </c>
      <c r="C47" s="640"/>
      <c r="D47" s="68"/>
      <c r="E47" s="2" t="s">
        <v>85</v>
      </c>
      <c r="F47" s="599" t="s">
        <v>86</v>
      </c>
    </row>
    <row r="48" spans="1:6" ht="15" customHeight="1" thickBot="1" x14ac:dyDescent="0.55000000000000004">
      <c r="A48" s="114" t="s">
        <v>87</v>
      </c>
      <c r="B48" s="357" t="s">
        <v>88</v>
      </c>
      <c r="C48" s="641"/>
      <c r="D48" s="70">
        <v>-5</v>
      </c>
      <c r="E48" s="2" t="s">
        <v>88</v>
      </c>
      <c r="F48" s="599" t="s">
        <v>89</v>
      </c>
    </row>
    <row r="49" spans="1:7" ht="15" customHeight="1" x14ac:dyDescent="0.5">
      <c r="A49" s="114" t="s">
        <v>90</v>
      </c>
      <c r="B49" s="358" t="s">
        <v>91</v>
      </c>
      <c r="C49" s="642"/>
      <c r="D49" s="76"/>
      <c r="E49" s="2" t="s">
        <v>91</v>
      </c>
      <c r="F49" s="599" t="s">
        <v>92</v>
      </c>
    </row>
    <row r="50" spans="1:7" ht="15" customHeight="1" x14ac:dyDescent="0.5">
      <c r="A50" s="114" t="s">
        <v>93</v>
      </c>
      <c r="B50" s="359" t="s">
        <v>94</v>
      </c>
      <c r="C50" s="640"/>
      <c r="D50" s="68">
        <v>35</v>
      </c>
      <c r="E50" s="2" t="s">
        <v>94</v>
      </c>
    </row>
    <row r="51" spans="1:7" ht="15" customHeight="1" x14ac:dyDescent="0.5">
      <c r="A51" s="114" t="s">
        <v>95</v>
      </c>
      <c r="B51" s="360" t="s">
        <v>96</v>
      </c>
      <c r="C51" s="643"/>
      <c r="D51" s="62"/>
      <c r="E51" s="2" t="s">
        <v>96</v>
      </c>
    </row>
    <row r="52" spans="1:7" ht="15" customHeight="1" x14ac:dyDescent="0.5">
      <c r="A52" s="114" t="s">
        <v>97</v>
      </c>
      <c r="B52" s="361" t="s">
        <v>98</v>
      </c>
      <c r="C52" s="639"/>
      <c r="D52" s="64"/>
      <c r="E52" s="2" t="s">
        <v>98</v>
      </c>
    </row>
    <row r="53" spans="1:7" ht="15" customHeight="1" x14ac:dyDescent="0.5">
      <c r="A53" s="114" t="s">
        <v>99</v>
      </c>
      <c r="B53" s="359" t="s">
        <v>100</v>
      </c>
      <c r="C53" s="640"/>
      <c r="D53" s="68"/>
      <c r="E53" s="2" t="s">
        <v>100</v>
      </c>
      <c r="F53" s="599" t="s">
        <v>101</v>
      </c>
    </row>
    <row r="54" spans="1:7" ht="15" customHeight="1" x14ac:dyDescent="0.5">
      <c r="A54" s="114" t="s">
        <v>102</v>
      </c>
      <c r="B54" s="360" t="s">
        <v>103</v>
      </c>
      <c r="C54" s="643"/>
      <c r="D54" s="600"/>
      <c r="E54" s="2" t="s">
        <v>103</v>
      </c>
      <c r="F54" s="599" t="s">
        <v>89</v>
      </c>
    </row>
    <row r="55" spans="1:7" ht="15" customHeight="1" x14ac:dyDescent="0.5">
      <c r="A55" s="114" t="s">
        <v>104</v>
      </c>
      <c r="B55" s="361" t="s">
        <v>105</v>
      </c>
      <c r="C55" s="639"/>
      <c r="D55" s="64"/>
      <c r="E55" s="2" t="s">
        <v>105</v>
      </c>
      <c r="F55" s="599" t="s">
        <v>92</v>
      </c>
    </row>
    <row r="56" spans="1:7" ht="15" customHeight="1" x14ac:dyDescent="0.5">
      <c r="A56" s="114" t="s">
        <v>423</v>
      </c>
      <c r="B56" s="359" t="s">
        <v>106</v>
      </c>
      <c r="C56" s="640"/>
      <c r="D56" s="68">
        <v>120</v>
      </c>
      <c r="E56" s="2" t="s">
        <v>106</v>
      </c>
    </row>
    <row r="57" spans="1:7" ht="15" customHeight="1" x14ac:dyDescent="0.5">
      <c r="A57" s="114" t="s">
        <v>424</v>
      </c>
      <c r="B57" s="361" t="s">
        <v>107</v>
      </c>
      <c r="C57" s="639"/>
      <c r="D57" s="125">
        <f>SUM(D60:D62)</f>
        <v>35</v>
      </c>
      <c r="E57" s="2" t="s">
        <v>108</v>
      </c>
    </row>
    <row r="58" spans="1:7" ht="15" customHeight="1" thickBot="1" x14ac:dyDescent="0.55000000000000004">
      <c r="A58" s="115" t="s">
        <v>426</v>
      </c>
      <c r="B58" s="362" t="s">
        <v>427</v>
      </c>
      <c r="C58" s="644"/>
      <c r="D58" s="77"/>
      <c r="E58" s="2" t="s">
        <v>70</v>
      </c>
    </row>
    <row r="59" spans="1:7" ht="15" customHeight="1" x14ac:dyDescent="0.45">
      <c r="A59" s="635" t="s">
        <v>425</v>
      </c>
      <c r="B59" s="363" t="s">
        <v>109</v>
      </c>
      <c r="C59" s="645"/>
      <c r="D59" s="637"/>
      <c r="E59" s="2" t="s">
        <v>36</v>
      </c>
    </row>
    <row r="60" spans="1:7" ht="15" customHeight="1" x14ac:dyDescent="0.45">
      <c r="A60" s="635" t="s">
        <v>425</v>
      </c>
      <c r="B60" s="364" t="s">
        <v>110</v>
      </c>
      <c r="C60" s="646"/>
      <c r="D60" s="64">
        <v>35</v>
      </c>
      <c r="E60" s="2" t="s">
        <v>38</v>
      </c>
    </row>
    <row r="61" spans="1:7" ht="15" customHeight="1" x14ac:dyDescent="0.45">
      <c r="A61" s="635" t="s">
        <v>425</v>
      </c>
      <c r="B61" s="365" t="s">
        <v>34</v>
      </c>
      <c r="C61" s="647"/>
      <c r="D61" s="68"/>
      <c r="E61" s="2" t="s">
        <v>111</v>
      </c>
    </row>
    <row r="62" spans="1:7" ht="15" customHeight="1" thickBot="1" x14ac:dyDescent="0.5">
      <c r="A62" s="635" t="s">
        <v>425</v>
      </c>
      <c r="B62" s="366" t="s">
        <v>38</v>
      </c>
      <c r="C62" s="648"/>
      <c r="D62" s="70"/>
      <c r="E62" s="2" t="s">
        <v>40</v>
      </c>
    </row>
    <row r="63" spans="1:7" ht="15" customHeight="1" x14ac:dyDescent="0.45">
      <c r="A63" s="110" t="s">
        <v>112</v>
      </c>
      <c r="B63" s="367" t="s">
        <v>113</v>
      </c>
      <c r="C63" s="78"/>
      <c r="D63" s="76"/>
      <c r="E63" s="116"/>
      <c r="F63" s="248" t="s">
        <v>114</v>
      </c>
      <c r="G63" s="249" t="s">
        <v>115</v>
      </c>
    </row>
    <row r="64" spans="1:7" ht="15" customHeight="1" x14ac:dyDescent="0.45">
      <c r="A64" s="111" t="s">
        <v>116</v>
      </c>
      <c r="B64" s="368" t="s">
        <v>117</v>
      </c>
      <c r="C64" s="79"/>
      <c r="D64" s="68"/>
      <c r="E64" s="117" t="s">
        <v>118</v>
      </c>
      <c r="F64" s="246" t="s">
        <v>119</v>
      </c>
      <c r="G64" s="66">
        <v>10</v>
      </c>
    </row>
    <row r="65" spans="1:7" ht="15" customHeight="1" x14ac:dyDescent="0.45">
      <c r="A65" s="111" t="s">
        <v>120</v>
      </c>
      <c r="B65" s="369" t="s">
        <v>121</v>
      </c>
      <c r="C65" s="80"/>
      <c r="D65" s="62"/>
      <c r="E65" s="117" t="s">
        <v>122</v>
      </c>
      <c r="F65" s="246" t="s">
        <v>123</v>
      </c>
      <c r="G65" s="66"/>
    </row>
    <row r="66" spans="1:7" ht="15" customHeight="1" x14ac:dyDescent="0.45">
      <c r="A66" s="111" t="s">
        <v>124</v>
      </c>
      <c r="B66" s="370" t="s">
        <v>125</v>
      </c>
      <c r="C66" s="81"/>
      <c r="D66" s="64"/>
      <c r="E66" s="117" t="s">
        <v>126</v>
      </c>
      <c r="F66" s="246"/>
      <c r="G66" s="66"/>
    </row>
    <row r="67" spans="1:7" ht="15" customHeight="1" thickBot="1" x14ac:dyDescent="0.5">
      <c r="A67" s="111" t="s">
        <v>127</v>
      </c>
      <c r="B67" s="368" t="s">
        <v>128</v>
      </c>
      <c r="C67" s="79"/>
      <c r="D67" s="68"/>
      <c r="E67" s="118" t="s">
        <v>129</v>
      </c>
      <c r="F67" s="247"/>
      <c r="G67" s="77"/>
    </row>
    <row r="68" spans="1:7" ht="15" customHeight="1" thickBot="1" x14ac:dyDescent="0.5">
      <c r="A68" s="111" t="s">
        <v>130</v>
      </c>
      <c r="B68" s="371" t="s">
        <v>131</v>
      </c>
      <c r="C68" s="82"/>
      <c r="D68" s="70"/>
      <c r="E68" s="116"/>
      <c r="F68" s="25" t="s">
        <v>132</v>
      </c>
      <c r="G68" s="250"/>
    </row>
    <row r="69" spans="1:7" ht="15" customHeight="1" x14ac:dyDescent="0.45">
      <c r="A69" s="111" t="s">
        <v>133</v>
      </c>
      <c r="B69" s="372" t="s">
        <v>134</v>
      </c>
      <c r="C69" s="83">
        <v>1.1000000000000001</v>
      </c>
      <c r="D69" s="84">
        <v>6</v>
      </c>
      <c r="E69" s="117" t="s">
        <v>118</v>
      </c>
      <c r="F69" s="246" t="s">
        <v>135</v>
      </c>
      <c r="G69" s="66"/>
    </row>
    <row r="70" spans="1:7" ht="15" customHeight="1" x14ac:dyDescent="0.45">
      <c r="A70" s="111" t="s">
        <v>136</v>
      </c>
      <c r="B70" s="368" t="s">
        <v>137</v>
      </c>
      <c r="C70" s="67">
        <v>6</v>
      </c>
      <c r="D70" s="68">
        <v>1.1000000000000001</v>
      </c>
      <c r="E70" s="117" t="s">
        <v>122</v>
      </c>
      <c r="F70" s="246"/>
      <c r="G70" s="66"/>
    </row>
    <row r="71" spans="1:7" ht="15" customHeight="1" x14ac:dyDescent="0.45">
      <c r="A71" s="111" t="s">
        <v>138</v>
      </c>
      <c r="B71" s="370" t="s">
        <v>139</v>
      </c>
      <c r="C71" s="63">
        <v>3.2</v>
      </c>
      <c r="D71" s="64"/>
      <c r="E71" s="117" t="s">
        <v>126</v>
      </c>
      <c r="F71" s="246"/>
      <c r="G71" s="66"/>
    </row>
    <row r="72" spans="1:7" ht="15" customHeight="1" thickBot="1" x14ac:dyDescent="0.5">
      <c r="A72" s="111" t="s">
        <v>140</v>
      </c>
      <c r="B72" s="368" t="s">
        <v>141</v>
      </c>
      <c r="C72" s="67"/>
      <c r="D72" s="68"/>
      <c r="E72" s="118" t="s">
        <v>129</v>
      </c>
      <c r="F72" s="247"/>
      <c r="G72" s="77"/>
    </row>
    <row r="73" spans="1:7" ht="15" customHeight="1" x14ac:dyDescent="0.45">
      <c r="A73" s="111" t="s">
        <v>142</v>
      </c>
      <c r="B73" s="370" t="s">
        <v>143</v>
      </c>
      <c r="C73" s="63"/>
      <c r="D73" s="64"/>
      <c r="E73" s="116"/>
      <c r="F73" s="25" t="s">
        <v>144</v>
      </c>
      <c r="G73" s="250"/>
    </row>
    <row r="74" spans="1:7" ht="15" customHeight="1" x14ac:dyDescent="0.45">
      <c r="A74" s="111" t="s">
        <v>145</v>
      </c>
      <c r="B74" s="373" t="s">
        <v>146</v>
      </c>
      <c r="C74" s="65">
        <v>1</v>
      </c>
      <c r="D74" s="66"/>
      <c r="E74" s="117" t="s">
        <v>118</v>
      </c>
      <c r="F74" s="246" t="s">
        <v>147</v>
      </c>
      <c r="G74" s="66"/>
    </row>
    <row r="75" spans="1:7" ht="15" customHeight="1" x14ac:dyDescent="0.45">
      <c r="A75" s="111" t="s">
        <v>148</v>
      </c>
      <c r="B75" s="373" t="s">
        <v>149</v>
      </c>
      <c r="C75" s="65">
        <v>4.3</v>
      </c>
      <c r="D75" s="66"/>
      <c r="E75" s="117" t="s">
        <v>122</v>
      </c>
      <c r="F75" s="246" t="s">
        <v>150</v>
      </c>
      <c r="G75" s="66">
        <v>10</v>
      </c>
    </row>
    <row r="76" spans="1:7" ht="15" customHeight="1" x14ac:dyDescent="0.45">
      <c r="A76" s="111" t="s">
        <v>151</v>
      </c>
      <c r="B76" s="368" t="s">
        <v>152</v>
      </c>
      <c r="C76" s="67">
        <v>5.5</v>
      </c>
      <c r="D76" s="68"/>
      <c r="E76" s="117" t="s">
        <v>126</v>
      </c>
      <c r="F76" s="246"/>
      <c r="G76" s="66"/>
    </row>
    <row r="77" spans="1:7" ht="15" customHeight="1" thickBot="1" x14ac:dyDescent="0.5">
      <c r="A77" s="111" t="s">
        <v>153</v>
      </c>
      <c r="B77" s="370" t="s">
        <v>154</v>
      </c>
      <c r="C77" s="63"/>
      <c r="D77" s="64"/>
      <c r="E77" s="118" t="s">
        <v>129</v>
      </c>
      <c r="F77" s="247"/>
      <c r="G77" s="77"/>
    </row>
    <row r="78" spans="1:7" ht="15" customHeight="1" x14ac:dyDescent="0.45">
      <c r="A78" s="111" t="s">
        <v>155</v>
      </c>
      <c r="B78" s="373" t="s">
        <v>156</v>
      </c>
      <c r="C78" s="65"/>
      <c r="D78" s="66"/>
      <c r="E78" s="116"/>
      <c r="F78" s="25" t="s">
        <v>157</v>
      </c>
      <c r="G78" s="250"/>
    </row>
    <row r="79" spans="1:7" ht="15" customHeight="1" x14ac:dyDescent="0.45">
      <c r="A79" s="111" t="s">
        <v>158</v>
      </c>
      <c r="B79" s="368" t="s">
        <v>159</v>
      </c>
      <c r="C79" s="67">
        <v>1.4</v>
      </c>
      <c r="D79" s="68"/>
      <c r="E79" s="117" t="s">
        <v>118</v>
      </c>
      <c r="F79" s="246" t="s">
        <v>160</v>
      </c>
      <c r="G79" s="66"/>
    </row>
    <row r="80" spans="1:7" ht="15" customHeight="1" x14ac:dyDescent="0.45">
      <c r="A80" s="111" t="s">
        <v>161</v>
      </c>
      <c r="B80" s="370" t="s">
        <v>162</v>
      </c>
      <c r="C80" s="63"/>
      <c r="D80" s="64"/>
      <c r="E80" s="117" t="s">
        <v>122</v>
      </c>
      <c r="F80" s="246"/>
      <c r="G80" s="66"/>
    </row>
    <row r="81" spans="1:7" ht="15" customHeight="1" x14ac:dyDescent="0.45">
      <c r="A81" s="111" t="s">
        <v>163</v>
      </c>
      <c r="B81" s="368" t="s">
        <v>164</v>
      </c>
      <c r="C81" s="67">
        <v>2.1</v>
      </c>
      <c r="D81" s="68"/>
      <c r="E81" s="117" t="s">
        <v>126</v>
      </c>
      <c r="F81" s="246"/>
      <c r="G81" s="66"/>
    </row>
    <row r="82" spans="1:7" ht="15" customHeight="1" thickBot="1" x14ac:dyDescent="0.5">
      <c r="A82" s="111" t="s">
        <v>165</v>
      </c>
      <c r="B82" s="370" t="s">
        <v>166</v>
      </c>
      <c r="C82" s="63">
        <v>1.1000000000000001</v>
      </c>
      <c r="D82" s="64"/>
      <c r="E82" s="119" t="s">
        <v>129</v>
      </c>
      <c r="F82" s="247"/>
      <c r="G82" s="77"/>
    </row>
    <row r="83" spans="1:7" ht="15" customHeight="1" x14ac:dyDescent="0.45">
      <c r="A83" s="111" t="s">
        <v>167</v>
      </c>
      <c r="B83" s="368" t="s">
        <v>168</v>
      </c>
      <c r="C83" s="67">
        <v>3.5</v>
      </c>
      <c r="D83" s="68">
        <v>3.3</v>
      </c>
      <c r="E83" s="2" t="s">
        <v>168</v>
      </c>
    </row>
    <row r="84" spans="1:7" ht="15" customHeight="1" x14ac:dyDescent="0.45">
      <c r="A84" s="111" t="s">
        <v>169</v>
      </c>
      <c r="B84" s="369" t="s">
        <v>170</v>
      </c>
      <c r="C84" s="61">
        <v>3</v>
      </c>
      <c r="D84" s="62">
        <v>3</v>
      </c>
      <c r="E84" s="2" t="s">
        <v>170</v>
      </c>
    </row>
    <row r="85" spans="1:7" ht="15" customHeight="1" x14ac:dyDescent="0.45">
      <c r="A85" s="111" t="s">
        <v>171</v>
      </c>
      <c r="B85" s="369" t="s">
        <v>172</v>
      </c>
      <c r="C85" s="61"/>
      <c r="D85" s="62"/>
      <c r="E85" s="2" t="s">
        <v>172</v>
      </c>
    </row>
    <row r="86" spans="1:7" ht="15" customHeight="1" x14ac:dyDescent="0.45">
      <c r="A86" s="111" t="s">
        <v>173</v>
      </c>
      <c r="B86" s="369" t="s">
        <v>174</v>
      </c>
      <c r="C86" s="61"/>
      <c r="D86" s="62"/>
      <c r="E86" s="2" t="s">
        <v>174</v>
      </c>
    </row>
    <row r="87" spans="1:7" ht="15" customHeight="1" x14ac:dyDescent="0.45">
      <c r="A87" s="111" t="s">
        <v>175</v>
      </c>
      <c r="B87" s="369" t="s">
        <v>69</v>
      </c>
      <c r="C87" s="61"/>
      <c r="D87" s="62"/>
      <c r="E87" s="2" t="s">
        <v>69</v>
      </c>
    </row>
    <row r="88" spans="1:7" ht="15" customHeight="1" x14ac:dyDescent="0.45">
      <c r="A88" s="111" t="s">
        <v>176</v>
      </c>
      <c r="B88" s="369" t="s">
        <v>177</v>
      </c>
      <c r="C88" s="61"/>
      <c r="D88" s="62"/>
      <c r="E88" s="2" t="s">
        <v>177</v>
      </c>
    </row>
    <row r="89" spans="1:7" ht="15" customHeight="1" x14ac:dyDescent="0.45">
      <c r="A89" s="111" t="s">
        <v>178</v>
      </c>
      <c r="B89" s="369" t="s">
        <v>179</v>
      </c>
      <c r="C89" s="61">
        <v>1.5</v>
      </c>
      <c r="D89" s="62"/>
      <c r="E89" s="2" t="s">
        <v>179</v>
      </c>
    </row>
    <row r="90" spans="1:7" ht="15" customHeight="1" x14ac:dyDescent="0.45">
      <c r="A90" s="111" t="s">
        <v>180</v>
      </c>
      <c r="B90" s="369" t="s">
        <v>181</v>
      </c>
      <c r="C90" s="61">
        <v>2.2000000000000002</v>
      </c>
      <c r="D90" s="62"/>
      <c r="E90" s="2" t="s">
        <v>181</v>
      </c>
    </row>
    <row r="91" spans="1:7" ht="15" customHeight="1" x14ac:dyDescent="0.45">
      <c r="A91" s="111" t="s">
        <v>182</v>
      </c>
      <c r="B91" s="369" t="s">
        <v>183</v>
      </c>
      <c r="C91" s="61">
        <v>1.2</v>
      </c>
      <c r="D91" s="62"/>
      <c r="E91" s="2" t="s">
        <v>183</v>
      </c>
    </row>
    <row r="92" spans="1:7" ht="15" customHeight="1" x14ac:dyDescent="0.45">
      <c r="A92" s="111" t="s">
        <v>184</v>
      </c>
      <c r="B92" s="369" t="s">
        <v>185</v>
      </c>
      <c r="C92" s="61"/>
      <c r="D92" s="62"/>
      <c r="E92" s="2" t="s">
        <v>185</v>
      </c>
    </row>
    <row r="93" spans="1:7" ht="15" customHeight="1" x14ac:dyDescent="0.45">
      <c r="A93" s="111" t="s">
        <v>186</v>
      </c>
      <c r="B93" s="369" t="s">
        <v>187</v>
      </c>
      <c r="C93" s="61"/>
      <c r="D93" s="62"/>
      <c r="E93" s="2" t="s">
        <v>187</v>
      </c>
    </row>
    <row r="94" spans="1:7" ht="15" customHeight="1" x14ac:dyDescent="0.45">
      <c r="A94" s="111" t="s">
        <v>188</v>
      </c>
      <c r="B94" s="369" t="s">
        <v>189</v>
      </c>
      <c r="C94" s="61">
        <v>0.2</v>
      </c>
      <c r="D94" s="62"/>
      <c r="E94" s="2" t="s">
        <v>189</v>
      </c>
    </row>
    <row r="95" spans="1:7" ht="15" customHeight="1" x14ac:dyDescent="0.45">
      <c r="A95" s="111" t="s">
        <v>190</v>
      </c>
      <c r="B95" s="369" t="s">
        <v>191</v>
      </c>
      <c r="C95" s="61">
        <v>1</v>
      </c>
      <c r="D95" s="62"/>
      <c r="E95" s="2" t="s">
        <v>191</v>
      </c>
    </row>
    <row r="96" spans="1:7" ht="15" customHeight="1" x14ac:dyDescent="0.45">
      <c r="A96" s="111" t="s">
        <v>192</v>
      </c>
      <c r="B96" s="369" t="s">
        <v>193</v>
      </c>
      <c r="C96" s="61"/>
      <c r="D96" s="62"/>
      <c r="E96" s="2" t="s">
        <v>193</v>
      </c>
    </row>
    <row r="97" spans="1:7" ht="15" customHeight="1" x14ac:dyDescent="0.45">
      <c r="A97" s="111" t="s">
        <v>194</v>
      </c>
      <c r="B97" s="369" t="s">
        <v>195</v>
      </c>
      <c r="C97" s="61">
        <v>3</v>
      </c>
      <c r="D97" s="62"/>
      <c r="E97" s="2" t="s">
        <v>195</v>
      </c>
    </row>
    <row r="98" spans="1:7" ht="15" customHeight="1" x14ac:dyDescent="0.45">
      <c r="A98" s="111" t="s">
        <v>196</v>
      </c>
      <c r="B98" s="369" t="s">
        <v>111</v>
      </c>
      <c r="C98" s="61"/>
      <c r="D98" s="62"/>
      <c r="E98" s="2" t="s">
        <v>111</v>
      </c>
    </row>
    <row r="99" spans="1:7" ht="15" customHeight="1" thickBot="1" x14ac:dyDescent="0.5">
      <c r="A99" s="112" t="s">
        <v>197</v>
      </c>
      <c r="B99" s="371" t="s">
        <v>198</v>
      </c>
      <c r="C99" s="69"/>
      <c r="D99" s="70"/>
      <c r="E99" s="2" t="s">
        <v>198</v>
      </c>
    </row>
    <row r="100" spans="1:7" ht="15" customHeight="1" thickBot="1" x14ac:dyDescent="0.5">
      <c r="A100" s="109" t="s">
        <v>199</v>
      </c>
      <c r="B100" s="24" t="s">
        <v>200</v>
      </c>
      <c r="C100" s="85">
        <v>5</v>
      </c>
      <c r="D100" s="86"/>
      <c r="E100" s="2" t="s">
        <v>200</v>
      </c>
    </row>
    <row r="101" spans="1:7" ht="15" customHeight="1" thickBot="1" x14ac:dyDescent="0.55000000000000004">
      <c r="A101" s="34" t="s">
        <v>201</v>
      </c>
      <c r="B101" s="40" t="s">
        <v>202</v>
      </c>
      <c r="C101" s="87"/>
      <c r="D101" s="88"/>
      <c r="E101" s="2" t="s">
        <v>203</v>
      </c>
    </row>
    <row r="102" spans="1:7" ht="15" customHeight="1" x14ac:dyDescent="0.5">
      <c r="A102" s="35" t="s">
        <v>118</v>
      </c>
      <c r="B102" s="25" t="s">
        <v>203</v>
      </c>
      <c r="C102" s="91">
        <f>SUM(G64:G67)</f>
        <v>10</v>
      </c>
      <c r="D102" s="89"/>
      <c r="E102" s="93" t="s">
        <v>204</v>
      </c>
      <c r="F102" s="94" t="s">
        <v>205</v>
      </c>
      <c r="G102" s="95">
        <f>SUM(D12:D58)+SUM(D63:D100)</f>
        <v>224.9</v>
      </c>
    </row>
    <row r="103" spans="1:7" ht="19.95" customHeight="1" x14ac:dyDescent="0.5">
      <c r="A103" s="35" t="s">
        <v>122</v>
      </c>
      <c r="B103" s="25" t="s">
        <v>206</v>
      </c>
      <c r="C103" s="91">
        <f>SUM(G69:G72)</f>
        <v>0</v>
      </c>
      <c r="D103" s="89"/>
      <c r="E103" s="96"/>
      <c r="F103" s="97" t="s">
        <v>396</v>
      </c>
      <c r="G103" s="98">
        <f>SUM(C12:C100)</f>
        <v>103.8</v>
      </c>
    </row>
    <row r="104" spans="1:7" ht="18" customHeight="1" x14ac:dyDescent="0.5">
      <c r="A104" s="35" t="s">
        <v>126</v>
      </c>
      <c r="B104" s="25" t="s">
        <v>207</v>
      </c>
      <c r="C104" s="91">
        <f>G105+C102-C103</f>
        <v>36.299999999999997</v>
      </c>
      <c r="D104" s="89"/>
      <c r="E104" s="99"/>
      <c r="F104" s="97"/>
      <c r="G104" s="98"/>
    </row>
    <row r="105" spans="1:7" ht="15" customHeight="1" x14ac:dyDescent="0.5">
      <c r="A105" s="35" t="s">
        <v>129</v>
      </c>
      <c r="B105" s="25" t="s">
        <v>208</v>
      </c>
      <c r="C105" s="91">
        <f>SUM(G74:G77)</f>
        <v>10</v>
      </c>
      <c r="D105" s="89"/>
      <c r="E105" s="99"/>
      <c r="F105" s="97" t="s">
        <v>209</v>
      </c>
      <c r="G105" s="98">
        <f>C7-G103</f>
        <v>26.299999999999997</v>
      </c>
    </row>
    <row r="106" spans="1:7" ht="15.75" customHeight="1" thickBot="1" x14ac:dyDescent="0.55000000000000004">
      <c r="A106" s="36" t="s">
        <v>210</v>
      </c>
      <c r="B106" s="26" t="s">
        <v>211</v>
      </c>
      <c r="C106" s="121">
        <f>SUM(G79:G82)</f>
        <v>0</v>
      </c>
      <c r="D106" s="90"/>
      <c r="E106" s="100"/>
      <c r="F106" s="101" t="s">
        <v>212</v>
      </c>
      <c r="G106" s="102">
        <f>C104+C105-C106</f>
        <v>46.3</v>
      </c>
    </row>
    <row r="108" spans="1:7" ht="15" customHeight="1" x14ac:dyDescent="0.45">
      <c r="A108" s="49"/>
      <c r="B108" s="49"/>
      <c r="C108" s="50"/>
    </row>
    <row r="109" spans="1:7" ht="15" customHeight="1" x14ac:dyDescent="0.45">
      <c r="A109" s="49"/>
      <c r="B109" s="49"/>
      <c r="C109" s="50"/>
    </row>
    <row r="110" spans="1:7" ht="15" customHeight="1" x14ac:dyDescent="0.45">
      <c r="A110" s="51"/>
      <c r="B110" s="49"/>
      <c r="C110" s="50"/>
    </row>
    <row r="111" spans="1:7" ht="15" customHeight="1" x14ac:dyDescent="0.45">
      <c r="A111" s="51"/>
      <c r="B111" s="49"/>
      <c r="C111" s="50"/>
    </row>
    <row r="112" spans="1:7" ht="15" customHeight="1" x14ac:dyDescent="0.45">
      <c r="A112" s="51"/>
      <c r="B112" s="49"/>
      <c r="C112" s="50"/>
    </row>
    <row r="116" spans="5:5" ht="15" customHeight="1" x14ac:dyDescent="0.45">
      <c r="E116" s="2"/>
    </row>
    <row r="117" spans="5:5" ht="15" customHeight="1" x14ac:dyDescent="0.45">
      <c r="E117" s="2"/>
    </row>
    <row r="118" spans="5:5" ht="15" customHeight="1" x14ac:dyDescent="0.45">
      <c r="E118" s="2"/>
    </row>
    <row r="119" spans="5:5" ht="15" customHeight="1" x14ac:dyDescent="0.45">
      <c r="E119" s="2"/>
    </row>
    <row r="120" spans="5:5" ht="15" customHeight="1" x14ac:dyDescent="0.45">
      <c r="E120" s="2"/>
    </row>
  </sheetData>
  <mergeCells count="3">
    <mergeCell ref="A1:B1"/>
    <mergeCell ref="C1:E1"/>
    <mergeCell ref="E3:G3"/>
  </mergeCells>
  <phoneticPr fontId="2"/>
  <dataValidations count="2">
    <dataValidation type="list" allowBlank="1" showInputMessage="1" showErrorMessage="1" sqref="E5" xr:uid="{9E00EB5A-127C-4641-9C2B-EB1DDE332F0D}">
      <formula1>単位</formula1>
    </dataValidation>
    <dataValidation type="decimal" errorStyle="warning" allowBlank="1" showInputMessage="1" showErrorMessage="1" errorTitle="粗利益率は、小数点以下3桁で入力してください" error="＜例＞_x000a_粗利益率55.5％の場合「0.555」と入力" sqref="C8 D9:D11" xr:uid="{46577CE7-27E6-4E66-AF33-38D76AD7CAB0}">
      <formula1>0.001</formula1>
      <formula2>1.001</formula2>
    </dataValidation>
  </dataValidations>
  <pageMargins left="0.7" right="0.7" top="0.75" bottom="0.75" header="0.3" footer="0.3"/>
  <pageSetup paperSize="8"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620A-3C08-458F-BACE-1A67B754B74E}">
  <sheetPr codeName="Sheet2">
    <pageSetUpPr fitToPage="1"/>
  </sheetPr>
  <dimension ref="B1:U36"/>
  <sheetViews>
    <sheetView view="pageBreakPreview" topLeftCell="A7" zoomScale="90" zoomScaleNormal="90" zoomScaleSheetLayoutView="90" workbookViewId="0">
      <selection activeCell="L3" sqref="L3:O12"/>
    </sheetView>
  </sheetViews>
  <sheetFormatPr defaultRowHeight="18" x14ac:dyDescent="0.45"/>
  <cols>
    <col min="1" max="1" width="3.3984375" customWidth="1"/>
    <col min="7" max="7" width="15.5" customWidth="1"/>
    <col min="9" max="9" width="15" customWidth="1"/>
    <col min="10" max="11" width="3.5" customWidth="1"/>
  </cols>
  <sheetData>
    <row r="1" spans="2:21" x14ac:dyDescent="0.45">
      <c r="B1" s="452" t="str">
        <f>スタート!C1</f>
        <v>ひながた</v>
      </c>
      <c r="C1" s="452"/>
      <c r="D1" s="452"/>
      <c r="E1" s="452"/>
      <c r="F1" s="452"/>
      <c r="G1" s="452"/>
      <c r="H1" s="452"/>
    </row>
    <row r="2" spans="2:21" ht="49.2" customHeight="1" thickBot="1" x14ac:dyDescent="0.5">
      <c r="B2" s="462" t="s">
        <v>395</v>
      </c>
      <c r="C2" s="463"/>
      <c r="D2" s="463"/>
      <c r="E2" s="463"/>
      <c r="F2" s="463"/>
      <c r="G2" s="463"/>
      <c r="H2" s="463"/>
      <c r="I2" s="463"/>
      <c r="U2" t="s">
        <v>3</v>
      </c>
    </row>
    <row r="3" spans="2:21" x14ac:dyDescent="0.45">
      <c r="B3" s="569">
        <f>スタート!C6</f>
        <v>355</v>
      </c>
      <c r="C3" s="570"/>
      <c r="D3" s="570"/>
      <c r="E3" s="571"/>
      <c r="F3" s="560">
        <f>スタート!G102</f>
        <v>224.9</v>
      </c>
      <c r="G3" s="561"/>
      <c r="H3" s="561"/>
      <c r="I3" s="562"/>
      <c r="L3" s="453">
        <v>1.1000000000000001</v>
      </c>
      <c r="M3" s="454"/>
      <c r="N3" s="454"/>
      <c r="O3" s="455"/>
      <c r="P3" s="464" t="s">
        <v>213</v>
      </c>
      <c r="Q3" s="453">
        <v>320</v>
      </c>
      <c r="R3" s="454"/>
      <c r="S3" s="454"/>
      <c r="T3" s="455"/>
    </row>
    <row r="4" spans="2:21" x14ac:dyDescent="0.45">
      <c r="B4" s="572"/>
      <c r="C4" s="573"/>
      <c r="D4" s="573"/>
      <c r="E4" s="574"/>
      <c r="F4" s="563"/>
      <c r="G4" s="564"/>
      <c r="H4" s="564"/>
      <c r="I4" s="565"/>
      <c r="L4" s="456"/>
      <c r="M4" s="457"/>
      <c r="N4" s="457"/>
      <c r="O4" s="458"/>
      <c r="P4" s="465"/>
      <c r="Q4" s="456"/>
      <c r="R4" s="457"/>
      <c r="S4" s="457"/>
      <c r="T4" s="458"/>
    </row>
    <row r="5" spans="2:21" x14ac:dyDescent="0.45">
      <c r="B5" s="572"/>
      <c r="C5" s="573"/>
      <c r="D5" s="573"/>
      <c r="E5" s="574"/>
      <c r="F5" s="563"/>
      <c r="G5" s="564"/>
      <c r="H5" s="564"/>
      <c r="I5" s="565"/>
      <c r="L5" s="456"/>
      <c r="M5" s="457"/>
      <c r="N5" s="457"/>
      <c r="O5" s="458"/>
      <c r="P5" s="465"/>
      <c r="Q5" s="456"/>
      <c r="R5" s="457"/>
      <c r="S5" s="457"/>
      <c r="T5" s="458"/>
    </row>
    <row r="6" spans="2:21" x14ac:dyDescent="0.45">
      <c r="B6" s="572"/>
      <c r="C6" s="573"/>
      <c r="D6" s="573"/>
      <c r="E6" s="574"/>
      <c r="F6" s="563"/>
      <c r="G6" s="564"/>
      <c r="H6" s="564"/>
      <c r="I6" s="565"/>
      <c r="L6" s="456"/>
      <c r="M6" s="457"/>
      <c r="N6" s="457"/>
      <c r="O6" s="458"/>
      <c r="P6" s="465"/>
      <c r="Q6" s="456"/>
      <c r="R6" s="457"/>
      <c r="S6" s="457"/>
      <c r="T6" s="458"/>
    </row>
    <row r="7" spans="2:21" x14ac:dyDescent="0.45">
      <c r="B7" s="572"/>
      <c r="C7" s="573"/>
      <c r="D7" s="573"/>
      <c r="E7" s="574"/>
      <c r="F7" s="563"/>
      <c r="G7" s="564"/>
      <c r="H7" s="564"/>
      <c r="I7" s="565"/>
      <c r="L7" s="456"/>
      <c r="M7" s="457"/>
      <c r="N7" s="457"/>
      <c r="O7" s="458"/>
      <c r="P7" s="465"/>
      <c r="Q7" s="456"/>
      <c r="R7" s="457"/>
      <c r="S7" s="457"/>
      <c r="T7" s="458"/>
    </row>
    <row r="8" spans="2:21" x14ac:dyDescent="0.45">
      <c r="B8" s="572"/>
      <c r="C8" s="573"/>
      <c r="D8" s="573"/>
      <c r="E8" s="574"/>
      <c r="F8" s="563"/>
      <c r="G8" s="564"/>
      <c r="H8" s="564"/>
      <c r="I8" s="565"/>
      <c r="L8" s="456"/>
      <c r="M8" s="457"/>
      <c r="N8" s="457"/>
      <c r="O8" s="458"/>
      <c r="P8" s="465"/>
      <c r="Q8" s="456"/>
      <c r="R8" s="457"/>
      <c r="S8" s="457"/>
      <c r="T8" s="458"/>
    </row>
    <row r="9" spans="2:21" x14ac:dyDescent="0.45">
      <c r="B9" s="572"/>
      <c r="C9" s="573"/>
      <c r="D9" s="573"/>
      <c r="E9" s="574"/>
      <c r="F9" s="563"/>
      <c r="G9" s="564"/>
      <c r="H9" s="564"/>
      <c r="I9" s="565"/>
      <c r="L9" s="456"/>
      <c r="M9" s="457"/>
      <c r="N9" s="457"/>
      <c r="O9" s="458"/>
      <c r="P9" s="465"/>
      <c r="Q9" s="456"/>
      <c r="R9" s="457"/>
      <c r="S9" s="457"/>
      <c r="T9" s="458"/>
    </row>
    <row r="10" spans="2:21" x14ac:dyDescent="0.45">
      <c r="B10" s="572"/>
      <c r="C10" s="573"/>
      <c r="D10" s="573"/>
      <c r="E10" s="574"/>
      <c r="F10" s="563"/>
      <c r="G10" s="564"/>
      <c r="H10" s="564"/>
      <c r="I10" s="565"/>
      <c r="L10" s="456"/>
      <c r="M10" s="457"/>
      <c r="N10" s="457"/>
      <c r="O10" s="458"/>
      <c r="P10" s="465"/>
      <c r="Q10" s="456"/>
      <c r="R10" s="457"/>
      <c r="S10" s="457"/>
      <c r="T10" s="458"/>
    </row>
    <row r="11" spans="2:21" x14ac:dyDescent="0.45">
      <c r="B11" s="572"/>
      <c r="C11" s="573"/>
      <c r="D11" s="573"/>
      <c r="E11" s="574"/>
      <c r="F11" s="563"/>
      <c r="G11" s="564"/>
      <c r="H11" s="564"/>
      <c r="I11" s="565"/>
      <c r="L11" s="456"/>
      <c r="M11" s="457"/>
      <c r="N11" s="457"/>
      <c r="O11" s="458"/>
      <c r="P11" s="465"/>
      <c r="Q11" s="456"/>
      <c r="R11" s="457"/>
      <c r="S11" s="457"/>
      <c r="T11" s="458"/>
    </row>
    <row r="12" spans="2:21" ht="18.600000000000001" thickBot="1" x14ac:dyDescent="0.5">
      <c r="B12" s="572"/>
      <c r="C12" s="573"/>
      <c r="D12" s="573"/>
      <c r="E12" s="574"/>
      <c r="F12" s="566"/>
      <c r="G12" s="567"/>
      <c r="H12" s="567"/>
      <c r="I12" s="568"/>
      <c r="L12" s="459"/>
      <c r="M12" s="460"/>
      <c r="N12" s="460"/>
      <c r="O12" s="461"/>
      <c r="P12" s="466"/>
      <c r="Q12" s="459"/>
      <c r="R12" s="460"/>
      <c r="S12" s="460"/>
      <c r="T12" s="461"/>
    </row>
    <row r="13" spans="2:21" ht="18.600000000000001" customHeight="1" thickBot="1" x14ac:dyDescent="0.5">
      <c r="B13" s="575">
        <f>L3*Q3</f>
        <v>352</v>
      </c>
      <c r="C13" s="576"/>
      <c r="D13" s="576"/>
      <c r="E13" s="577"/>
      <c r="F13" s="584">
        <f>スタート!C7</f>
        <v>130.1</v>
      </c>
      <c r="G13" s="584"/>
      <c r="H13" s="584">
        <f>スタート!G103</f>
        <v>103.8</v>
      </c>
      <c r="I13" s="584"/>
      <c r="L13" s="467">
        <v>11</v>
      </c>
      <c r="M13" s="468"/>
      <c r="N13" s="468"/>
      <c r="O13" s="469"/>
      <c r="P13" s="464" t="s">
        <v>213</v>
      </c>
      <c r="Q13" s="453">
        <v>11</v>
      </c>
      <c r="R13" s="454"/>
      <c r="S13" s="454"/>
      <c r="T13" s="455"/>
    </row>
    <row r="14" spans="2:21" ht="18.600000000000001" customHeight="1" thickBot="1" x14ac:dyDescent="0.5">
      <c r="B14" s="578"/>
      <c r="C14" s="579"/>
      <c r="D14" s="579"/>
      <c r="E14" s="580"/>
      <c r="F14" s="584"/>
      <c r="G14" s="584"/>
      <c r="H14" s="584"/>
      <c r="I14" s="584"/>
      <c r="L14" s="470"/>
      <c r="M14" s="471"/>
      <c r="N14" s="471"/>
      <c r="O14" s="472"/>
      <c r="P14" s="465"/>
      <c r="Q14" s="456"/>
      <c r="R14" s="457"/>
      <c r="S14" s="457"/>
      <c r="T14" s="458"/>
    </row>
    <row r="15" spans="2:21" ht="18.600000000000001" customHeight="1" thickBot="1" x14ac:dyDescent="0.5">
      <c r="B15" s="578"/>
      <c r="C15" s="579"/>
      <c r="D15" s="579"/>
      <c r="E15" s="580"/>
      <c r="F15" s="584"/>
      <c r="G15" s="584"/>
      <c r="H15" s="584"/>
      <c r="I15" s="584"/>
      <c r="L15" s="470"/>
      <c r="M15" s="471"/>
      <c r="N15" s="471"/>
      <c r="O15" s="472"/>
      <c r="P15" s="465"/>
      <c r="Q15" s="456"/>
      <c r="R15" s="457"/>
      <c r="S15" s="457"/>
      <c r="T15" s="458"/>
    </row>
    <row r="16" spans="2:21" ht="18.600000000000001" customHeight="1" thickBot="1" x14ac:dyDescent="0.5">
      <c r="B16" s="578"/>
      <c r="C16" s="579"/>
      <c r="D16" s="579"/>
      <c r="E16" s="580"/>
      <c r="F16" s="584"/>
      <c r="G16" s="584"/>
      <c r="H16" s="584"/>
      <c r="I16" s="584"/>
      <c r="L16" s="470"/>
      <c r="M16" s="471"/>
      <c r="N16" s="471"/>
      <c r="O16" s="472"/>
      <c r="P16" s="465"/>
      <c r="Q16" s="456"/>
      <c r="R16" s="457"/>
      <c r="S16" s="457"/>
      <c r="T16" s="458"/>
    </row>
    <row r="17" spans="2:20" ht="18.600000000000001" customHeight="1" thickBot="1" x14ac:dyDescent="0.5">
      <c r="B17" s="578"/>
      <c r="C17" s="579"/>
      <c r="D17" s="579"/>
      <c r="E17" s="580"/>
      <c r="F17" s="584"/>
      <c r="G17" s="584"/>
      <c r="H17" s="584"/>
      <c r="I17" s="584"/>
      <c r="L17" s="470"/>
      <c r="M17" s="471"/>
      <c r="N17" s="471"/>
      <c r="O17" s="472"/>
      <c r="P17" s="465"/>
      <c r="Q17" s="456"/>
      <c r="R17" s="457"/>
      <c r="S17" s="457"/>
      <c r="T17" s="458"/>
    </row>
    <row r="18" spans="2:20" ht="18.600000000000001" customHeight="1" thickBot="1" x14ac:dyDescent="0.5">
      <c r="B18" s="578"/>
      <c r="C18" s="579"/>
      <c r="D18" s="579"/>
      <c r="E18" s="580"/>
      <c r="F18" s="584"/>
      <c r="G18" s="584"/>
      <c r="H18" s="584">
        <f>スタート!G105+スタート!C102-スタート!C103+スタート!C105-スタート!C106</f>
        <v>46.3</v>
      </c>
      <c r="I18" s="584"/>
      <c r="L18" s="470"/>
      <c r="M18" s="471"/>
      <c r="N18" s="471"/>
      <c r="O18" s="472"/>
      <c r="P18" s="465"/>
      <c r="Q18" s="456"/>
      <c r="R18" s="457"/>
      <c r="S18" s="457"/>
      <c r="T18" s="458"/>
    </row>
    <row r="19" spans="2:20" ht="18.600000000000001" customHeight="1" thickBot="1" x14ac:dyDescent="0.5">
      <c r="B19" s="578"/>
      <c r="C19" s="579"/>
      <c r="D19" s="579"/>
      <c r="E19" s="580"/>
      <c r="F19" s="584"/>
      <c r="G19" s="584"/>
      <c r="H19" s="584"/>
      <c r="I19" s="584"/>
      <c r="L19" s="470"/>
      <c r="M19" s="471"/>
      <c r="N19" s="471"/>
      <c r="O19" s="472"/>
      <c r="P19" s="465"/>
      <c r="Q19" s="456"/>
      <c r="R19" s="457"/>
      <c r="S19" s="457"/>
      <c r="T19" s="458"/>
    </row>
    <row r="20" spans="2:20" ht="18.600000000000001" customHeight="1" thickBot="1" x14ac:dyDescent="0.5">
      <c r="B20" s="578"/>
      <c r="C20" s="579"/>
      <c r="D20" s="579"/>
      <c r="E20" s="580"/>
      <c r="F20" s="584"/>
      <c r="G20" s="584"/>
      <c r="H20" s="584"/>
      <c r="I20" s="584"/>
      <c r="L20" s="470"/>
      <c r="M20" s="471"/>
      <c r="N20" s="471"/>
      <c r="O20" s="472"/>
      <c r="P20" s="465"/>
      <c r="Q20" s="456"/>
      <c r="R20" s="457"/>
      <c r="S20" s="457"/>
      <c r="T20" s="458"/>
    </row>
    <row r="21" spans="2:20" ht="18.600000000000001" customHeight="1" thickBot="1" x14ac:dyDescent="0.5">
      <c r="B21" s="578"/>
      <c r="C21" s="579"/>
      <c r="D21" s="579"/>
      <c r="E21" s="580"/>
      <c r="F21" s="584"/>
      <c r="G21" s="584"/>
      <c r="H21" s="584"/>
      <c r="I21" s="584"/>
      <c r="L21" s="470"/>
      <c r="M21" s="471"/>
      <c r="N21" s="471"/>
      <c r="O21" s="472"/>
      <c r="P21" s="465"/>
      <c r="Q21" s="456"/>
      <c r="R21" s="457"/>
      <c r="S21" s="457"/>
      <c r="T21" s="458"/>
    </row>
    <row r="22" spans="2:20" ht="18.600000000000001" customHeight="1" thickBot="1" x14ac:dyDescent="0.5">
      <c r="B22" s="581"/>
      <c r="C22" s="582"/>
      <c r="D22" s="582"/>
      <c r="E22" s="583"/>
      <c r="F22" s="584"/>
      <c r="G22" s="584"/>
      <c r="H22" s="584"/>
      <c r="I22" s="584"/>
      <c r="L22" s="473"/>
      <c r="M22" s="474"/>
      <c r="N22" s="474"/>
      <c r="O22" s="475"/>
      <c r="P22" s="466"/>
      <c r="Q22" s="459"/>
      <c r="R22" s="460"/>
      <c r="S22" s="460"/>
      <c r="T22" s="461"/>
    </row>
    <row r="24" spans="2:20" x14ac:dyDescent="0.45">
      <c r="B24" s="449" t="s">
        <v>214</v>
      </c>
      <c r="C24" s="443"/>
      <c r="D24" s="443"/>
      <c r="E24" s="443"/>
      <c r="F24" s="443"/>
      <c r="G24" s="443"/>
      <c r="H24" s="443"/>
      <c r="I24" s="443"/>
      <c r="J24" s="443"/>
      <c r="K24" s="443"/>
      <c r="L24" s="443"/>
      <c r="M24" s="443"/>
      <c r="N24" s="443"/>
      <c r="O24" s="443"/>
      <c r="P24" s="443"/>
      <c r="Q24" s="443"/>
      <c r="R24" s="443"/>
      <c r="S24" s="443"/>
      <c r="T24" s="444"/>
    </row>
    <row r="25" spans="2:20" x14ac:dyDescent="0.45">
      <c r="B25" s="450"/>
      <c r="C25" s="445"/>
      <c r="D25" s="445"/>
      <c r="E25" s="445"/>
      <c r="F25" s="445"/>
      <c r="G25" s="445"/>
      <c r="H25" s="445"/>
      <c r="I25" s="445"/>
      <c r="J25" s="445"/>
      <c r="K25" s="445"/>
      <c r="L25" s="445"/>
      <c r="M25" s="445"/>
      <c r="N25" s="445"/>
      <c r="O25" s="445"/>
      <c r="P25" s="445"/>
      <c r="Q25" s="445"/>
      <c r="R25" s="445"/>
      <c r="S25" s="445"/>
      <c r="T25" s="446"/>
    </row>
    <row r="26" spans="2:20" x14ac:dyDescent="0.45">
      <c r="B26" s="450"/>
      <c r="C26" s="445"/>
      <c r="D26" s="445"/>
      <c r="E26" s="445"/>
      <c r="F26" s="445"/>
      <c r="G26" s="445"/>
      <c r="H26" s="445"/>
      <c r="I26" s="445"/>
      <c r="J26" s="445"/>
      <c r="K26" s="445"/>
      <c r="L26" s="445"/>
      <c r="M26" s="445"/>
      <c r="N26" s="445"/>
      <c r="O26" s="445"/>
      <c r="P26" s="445"/>
      <c r="Q26" s="445"/>
      <c r="R26" s="445"/>
      <c r="S26" s="445"/>
      <c r="T26" s="446"/>
    </row>
    <row r="27" spans="2:20" x14ac:dyDescent="0.45">
      <c r="B27" s="450"/>
      <c r="C27" s="445"/>
      <c r="D27" s="445"/>
      <c r="E27" s="445"/>
      <c r="F27" s="445"/>
      <c r="G27" s="445"/>
      <c r="H27" s="445"/>
      <c r="I27" s="445"/>
      <c r="J27" s="445"/>
      <c r="K27" s="445"/>
      <c r="L27" s="445"/>
      <c r="M27" s="445"/>
      <c r="N27" s="445"/>
      <c r="O27" s="445"/>
      <c r="P27" s="445"/>
      <c r="Q27" s="445"/>
      <c r="R27" s="445"/>
      <c r="S27" s="445"/>
      <c r="T27" s="446"/>
    </row>
    <row r="28" spans="2:20" x14ac:dyDescent="0.45">
      <c r="B28" s="450"/>
      <c r="C28" s="445"/>
      <c r="D28" s="445"/>
      <c r="E28" s="445"/>
      <c r="F28" s="445"/>
      <c r="G28" s="445"/>
      <c r="H28" s="445"/>
      <c r="I28" s="445"/>
      <c r="J28" s="445"/>
      <c r="K28" s="445"/>
      <c r="L28" s="445"/>
      <c r="M28" s="445"/>
      <c r="N28" s="445"/>
      <c r="O28" s="445"/>
      <c r="P28" s="445"/>
      <c r="Q28" s="445"/>
      <c r="R28" s="445"/>
      <c r="S28" s="445"/>
      <c r="T28" s="446"/>
    </row>
    <row r="29" spans="2:20" x14ac:dyDescent="0.45">
      <c r="B29" s="450"/>
      <c r="C29" s="445"/>
      <c r="D29" s="445"/>
      <c r="E29" s="445"/>
      <c r="F29" s="445"/>
      <c r="G29" s="445"/>
      <c r="H29" s="445"/>
      <c r="I29" s="445"/>
      <c r="J29" s="445"/>
      <c r="K29" s="445"/>
      <c r="L29" s="445"/>
      <c r="M29" s="445"/>
      <c r="N29" s="445"/>
      <c r="O29" s="445"/>
      <c r="P29" s="445"/>
      <c r="Q29" s="445"/>
      <c r="R29" s="445"/>
      <c r="S29" s="445"/>
      <c r="T29" s="446"/>
    </row>
    <row r="30" spans="2:20" x14ac:dyDescent="0.45">
      <c r="B30" s="450"/>
      <c r="C30" s="445"/>
      <c r="D30" s="445"/>
      <c r="E30" s="445"/>
      <c r="F30" s="445"/>
      <c r="G30" s="445"/>
      <c r="H30" s="445"/>
      <c r="I30" s="445"/>
      <c r="J30" s="445"/>
      <c r="K30" s="445"/>
      <c r="L30" s="445"/>
      <c r="M30" s="445"/>
      <c r="N30" s="445"/>
      <c r="O30" s="445"/>
      <c r="P30" s="445"/>
      <c r="Q30" s="445"/>
      <c r="R30" s="445"/>
      <c r="S30" s="445"/>
      <c r="T30" s="446"/>
    </row>
    <row r="31" spans="2:20" x14ac:dyDescent="0.45">
      <c r="B31" s="450"/>
      <c r="C31" s="445"/>
      <c r="D31" s="445"/>
      <c r="E31" s="445"/>
      <c r="F31" s="445"/>
      <c r="G31" s="445"/>
      <c r="H31" s="445"/>
      <c r="I31" s="445"/>
      <c r="J31" s="445"/>
      <c r="K31" s="445"/>
      <c r="L31" s="445"/>
      <c r="M31" s="445"/>
      <c r="N31" s="445"/>
      <c r="O31" s="445"/>
      <c r="P31" s="445"/>
      <c r="Q31" s="445"/>
      <c r="R31" s="445"/>
      <c r="S31" s="445"/>
      <c r="T31" s="446"/>
    </row>
    <row r="32" spans="2:20" x14ac:dyDescent="0.45">
      <c r="B32" s="450"/>
      <c r="C32" s="445"/>
      <c r="D32" s="445"/>
      <c r="E32" s="445"/>
      <c r="F32" s="445"/>
      <c r="G32" s="445"/>
      <c r="H32" s="445"/>
      <c r="I32" s="445"/>
      <c r="J32" s="445"/>
      <c r="K32" s="445"/>
      <c r="L32" s="445"/>
      <c r="M32" s="445"/>
      <c r="N32" s="445"/>
      <c r="O32" s="445"/>
      <c r="P32" s="445"/>
      <c r="Q32" s="445"/>
      <c r="R32" s="445"/>
      <c r="S32" s="445"/>
      <c r="T32" s="446"/>
    </row>
    <row r="33" spans="2:20" x14ac:dyDescent="0.45">
      <c r="B33" s="450"/>
      <c r="C33" s="445"/>
      <c r="D33" s="445"/>
      <c r="E33" s="445"/>
      <c r="F33" s="445"/>
      <c r="G33" s="445"/>
      <c r="H33" s="445"/>
      <c r="I33" s="445"/>
      <c r="J33" s="445"/>
      <c r="K33" s="445"/>
      <c r="L33" s="445"/>
      <c r="M33" s="445"/>
      <c r="N33" s="445"/>
      <c r="O33" s="445"/>
      <c r="P33" s="445"/>
      <c r="Q33" s="445"/>
      <c r="R33" s="445"/>
      <c r="S33" s="445"/>
      <c r="T33" s="446"/>
    </row>
    <row r="34" spans="2:20" x14ac:dyDescent="0.45">
      <c r="B34" s="450"/>
      <c r="C34" s="445"/>
      <c r="D34" s="445"/>
      <c r="E34" s="445"/>
      <c r="F34" s="445"/>
      <c r="G34" s="445"/>
      <c r="H34" s="445"/>
      <c r="I34" s="445"/>
      <c r="J34" s="445"/>
      <c r="K34" s="445"/>
      <c r="L34" s="445"/>
      <c r="M34" s="445"/>
      <c r="N34" s="445"/>
      <c r="O34" s="445"/>
      <c r="P34" s="445"/>
      <c r="Q34" s="445"/>
      <c r="R34" s="445"/>
      <c r="S34" s="445"/>
      <c r="T34" s="446"/>
    </row>
    <row r="35" spans="2:20" x14ac:dyDescent="0.45">
      <c r="B35" s="450"/>
      <c r="C35" s="445"/>
      <c r="D35" s="445"/>
      <c r="E35" s="445"/>
      <c r="F35" s="445"/>
      <c r="G35" s="445"/>
      <c r="H35" s="445"/>
      <c r="I35" s="445"/>
      <c r="J35" s="445"/>
      <c r="K35" s="445"/>
      <c r="L35" s="445"/>
      <c r="M35" s="445"/>
      <c r="N35" s="445"/>
      <c r="O35" s="445"/>
      <c r="P35" s="445"/>
      <c r="Q35" s="445"/>
      <c r="R35" s="445"/>
      <c r="S35" s="445"/>
      <c r="T35" s="446"/>
    </row>
    <row r="36" spans="2:20" x14ac:dyDescent="0.45">
      <c r="B36" s="451"/>
      <c r="C36" s="447"/>
      <c r="D36" s="447"/>
      <c r="E36" s="447"/>
      <c r="F36" s="447"/>
      <c r="G36" s="447"/>
      <c r="H36" s="447"/>
      <c r="I36" s="447"/>
      <c r="J36" s="447"/>
      <c r="K36" s="447"/>
      <c r="L36" s="447"/>
      <c r="M36" s="447"/>
      <c r="N36" s="447"/>
      <c r="O36" s="447"/>
      <c r="P36" s="447"/>
      <c r="Q36" s="447"/>
      <c r="R36" s="447"/>
      <c r="S36" s="447"/>
      <c r="T36" s="448"/>
    </row>
  </sheetData>
  <mergeCells count="16">
    <mergeCell ref="C24:T36"/>
    <mergeCell ref="B24:B36"/>
    <mergeCell ref="B1:H1"/>
    <mergeCell ref="Q13:T22"/>
    <mergeCell ref="H18:I22"/>
    <mergeCell ref="B3:E12"/>
    <mergeCell ref="B13:E22"/>
    <mergeCell ref="B2:I2"/>
    <mergeCell ref="F3:I12"/>
    <mergeCell ref="L3:O12"/>
    <mergeCell ref="P3:P12"/>
    <mergeCell ref="Q3:T12"/>
    <mergeCell ref="F13:G22"/>
    <mergeCell ref="H13:I17"/>
    <mergeCell ref="L13:O22"/>
    <mergeCell ref="P13:P22"/>
  </mergeCells>
  <phoneticPr fontId="2"/>
  <pageMargins left="0.7" right="0.7" top="0.75" bottom="0.75" header="0.3" footer="0.3"/>
  <pageSetup paperSize="8" orientation="landscape" r:id="rId1"/>
  <colBreaks count="1" manualBreakCount="1">
    <brk id="10"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E727-CB66-4365-BEC1-E642A73BF0D4}">
  <sheetPr codeName="Sheet3">
    <pageSetUpPr fitToPage="1"/>
  </sheetPr>
  <dimension ref="A1:P12"/>
  <sheetViews>
    <sheetView tabSelected="1" view="pageBreakPreview" zoomScale="90" zoomScaleNormal="100" zoomScaleSheetLayoutView="90" workbookViewId="0">
      <selection activeCell="I5" sqref="I5:L5"/>
    </sheetView>
  </sheetViews>
  <sheetFormatPr defaultRowHeight="18" x14ac:dyDescent="0.45"/>
  <cols>
    <col min="1" max="1" width="18.69921875" customWidth="1"/>
    <col min="6" max="6" width="8.69921875" customWidth="1"/>
    <col min="8" max="8" width="18.69921875" customWidth="1"/>
  </cols>
  <sheetData>
    <row r="1" spans="1:16" x14ac:dyDescent="0.45">
      <c r="A1" s="452" t="str">
        <f>スタート!C1</f>
        <v>ひながた</v>
      </c>
      <c r="B1" s="452"/>
      <c r="C1" s="452"/>
      <c r="D1" s="452"/>
    </row>
    <row r="2" spans="1:16" ht="66" customHeight="1" thickBot="1" x14ac:dyDescent="0.5">
      <c r="A2" s="482" t="s">
        <v>215</v>
      </c>
      <c r="B2" s="483"/>
      <c r="C2" s="483"/>
      <c r="D2" s="483"/>
      <c r="E2" s="483"/>
      <c r="F2" s="483"/>
      <c r="G2" s="483"/>
      <c r="H2" s="483"/>
      <c r="I2" s="483"/>
      <c r="J2" s="483"/>
      <c r="K2" s="483"/>
      <c r="L2" s="483"/>
      <c r="M2" s="483"/>
      <c r="N2" s="483"/>
      <c r="O2" s="483"/>
      <c r="P2" t="s">
        <v>3</v>
      </c>
    </row>
    <row r="3" spans="1:16" ht="58.8" thickBot="1" x14ac:dyDescent="0.25">
      <c r="A3" s="104" t="s">
        <v>209</v>
      </c>
      <c r="B3" s="484">
        <v>25</v>
      </c>
      <c r="C3" s="485"/>
      <c r="D3" s="485"/>
      <c r="E3" s="486"/>
      <c r="F3" s="123" t="s">
        <v>216</v>
      </c>
      <c r="H3" s="124" t="s">
        <v>217</v>
      </c>
      <c r="I3" s="476">
        <v>10</v>
      </c>
      <c r="J3" s="477"/>
      <c r="K3" s="477"/>
      <c r="L3" s="478"/>
      <c r="M3" s="123" t="s">
        <v>216</v>
      </c>
    </row>
    <row r="4" spans="1:16" ht="58.8" thickBot="1" x14ac:dyDescent="0.25">
      <c r="A4" s="105" t="s">
        <v>203</v>
      </c>
      <c r="B4" s="476">
        <v>10</v>
      </c>
      <c r="C4" s="477"/>
      <c r="D4" s="477"/>
      <c r="E4" s="478"/>
      <c r="F4" s="123" t="s">
        <v>216</v>
      </c>
      <c r="H4" s="15" t="s">
        <v>218</v>
      </c>
      <c r="I4" s="476">
        <v>0</v>
      </c>
      <c r="J4" s="477"/>
      <c r="K4" s="477"/>
      <c r="L4" s="478"/>
      <c r="M4" s="123" t="s">
        <v>216</v>
      </c>
    </row>
    <row r="5" spans="1:16" ht="58.8" thickBot="1" x14ac:dyDescent="0.25">
      <c r="A5" s="37" t="s">
        <v>206</v>
      </c>
      <c r="B5" s="476">
        <v>0</v>
      </c>
      <c r="C5" s="477"/>
      <c r="D5" s="477"/>
      <c r="E5" s="478"/>
      <c r="F5" s="123" t="s">
        <v>216</v>
      </c>
      <c r="H5" s="104" t="s">
        <v>212</v>
      </c>
      <c r="I5" s="479">
        <f>B6+I3-I4</f>
        <v>45</v>
      </c>
      <c r="J5" s="480"/>
      <c r="K5" s="480"/>
      <c r="L5" s="481"/>
      <c r="M5" s="123" t="s">
        <v>216</v>
      </c>
    </row>
    <row r="6" spans="1:16" ht="58.8" thickBot="1" x14ac:dyDescent="0.25">
      <c r="A6" s="105" t="s">
        <v>207</v>
      </c>
      <c r="B6" s="479">
        <f>B3+B4-B5</f>
        <v>35</v>
      </c>
      <c r="C6" s="480"/>
      <c r="D6" s="480"/>
      <c r="E6" s="481"/>
      <c r="F6" s="123" t="s">
        <v>216</v>
      </c>
    </row>
    <row r="7" spans="1:16" ht="58.8" thickBot="1" x14ac:dyDescent="0.25">
      <c r="A7" s="12"/>
      <c r="B7" s="488"/>
      <c r="C7" s="489"/>
      <c r="D7" s="489"/>
      <c r="E7" s="489"/>
      <c r="F7" s="10"/>
      <c r="H7" s="122" t="s">
        <v>219</v>
      </c>
      <c r="I7" s="487">
        <f>I5/スタート!G106</f>
        <v>0.97192224622030243</v>
      </c>
      <c r="J7" s="487"/>
      <c r="K7" s="487"/>
      <c r="L7" s="487"/>
      <c r="M7" s="1"/>
    </row>
    <row r="8" spans="1:16" ht="58.2" x14ac:dyDescent="0.2">
      <c r="A8" s="14"/>
      <c r="B8" s="490"/>
      <c r="C8" s="452"/>
      <c r="D8" s="452"/>
      <c r="E8" s="452"/>
      <c r="F8" s="11"/>
    </row>
    <row r="9" spans="1:16" ht="58.2" x14ac:dyDescent="0.2">
      <c r="A9" s="13"/>
      <c r="B9" s="490"/>
      <c r="C9" s="452"/>
      <c r="D9" s="452"/>
      <c r="E9" s="452"/>
      <c r="F9" s="11"/>
    </row>
    <row r="10" spans="1:16" ht="58.2" x14ac:dyDescent="0.45">
      <c r="B10" s="392"/>
      <c r="C10" s="392"/>
      <c r="D10" s="392"/>
      <c r="E10" s="392"/>
      <c r="F10" s="11"/>
    </row>
    <row r="11" spans="1:16" ht="58.2" x14ac:dyDescent="0.45">
      <c r="B11" s="392"/>
      <c r="C11" s="392"/>
      <c r="D11" s="392"/>
      <c r="E11" s="392"/>
      <c r="F11" s="11"/>
    </row>
    <row r="12" spans="1:16" ht="58.2" x14ac:dyDescent="0.45">
      <c r="B12" s="392"/>
      <c r="C12" s="392"/>
      <c r="D12" s="392"/>
      <c r="E12" s="392"/>
      <c r="F12" s="11"/>
    </row>
  </sheetData>
  <mergeCells count="13">
    <mergeCell ref="I7:L7"/>
    <mergeCell ref="B6:E6"/>
    <mergeCell ref="B7:E7"/>
    <mergeCell ref="B8:E8"/>
    <mergeCell ref="B9:E9"/>
    <mergeCell ref="A1:D1"/>
    <mergeCell ref="I3:L3"/>
    <mergeCell ref="I4:L4"/>
    <mergeCell ref="I5:L5"/>
    <mergeCell ref="A2:O2"/>
    <mergeCell ref="B3:E3"/>
    <mergeCell ref="B4:E4"/>
    <mergeCell ref="B5:E5"/>
  </mergeCells>
  <phoneticPr fontId="2"/>
  <pageMargins left="0.7" right="0.7" top="0.75" bottom="0.75" header="0.3" footer="0.3"/>
  <pageSetup paperSize="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65DD-6DD4-4370-9AC8-34212390FCA9}">
  <sheetPr codeName="Sheet4">
    <pageSetUpPr fitToPage="1"/>
  </sheetPr>
  <dimension ref="B1:V39"/>
  <sheetViews>
    <sheetView view="pageBreakPreview" topLeftCell="A4" zoomScale="80" zoomScaleNormal="90" zoomScaleSheetLayoutView="80" workbookViewId="0">
      <selection activeCell="I22" sqref="I22"/>
    </sheetView>
  </sheetViews>
  <sheetFormatPr defaultRowHeight="18" x14ac:dyDescent="0.45"/>
  <cols>
    <col min="1" max="1" width="3.69921875" customWidth="1"/>
    <col min="6" max="6" width="10.8984375" customWidth="1"/>
    <col min="7" max="7" width="15.5" customWidth="1"/>
    <col min="8" max="8" width="13.09765625" customWidth="1"/>
    <col min="9" max="9" width="15" customWidth="1"/>
    <col min="10" max="11" width="3.5" customWidth="1"/>
  </cols>
  <sheetData>
    <row r="1" spans="2:22" ht="18.600000000000001" thickBot="1" x14ac:dyDescent="0.5">
      <c r="B1" s="452" t="str">
        <f>スタート!C1</f>
        <v>ひながた</v>
      </c>
      <c r="C1" s="452"/>
      <c r="D1" s="452"/>
      <c r="E1" s="452"/>
      <c r="F1" s="452"/>
      <c r="G1" s="452"/>
      <c r="H1" s="452"/>
    </row>
    <row r="2" spans="2:22" ht="49.2" customHeight="1" thickBot="1" x14ac:dyDescent="0.5">
      <c r="B2" s="462" t="s">
        <v>394</v>
      </c>
      <c r="C2" s="463"/>
      <c r="D2" s="463"/>
      <c r="E2" s="463"/>
      <c r="F2" s="463"/>
      <c r="G2" s="463"/>
      <c r="H2" s="463"/>
      <c r="I2" s="463"/>
      <c r="L2" s="505" t="s">
        <v>220</v>
      </c>
      <c r="M2" s="505"/>
      <c r="N2" s="505"/>
      <c r="O2" s="505"/>
      <c r="P2" s="394"/>
      <c r="Q2" s="505" t="s">
        <v>221</v>
      </c>
      <c r="R2" s="505"/>
      <c r="S2" s="505"/>
      <c r="T2" s="505"/>
      <c r="V2" t="s">
        <v>3</v>
      </c>
    </row>
    <row r="3" spans="2:22" x14ac:dyDescent="0.45">
      <c r="B3" s="569">
        <f>⑦原価詳細!F31/1000000</f>
        <v>450</v>
      </c>
      <c r="C3" s="585"/>
      <c r="D3" s="585"/>
      <c r="E3" s="586"/>
      <c r="F3" s="569">
        <f>'⑥製造（経費)'!I2</f>
        <v>273.59999999999997</v>
      </c>
      <c r="G3" s="590"/>
      <c r="H3" s="590"/>
      <c r="I3" s="591"/>
      <c r="J3" s="38"/>
      <c r="K3" s="38"/>
      <c r="L3" s="491">
        <f>⑦原価詳細!E31</f>
        <v>588235.29411764711</v>
      </c>
      <c r="M3" s="492"/>
      <c r="N3" s="492"/>
      <c r="O3" s="493"/>
      <c r="P3" s="500" t="s">
        <v>213</v>
      </c>
      <c r="Q3" s="491">
        <f>⑦原価詳細!D31</f>
        <v>765</v>
      </c>
      <c r="R3" s="492"/>
      <c r="S3" s="492"/>
      <c r="T3" s="493"/>
    </row>
    <row r="4" spans="2:22" x14ac:dyDescent="0.45">
      <c r="B4" s="587"/>
      <c r="C4" s="588"/>
      <c r="D4" s="588"/>
      <c r="E4" s="589"/>
      <c r="F4" s="592"/>
      <c r="G4" s="593"/>
      <c r="H4" s="593"/>
      <c r="I4" s="594"/>
      <c r="J4" s="38"/>
      <c r="K4" s="38"/>
      <c r="L4" s="494"/>
      <c r="M4" s="495"/>
      <c r="N4" s="495"/>
      <c r="O4" s="496"/>
      <c r="P4" s="501"/>
      <c r="Q4" s="494"/>
      <c r="R4" s="495"/>
      <c r="S4" s="495"/>
      <c r="T4" s="496"/>
    </row>
    <row r="5" spans="2:22" x14ac:dyDescent="0.45">
      <c r="B5" s="587"/>
      <c r="C5" s="588"/>
      <c r="D5" s="588"/>
      <c r="E5" s="589"/>
      <c r="F5" s="592"/>
      <c r="G5" s="593"/>
      <c r="H5" s="593"/>
      <c r="I5" s="594"/>
      <c r="J5" s="38"/>
      <c r="K5" s="38"/>
      <c r="L5" s="494"/>
      <c r="M5" s="495"/>
      <c r="N5" s="495"/>
      <c r="O5" s="496"/>
      <c r="P5" s="501"/>
      <c r="Q5" s="494"/>
      <c r="R5" s="495"/>
      <c r="S5" s="495"/>
      <c r="T5" s="496"/>
    </row>
    <row r="6" spans="2:22" x14ac:dyDescent="0.45">
      <c r="B6" s="587"/>
      <c r="C6" s="588"/>
      <c r="D6" s="588"/>
      <c r="E6" s="589"/>
      <c r="F6" s="592"/>
      <c r="G6" s="593"/>
      <c r="H6" s="593"/>
      <c r="I6" s="594"/>
      <c r="J6" s="38"/>
      <c r="K6" s="38"/>
      <c r="L6" s="494"/>
      <c r="M6" s="495"/>
      <c r="N6" s="495"/>
      <c r="O6" s="496"/>
      <c r="P6" s="501"/>
      <c r="Q6" s="494"/>
      <c r="R6" s="495"/>
      <c r="S6" s="495"/>
      <c r="T6" s="496"/>
    </row>
    <row r="7" spans="2:22" x14ac:dyDescent="0.45">
      <c r="B7" s="587"/>
      <c r="C7" s="588"/>
      <c r="D7" s="588"/>
      <c r="E7" s="589"/>
      <c r="F7" s="592"/>
      <c r="G7" s="593"/>
      <c r="H7" s="593"/>
      <c r="I7" s="594"/>
      <c r="J7" s="38"/>
      <c r="K7" s="38"/>
      <c r="L7" s="494"/>
      <c r="M7" s="495"/>
      <c r="N7" s="495"/>
      <c r="O7" s="496"/>
      <c r="P7" s="501"/>
      <c r="Q7" s="494"/>
      <c r="R7" s="495"/>
      <c r="S7" s="495"/>
      <c r="T7" s="496"/>
    </row>
    <row r="8" spans="2:22" x14ac:dyDescent="0.45">
      <c r="B8" s="587"/>
      <c r="C8" s="588"/>
      <c r="D8" s="588"/>
      <c r="E8" s="589"/>
      <c r="F8" s="592"/>
      <c r="G8" s="593"/>
      <c r="H8" s="593"/>
      <c r="I8" s="594"/>
      <c r="J8" s="38"/>
      <c r="K8" s="38"/>
      <c r="L8" s="494"/>
      <c r="M8" s="495"/>
      <c r="N8" s="495"/>
      <c r="O8" s="496"/>
      <c r="P8" s="501"/>
      <c r="Q8" s="494"/>
      <c r="R8" s="495"/>
      <c r="S8" s="495"/>
      <c r="T8" s="496"/>
    </row>
    <row r="9" spans="2:22" x14ac:dyDescent="0.45">
      <c r="B9" s="587"/>
      <c r="C9" s="588"/>
      <c r="D9" s="588"/>
      <c r="E9" s="589"/>
      <c r="F9" s="592"/>
      <c r="G9" s="593"/>
      <c r="H9" s="593"/>
      <c r="I9" s="594"/>
      <c r="J9" s="38"/>
      <c r="K9" s="38"/>
      <c r="L9" s="494"/>
      <c r="M9" s="495"/>
      <c r="N9" s="495"/>
      <c r="O9" s="496"/>
      <c r="P9" s="501"/>
      <c r="Q9" s="494"/>
      <c r="R9" s="495"/>
      <c r="S9" s="495"/>
      <c r="T9" s="496"/>
    </row>
    <row r="10" spans="2:22" ht="22.8" thickBot="1" x14ac:dyDescent="0.5">
      <c r="B10" s="587"/>
      <c r="C10" s="588"/>
      <c r="D10" s="588"/>
      <c r="E10" s="589"/>
      <c r="F10" s="395"/>
      <c r="G10" s="396"/>
      <c r="H10" s="396"/>
      <c r="I10" s="128">
        <f>F3/B3</f>
        <v>0.60799999999999987</v>
      </c>
      <c r="J10" s="38"/>
      <c r="K10" s="38"/>
      <c r="L10" s="494"/>
      <c r="M10" s="495"/>
      <c r="N10" s="495"/>
      <c r="O10" s="496"/>
      <c r="P10" s="501"/>
      <c r="Q10" s="494"/>
      <c r="R10" s="495"/>
      <c r="S10" s="495"/>
      <c r="T10" s="496"/>
    </row>
    <row r="11" spans="2:22" x14ac:dyDescent="0.45">
      <c r="B11" s="587"/>
      <c r="C11" s="588"/>
      <c r="D11" s="588"/>
      <c r="E11" s="589"/>
      <c r="F11" s="519"/>
      <c r="G11" s="520"/>
      <c r="H11" s="517"/>
      <c r="I11" s="522"/>
      <c r="J11" s="38"/>
      <c r="K11" s="38"/>
      <c r="L11" s="494"/>
      <c r="M11" s="495"/>
      <c r="N11" s="495"/>
      <c r="O11" s="496"/>
      <c r="P11" s="501"/>
      <c r="Q11" s="494"/>
      <c r="R11" s="495"/>
      <c r="S11" s="495"/>
      <c r="T11" s="496"/>
    </row>
    <row r="12" spans="2:22" ht="18.600000000000001" thickBot="1" x14ac:dyDescent="0.5">
      <c r="B12" s="587"/>
      <c r="C12" s="588"/>
      <c r="D12" s="588"/>
      <c r="E12" s="589"/>
      <c r="F12" s="521"/>
      <c r="G12" s="521"/>
      <c r="H12" s="518"/>
      <c r="I12" s="518"/>
      <c r="J12" s="38"/>
      <c r="K12" s="38"/>
      <c r="L12" s="497"/>
      <c r="M12" s="498"/>
      <c r="N12" s="498"/>
      <c r="O12" s="499"/>
      <c r="P12" s="502"/>
      <c r="Q12" s="497"/>
      <c r="R12" s="498"/>
      <c r="S12" s="498"/>
      <c r="T12" s="499"/>
    </row>
    <row r="13" spans="2:22" ht="18.600000000000001" customHeight="1" x14ac:dyDescent="0.45">
      <c r="B13" s="587"/>
      <c r="C13" s="588"/>
      <c r="D13" s="588"/>
      <c r="E13" s="589"/>
      <c r="F13" s="569">
        <f>B3-F3</f>
        <v>176.40000000000003</v>
      </c>
      <c r="G13" s="591"/>
      <c r="H13" s="569">
        <f>④経費!I2*1000000/1000000</f>
        <v>130.4</v>
      </c>
      <c r="I13" s="591"/>
      <c r="J13" s="38"/>
      <c r="K13" s="38"/>
      <c r="L13" s="491">
        <v>0</v>
      </c>
      <c r="M13" s="492"/>
      <c r="N13" s="492"/>
      <c r="O13" s="493"/>
      <c r="P13" s="500" t="s">
        <v>213</v>
      </c>
      <c r="Q13" s="491">
        <v>0</v>
      </c>
      <c r="R13" s="492"/>
      <c r="S13" s="492"/>
      <c r="T13" s="493"/>
    </row>
    <row r="14" spans="2:22" ht="18.600000000000001" customHeight="1" x14ac:dyDescent="0.45">
      <c r="B14" s="587"/>
      <c r="C14" s="588"/>
      <c r="D14" s="588"/>
      <c r="E14" s="589"/>
      <c r="F14" s="592"/>
      <c r="G14" s="594"/>
      <c r="H14" s="592"/>
      <c r="I14" s="594"/>
      <c r="J14" s="38"/>
      <c r="K14" s="38"/>
      <c r="L14" s="494"/>
      <c r="M14" s="495"/>
      <c r="N14" s="495"/>
      <c r="O14" s="496"/>
      <c r="P14" s="501"/>
      <c r="Q14" s="494"/>
      <c r="R14" s="495"/>
      <c r="S14" s="495"/>
      <c r="T14" s="496"/>
    </row>
    <row r="15" spans="2:22" ht="18.600000000000001" customHeight="1" x14ac:dyDescent="0.45">
      <c r="B15" s="587"/>
      <c r="C15" s="588"/>
      <c r="D15" s="588"/>
      <c r="E15" s="589"/>
      <c r="F15" s="592"/>
      <c r="G15" s="594"/>
      <c r="H15" s="592"/>
      <c r="I15" s="594"/>
      <c r="J15" s="38"/>
      <c r="K15" s="38"/>
      <c r="L15" s="494"/>
      <c r="M15" s="495"/>
      <c r="N15" s="495"/>
      <c r="O15" s="496"/>
      <c r="P15" s="501"/>
      <c r="Q15" s="494"/>
      <c r="R15" s="495"/>
      <c r="S15" s="495"/>
      <c r="T15" s="496"/>
    </row>
    <row r="16" spans="2:22" ht="18.600000000000001" customHeight="1" thickBot="1" x14ac:dyDescent="0.5">
      <c r="B16" s="587"/>
      <c r="C16" s="588"/>
      <c r="D16" s="588"/>
      <c r="E16" s="589"/>
      <c r="F16" s="391"/>
      <c r="G16" s="129">
        <f>F13/B3</f>
        <v>0.39200000000000007</v>
      </c>
      <c r="H16" s="395"/>
      <c r="I16" s="128">
        <f>H13/B3</f>
        <v>0.2897777777777778</v>
      </c>
      <c r="J16" s="38"/>
      <c r="K16" s="38"/>
      <c r="L16" s="494"/>
      <c r="M16" s="495"/>
      <c r="N16" s="495"/>
      <c r="O16" s="496"/>
      <c r="P16" s="501"/>
      <c r="Q16" s="494"/>
      <c r="R16" s="495"/>
      <c r="S16" s="495"/>
      <c r="T16" s="496"/>
    </row>
    <row r="17" spans="2:21" ht="18.600000000000001" customHeight="1" thickBot="1" x14ac:dyDescent="0.5">
      <c r="B17" s="587"/>
      <c r="C17" s="588"/>
      <c r="D17" s="588"/>
      <c r="E17" s="589"/>
      <c r="F17" s="509">
        <f>⑦原価詳細!B36/1000000-F13</f>
        <v>-4.5100000000388718E-3</v>
      </c>
      <c r="G17" s="510"/>
      <c r="H17" s="103"/>
      <c r="I17" s="39"/>
      <c r="J17" s="38"/>
      <c r="K17" s="38"/>
      <c r="L17" s="494"/>
      <c r="M17" s="495"/>
      <c r="N17" s="495"/>
      <c r="O17" s="496"/>
      <c r="P17" s="501"/>
      <c r="Q17" s="494"/>
      <c r="R17" s="495"/>
      <c r="S17" s="495"/>
      <c r="T17" s="496"/>
    </row>
    <row r="18" spans="2:21" ht="18.600000000000001" customHeight="1" x14ac:dyDescent="0.45">
      <c r="B18" s="587"/>
      <c r="C18" s="588"/>
      <c r="D18" s="588"/>
      <c r="E18" s="589"/>
      <c r="F18" s="511"/>
      <c r="G18" s="512"/>
      <c r="H18" s="516">
        <f>F13-H13</f>
        <v>46.000000000000028</v>
      </c>
      <c r="I18" s="515"/>
      <c r="J18" s="38"/>
      <c r="K18" s="38"/>
      <c r="L18" s="494"/>
      <c r="M18" s="495"/>
      <c r="N18" s="495"/>
      <c r="O18" s="496"/>
      <c r="P18" s="501"/>
      <c r="Q18" s="494"/>
      <c r="R18" s="495"/>
      <c r="S18" s="495"/>
      <c r="T18" s="496"/>
    </row>
    <row r="19" spans="2:21" ht="18.600000000000001" customHeight="1" thickBot="1" x14ac:dyDescent="0.5">
      <c r="B19" s="587"/>
      <c r="C19" s="588"/>
      <c r="D19" s="588"/>
      <c r="E19" s="589"/>
      <c r="F19" s="511"/>
      <c r="G19" s="512"/>
      <c r="H19" s="511"/>
      <c r="I19" s="512"/>
      <c r="J19" s="38"/>
      <c r="K19" s="38"/>
      <c r="L19" s="494"/>
      <c r="M19" s="495"/>
      <c r="N19" s="495"/>
      <c r="O19" s="496"/>
      <c r="P19" s="501"/>
      <c r="Q19" s="494"/>
      <c r="R19" s="495"/>
      <c r="S19" s="495"/>
      <c r="T19" s="496"/>
    </row>
    <row r="20" spans="2:21" ht="18.600000000000001" customHeight="1" thickBot="1" x14ac:dyDescent="0.5">
      <c r="B20" s="523"/>
      <c r="C20" s="523"/>
      <c r="D20" s="522"/>
      <c r="E20" s="522"/>
      <c r="F20" s="513"/>
      <c r="G20" s="514"/>
      <c r="H20" s="511"/>
      <c r="I20" s="512"/>
      <c r="J20" s="38"/>
      <c r="K20" s="38"/>
      <c r="L20" s="494"/>
      <c r="M20" s="495"/>
      <c r="N20" s="495"/>
      <c r="O20" s="496"/>
      <c r="P20" s="501"/>
      <c r="Q20" s="494"/>
      <c r="R20" s="495"/>
      <c r="S20" s="495"/>
      <c r="T20" s="496"/>
    </row>
    <row r="21" spans="2:21" ht="18.600000000000001" customHeight="1" thickBot="1" x14ac:dyDescent="0.5">
      <c r="B21" s="524"/>
      <c r="C21" s="524"/>
      <c r="D21" s="525"/>
      <c r="E21" s="525"/>
      <c r="F21" s="503"/>
      <c r="G21" s="517"/>
      <c r="H21" s="127"/>
      <c r="I21" s="130">
        <f>H18/B3</f>
        <v>0.10222222222222228</v>
      </c>
      <c r="J21" s="38"/>
      <c r="K21" s="38"/>
      <c r="L21" s="494"/>
      <c r="M21" s="495"/>
      <c r="N21" s="495"/>
      <c r="O21" s="496"/>
      <c r="P21" s="501"/>
      <c r="Q21" s="494"/>
      <c r="R21" s="495"/>
      <c r="S21" s="495"/>
      <c r="T21" s="496"/>
    </row>
    <row r="22" spans="2:21" ht="18.600000000000001" customHeight="1" thickBot="1" x14ac:dyDescent="0.5">
      <c r="B22" s="504"/>
      <c r="C22" s="504"/>
      <c r="D22" s="518"/>
      <c r="E22" s="518"/>
      <c r="F22" s="504"/>
      <c r="G22" s="518"/>
      <c r="H22" s="103" t="s">
        <v>393</v>
      </c>
      <c r="I22" s="39">
        <f>①利益!I5</f>
        <v>45</v>
      </c>
      <c r="J22" s="38"/>
      <c r="K22" s="38"/>
      <c r="L22" s="497"/>
      <c r="M22" s="498"/>
      <c r="N22" s="498"/>
      <c r="O22" s="499"/>
      <c r="P22" s="502"/>
      <c r="Q22" s="497"/>
      <c r="R22" s="498"/>
      <c r="S22" s="498"/>
      <c r="T22" s="499"/>
    </row>
    <row r="24" spans="2:21" ht="19.8" x14ac:dyDescent="0.45">
      <c r="B24" s="526" t="s">
        <v>222</v>
      </c>
      <c r="C24" s="526"/>
      <c r="D24" s="526"/>
      <c r="E24" s="526"/>
      <c r="F24" s="526"/>
      <c r="G24" s="526"/>
      <c r="H24" s="526"/>
      <c r="I24" s="526"/>
      <c r="L24" s="52" t="s">
        <v>214</v>
      </c>
    </row>
    <row r="25" spans="2:21" x14ac:dyDescent="0.45">
      <c r="B25" s="527"/>
      <c r="C25" s="527"/>
      <c r="D25" s="527"/>
      <c r="E25" s="527"/>
      <c r="F25" s="527"/>
      <c r="G25" s="527"/>
      <c r="H25" s="527"/>
      <c r="I25" s="527"/>
      <c r="L25" s="506"/>
      <c r="M25" s="443"/>
      <c r="N25" s="443"/>
      <c r="O25" s="443"/>
      <c r="P25" s="443"/>
      <c r="Q25" s="443"/>
      <c r="R25" s="443"/>
      <c r="S25" s="443"/>
      <c r="T25" s="443"/>
      <c r="U25" s="444"/>
    </row>
    <row r="26" spans="2:21" x14ac:dyDescent="0.45">
      <c r="B26" s="527"/>
      <c r="C26" s="527"/>
      <c r="D26" s="527"/>
      <c r="E26" s="527"/>
      <c r="F26" s="527"/>
      <c r="G26" s="527"/>
      <c r="H26" s="527"/>
      <c r="I26" s="527"/>
      <c r="L26" s="507"/>
      <c r="M26" s="445"/>
      <c r="N26" s="445"/>
      <c r="O26" s="445"/>
      <c r="P26" s="445"/>
      <c r="Q26" s="445"/>
      <c r="R26" s="445"/>
      <c r="S26" s="445"/>
      <c r="T26" s="445"/>
      <c r="U26" s="446"/>
    </row>
    <row r="27" spans="2:21" x14ac:dyDescent="0.45">
      <c r="B27" s="527"/>
      <c r="C27" s="527"/>
      <c r="D27" s="527"/>
      <c r="E27" s="527"/>
      <c r="F27" s="527"/>
      <c r="G27" s="527"/>
      <c r="H27" s="527"/>
      <c r="I27" s="527"/>
      <c r="L27" s="507"/>
      <c r="M27" s="445"/>
      <c r="N27" s="445"/>
      <c r="O27" s="445"/>
      <c r="P27" s="445"/>
      <c r="Q27" s="445"/>
      <c r="R27" s="445"/>
      <c r="S27" s="445"/>
      <c r="T27" s="445"/>
      <c r="U27" s="446"/>
    </row>
    <row r="28" spans="2:21" x14ac:dyDescent="0.45">
      <c r="B28" s="527"/>
      <c r="C28" s="527"/>
      <c r="D28" s="527"/>
      <c r="E28" s="527"/>
      <c r="F28" s="527"/>
      <c r="G28" s="527"/>
      <c r="H28" s="527"/>
      <c r="I28" s="527"/>
      <c r="L28" s="507"/>
      <c r="M28" s="445"/>
      <c r="N28" s="445"/>
      <c r="O28" s="445"/>
      <c r="P28" s="445"/>
      <c r="Q28" s="445"/>
      <c r="R28" s="445"/>
      <c r="S28" s="445"/>
      <c r="T28" s="445"/>
      <c r="U28" s="446"/>
    </row>
    <row r="29" spans="2:21" x14ac:dyDescent="0.45">
      <c r="B29" s="527"/>
      <c r="C29" s="527"/>
      <c r="D29" s="527"/>
      <c r="E29" s="527"/>
      <c r="F29" s="527"/>
      <c r="G29" s="527"/>
      <c r="H29" s="527"/>
      <c r="I29" s="527"/>
      <c r="L29" s="507"/>
      <c r="M29" s="445"/>
      <c r="N29" s="445"/>
      <c r="O29" s="445"/>
      <c r="P29" s="445"/>
      <c r="Q29" s="445"/>
      <c r="R29" s="445"/>
      <c r="S29" s="445"/>
      <c r="T29" s="445"/>
      <c r="U29" s="446"/>
    </row>
    <row r="30" spans="2:21" x14ac:dyDescent="0.45">
      <c r="B30" s="527"/>
      <c r="C30" s="527"/>
      <c r="D30" s="527"/>
      <c r="E30" s="527"/>
      <c r="F30" s="527"/>
      <c r="G30" s="527"/>
      <c r="H30" s="527"/>
      <c r="I30" s="527"/>
      <c r="L30" s="507"/>
      <c r="M30" s="445"/>
      <c r="N30" s="445"/>
      <c r="O30" s="445"/>
      <c r="P30" s="445"/>
      <c r="Q30" s="445"/>
      <c r="R30" s="445"/>
      <c r="S30" s="445"/>
      <c r="T30" s="445"/>
      <c r="U30" s="446"/>
    </row>
    <row r="31" spans="2:21" x14ac:dyDescent="0.45">
      <c r="B31" s="527"/>
      <c r="C31" s="527"/>
      <c r="D31" s="527"/>
      <c r="E31" s="527"/>
      <c r="F31" s="527"/>
      <c r="G31" s="527"/>
      <c r="H31" s="527"/>
      <c r="I31" s="527"/>
      <c r="L31" s="507"/>
      <c r="M31" s="445"/>
      <c r="N31" s="445"/>
      <c r="O31" s="445"/>
      <c r="P31" s="445"/>
      <c r="Q31" s="445"/>
      <c r="R31" s="445"/>
      <c r="S31" s="445"/>
      <c r="T31" s="445"/>
      <c r="U31" s="446"/>
    </row>
    <row r="32" spans="2:21" x14ac:dyDescent="0.45">
      <c r="B32" s="527"/>
      <c r="C32" s="527"/>
      <c r="D32" s="527"/>
      <c r="E32" s="527"/>
      <c r="F32" s="527"/>
      <c r="G32" s="527"/>
      <c r="H32" s="527"/>
      <c r="I32" s="527"/>
      <c r="L32" s="507"/>
      <c r="M32" s="445"/>
      <c r="N32" s="445"/>
      <c r="O32" s="445"/>
      <c r="P32" s="445"/>
      <c r="Q32" s="445"/>
      <c r="R32" s="445"/>
      <c r="S32" s="445"/>
      <c r="T32" s="445"/>
      <c r="U32" s="446"/>
    </row>
    <row r="33" spans="2:21" x14ac:dyDescent="0.45">
      <c r="B33" s="527"/>
      <c r="C33" s="527"/>
      <c r="D33" s="527"/>
      <c r="E33" s="527"/>
      <c r="F33" s="527"/>
      <c r="G33" s="527"/>
      <c r="H33" s="527"/>
      <c r="I33" s="527"/>
      <c r="L33" s="507"/>
      <c r="M33" s="445"/>
      <c r="N33" s="445"/>
      <c r="O33" s="445"/>
      <c r="P33" s="445"/>
      <c r="Q33" s="445"/>
      <c r="R33" s="445"/>
      <c r="S33" s="445"/>
      <c r="T33" s="445"/>
      <c r="U33" s="446"/>
    </row>
    <row r="34" spans="2:21" x14ac:dyDescent="0.45">
      <c r="B34" s="527"/>
      <c r="C34" s="527"/>
      <c r="D34" s="527"/>
      <c r="E34" s="527"/>
      <c r="F34" s="527"/>
      <c r="G34" s="527"/>
      <c r="H34" s="527"/>
      <c r="I34" s="527"/>
      <c r="L34" s="507"/>
      <c r="M34" s="445"/>
      <c r="N34" s="445"/>
      <c r="O34" s="445"/>
      <c r="P34" s="445"/>
      <c r="Q34" s="445"/>
      <c r="R34" s="445"/>
      <c r="S34" s="445"/>
      <c r="T34" s="445"/>
      <c r="U34" s="446"/>
    </row>
    <row r="35" spans="2:21" x14ac:dyDescent="0.45">
      <c r="B35" s="527"/>
      <c r="C35" s="527"/>
      <c r="D35" s="527"/>
      <c r="E35" s="527"/>
      <c r="F35" s="527"/>
      <c r="G35" s="527"/>
      <c r="H35" s="527"/>
      <c r="I35" s="527"/>
      <c r="L35" s="507"/>
      <c r="M35" s="445"/>
      <c r="N35" s="445"/>
      <c r="O35" s="445"/>
      <c r="P35" s="445"/>
      <c r="Q35" s="445"/>
      <c r="R35" s="445"/>
      <c r="S35" s="445"/>
      <c r="T35" s="445"/>
      <c r="U35" s="446"/>
    </row>
    <row r="36" spans="2:21" x14ac:dyDescent="0.45">
      <c r="B36" s="527"/>
      <c r="C36" s="527"/>
      <c r="D36" s="527"/>
      <c r="E36" s="527"/>
      <c r="F36" s="527"/>
      <c r="G36" s="527"/>
      <c r="H36" s="527"/>
      <c r="I36" s="527"/>
      <c r="L36" s="507"/>
      <c r="M36" s="445"/>
      <c r="N36" s="445"/>
      <c r="O36" s="445"/>
      <c r="P36" s="445"/>
      <c r="Q36" s="445"/>
      <c r="R36" s="445"/>
      <c r="S36" s="445"/>
      <c r="T36" s="445"/>
      <c r="U36" s="446"/>
    </row>
    <row r="37" spans="2:21" x14ac:dyDescent="0.45">
      <c r="L37" s="507"/>
      <c r="M37" s="445"/>
      <c r="N37" s="445"/>
      <c r="O37" s="445"/>
      <c r="P37" s="445"/>
      <c r="Q37" s="445"/>
      <c r="R37" s="445"/>
      <c r="S37" s="445"/>
      <c r="T37" s="445"/>
      <c r="U37" s="446"/>
    </row>
    <row r="38" spans="2:21" x14ac:dyDescent="0.45">
      <c r="L38" s="507"/>
      <c r="M38" s="445"/>
      <c r="N38" s="445"/>
      <c r="O38" s="445"/>
      <c r="P38" s="445"/>
      <c r="Q38" s="445"/>
      <c r="R38" s="445"/>
      <c r="S38" s="445"/>
      <c r="T38" s="445"/>
      <c r="U38" s="446"/>
    </row>
    <row r="39" spans="2:21" x14ac:dyDescent="0.45">
      <c r="L39" s="508"/>
      <c r="M39" s="447"/>
      <c r="N39" s="447"/>
      <c r="O39" s="447"/>
      <c r="P39" s="447"/>
      <c r="Q39" s="447"/>
      <c r="R39" s="447"/>
      <c r="S39" s="447"/>
      <c r="T39" s="447"/>
      <c r="U39" s="448"/>
    </row>
  </sheetData>
  <mergeCells count="24">
    <mergeCell ref="L2:O2"/>
    <mergeCell ref="Q2:T2"/>
    <mergeCell ref="L25:U39"/>
    <mergeCell ref="B1:H1"/>
    <mergeCell ref="F17:G20"/>
    <mergeCell ref="F3:I9"/>
    <mergeCell ref="H13:I15"/>
    <mergeCell ref="H18:I20"/>
    <mergeCell ref="F13:G15"/>
    <mergeCell ref="B2:I2"/>
    <mergeCell ref="G21:G22"/>
    <mergeCell ref="F11:G12"/>
    <mergeCell ref="H11:I12"/>
    <mergeCell ref="B20:C22"/>
    <mergeCell ref="D20:E22"/>
    <mergeCell ref="B24:I36"/>
    <mergeCell ref="Q3:T12"/>
    <mergeCell ref="Q13:T22"/>
    <mergeCell ref="P3:P12"/>
    <mergeCell ref="P13:P22"/>
    <mergeCell ref="B3:E19"/>
    <mergeCell ref="F21:F22"/>
    <mergeCell ref="L3:O12"/>
    <mergeCell ref="L13:O22"/>
  </mergeCells>
  <phoneticPr fontId="2"/>
  <pageMargins left="0.7" right="0.7" top="0.75" bottom="0.75" header="0.3" footer="0.3"/>
  <pageSetup paperSize="8" scale="9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8448-627D-4E9E-92E2-1307A8D8C245}">
  <sheetPr codeName="Sheet5"/>
  <dimension ref="A1:Q19"/>
  <sheetViews>
    <sheetView view="pageBreakPreview" topLeftCell="A10" zoomScaleNormal="100" zoomScaleSheetLayoutView="100" workbookViewId="0">
      <selection activeCell="C8" sqref="C8"/>
    </sheetView>
  </sheetViews>
  <sheetFormatPr defaultRowHeight="18" x14ac:dyDescent="0.45"/>
  <cols>
    <col min="1" max="1" width="3.69921875" customWidth="1"/>
    <col min="2" max="2" width="11.19921875" customWidth="1"/>
    <col min="6" max="6" width="4.3984375" customWidth="1"/>
    <col min="7" max="7" width="12.69921875" bestFit="1" customWidth="1"/>
    <col min="11" max="11" width="3.5" customWidth="1"/>
    <col min="12" max="12" width="12.69921875" bestFit="1" customWidth="1"/>
  </cols>
  <sheetData>
    <row r="1" spans="1:17" x14ac:dyDescent="0.45">
      <c r="A1" s="452" t="str">
        <f>スタート!C1</f>
        <v>ひながた</v>
      </c>
      <c r="B1" s="452"/>
      <c r="C1" s="452"/>
      <c r="D1" s="452"/>
      <c r="E1" s="452"/>
      <c r="F1" s="452"/>
      <c r="G1" s="452"/>
    </row>
    <row r="2" spans="1:17" ht="66" customHeight="1" x14ac:dyDescent="0.45">
      <c r="A2" s="482" t="s">
        <v>223</v>
      </c>
      <c r="B2" s="483"/>
      <c r="C2" s="483"/>
      <c r="D2" s="483"/>
      <c r="E2" s="483"/>
      <c r="F2" s="483"/>
      <c r="G2" s="483"/>
      <c r="H2" s="483"/>
      <c r="I2" s="483"/>
      <c r="J2" s="483"/>
      <c r="K2" s="483"/>
      <c r="L2" s="483"/>
      <c r="M2" s="483"/>
      <c r="N2" s="483"/>
      <c r="O2" s="483"/>
      <c r="Q2" t="s">
        <v>3</v>
      </c>
    </row>
    <row r="3" spans="1:17" x14ac:dyDescent="0.45">
      <c r="E3" t="s">
        <v>8</v>
      </c>
      <c r="J3" t="s">
        <v>8</v>
      </c>
      <c r="O3" t="s">
        <v>8</v>
      </c>
    </row>
    <row r="4" spans="1:17" ht="27" customHeight="1" x14ac:dyDescent="0.2">
      <c r="B4" s="255" t="s">
        <v>224</v>
      </c>
      <c r="C4" s="256"/>
      <c r="D4" s="256" t="s">
        <v>225</v>
      </c>
      <c r="E4" s="257" t="s">
        <v>226</v>
      </c>
      <c r="G4" s="255" t="s">
        <v>34</v>
      </c>
      <c r="H4" s="256" t="s">
        <v>226</v>
      </c>
      <c r="I4" s="256" t="s">
        <v>225</v>
      </c>
      <c r="J4" s="257" t="s">
        <v>226</v>
      </c>
      <c r="L4" s="255" t="s">
        <v>227</v>
      </c>
      <c r="M4" s="256" t="s">
        <v>226</v>
      </c>
      <c r="N4" s="256" t="s">
        <v>225</v>
      </c>
      <c r="O4" s="257" t="s">
        <v>226</v>
      </c>
    </row>
    <row r="5" spans="1:17" ht="27" customHeight="1" x14ac:dyDescent="0.2">
      <c r="B5" s="258" t="s">
        <v>228</v>
      </c>
      <c r="C5" s="259" t="s">
        <v>229</v>
      </c>
      <c r="D5" s="259" t="s">
        <v>230</v>
      </c>
      <c r="E5" s="260" t="s">
        <v>231</v>
      </c>
      <c r="G5" s="258" t="s">
        <v>228</v>
      </c>
      <c r="H5" s="259" t="s">
        <v>229</v>
      </c>
      <c r="I5" s="259" t="s">
        <v>230</v>
      </c>
      <c r="J5" s="260" t="s">
        <v>231</v>
      </c>
      <c r="L5" s="258" t="s">
        <v>228</v>
      </c>
      <c r="M5" s="259" t="s">
        <v>229</v>
      </c>
      <c r="N5" s="259" t="s">
        <v>230</v>
      </c>
      <c r="O5" s="260" t="s">
        <v>231</v>
      </c>
    </row>
    <row r="6" spans="1:17" ht="27" customHeight="1" x14ac:dyDescent="0.45">
      <c r="B6" s="261" t="s">
        <v>232</v>
      </c>
      <c r="C6" s="4">
        <v>3.5</v>
      </c>
      <c r="D6" s="5">
        <v>3</v>
      </c>
      <c r="E6" s="262">
        <f>C6*D6</f>
        <v>10.5</v>
      </c>
      <c r="G6" s="261" t="s">
        <v>233</v>
      </c>
      <c r="H6" s="4">
        <v>0.5</v>
      </c>
      <c r="I6" s="5">
        <v>2</v>
      </c>
      <c r="J6" s="262">
        <f>H6*I6</f>
        <v>1</v>
      </c>
      <c r="L6" s="263" t="s">
        <v>234</v>
      </c>
      <c r="M6" s="8">
        <v>0</v>
      </c>
      <c r="N6" s="9">
        <v>0</v>
      </c>
      <c r="O6" s="264">
        <f>M6*N6</f>
        <v>0</v>
      </c>
    </row>
    <row r="7" spans="1:17" ht="27" customHeight="1" x14ac:dyDescent="0.45">
      <c r="B7" s="180" t="s">
        <v>235</v>
      </c>
      <c r="C7" s="6">
        <v>3.3</v>
      </c>
      <c r="D7" s="7">
        <v>4</v>
      </c>
      <c r="E7" s="265">
        <f t="shared" ref="E7:E13" si="0">C7*D7</f>
        <v>13.2</v>
      </c>
      <c r="G7" s="180" t="s">
        <v>236</v>
      </c>
      <c r="H7" s="6">
        <v>0</v>
      </c>
      <c r="I7" s="7">
        <v>0</v>
      </c>
      <c r="J7" s="265">
        <f t="shared" ref="J7:J13" si="1">H7*I7</f>
        <v>0</v>
      </c>
      <c r="L7" s="263" t="s">
        <v>237</v>
      </c>
      <c r="M7" s="8">
        <v>0</v>
      </c>
      <c r="N7" s="9">
        <v>0</v>
      </c>
      <c r="O7" s="264">
        <f t="shared" ref="O7:O13" si="2">M7*N7</f>
        <v>0</v>
      </c>
    </row>
    <row r="8" spans="1:17" ht="27" customHeight="1" x14ac:dyDescent="0.45">
      <c r="B8" s="180" t="s">
        <v>238</v>
      </c>
      <c r="C8" s="6">
        <v>3</v>
      </c>
      <c r="D8" s="7">
        <v>3</v>
      </c>
      <c r="E8" s="265">
        <f t="shared" si="0"/>
        <v>9</v>
      </c>
      <c r="G8" s="180" t="s">
        <v>239</v>
      </c>
      <c r="H8" s="6">
        <v>0</v>
      </c>
      <c r="I8" s="7">
        <v>0</v>
      </c>
      <c r="J8" s="265">
        <f t="shared" si="1"/>
        <v>0</v>
      </c>
      <c r="L8" s="263" t="s">
        <v>240</v>
      </c>
      <c r="M8" s="6">
        <v>0</v>
      </c>
      <c r="N8" s="7">
        <v>0</v>
      </c>
      <c r="O8" s="264">
        <f t="shared" si="2"/>
        <v>0</v>
      </c>
    </row>
    <row r="9" spans="1:17" ht="27" customHeight="1" x14ac:dyDescent="0.45">
      <c r="B9" s="180" t="s">
        <v>241</v>
      </c>
      <c r="C9" s="6">
        <v>0</v>
      </c>
      <c r="D9" s="7">
        <v>0</v>
      </c>
      <c r="E9" s="265">
        <f t="shared" si="0"/>
        <v>0</v>
      </c>
      <c r="G9" s="180" t="s">
        <v>242</v>
      </c>
      <c r="H9" s="6">
        <v>0</v>
      </c>
      <c r="I9" s="7">
        <v>0</v>
      </c>
      <c r="J9" s="265">
        <f t="shared" si="1"/>
        <v>0</v>
      </c>
      <c r="L9" s="263" t="s">
        <v>243</v>
      </c>
      <c r="M9" s="8">
        <v>0</v>
      </c>
      <c r="N9" s="9">
        <v>0</v>
      </c>
      <c r="O9" s="264">
        <f t="shared" si="2"/>
        <v>0</v>
      </c>
    </row>
    <row r="10" spans="1:17" ht="27" customHeight="1" x14ac:dyDescent="0.45">
      <c r="B10" s="180" t="s">
        <v>244</v>
      </c>
      <c r="C10" s="6">
        <v>0</v>
      </c>
      <c r="D10" s="7">
        <v>0</v>
      </c>
      <c r="E10" s="265">
        <f t="shared" si="0"/>
        <v>0</v>
      </c>
      <c r="G10" s="180" t="s">
        <v>245</v>
      </c>
      <c r="H10" s="6">
        <v>0</v>
      </c>
      <c r="I10" s="7">
        <v>0</v>
      </c>
      <c r="J10" s="265">
        <f t="shared" si="1"/>
        <v>0</v>
      </c>
      <c r="L10" s="263" t="s">
        <v>246</v>
      </c>
      <c r="M10" s="8">
        <v>0</v>
      </c>
      <c r="N10" s="9">
        <v>0</v>
      </c>
      <c r="O10" s="264">
        <f t="shared" si="2"/>
        <v>0</v>
      </c>
    </row>
    <row r="11" spans="1:17" ht="27" customHeight="1" x14ac:dyDescent="0.45">
      <c r="B11" s="180" t="s">
        <v>247</v>
      </c>
      <c r="C11" s="6">
        <v>0</v>
      </c>
      <c r="D11" s="7">
        <v>0</v>
      </c>
      <c r="E11" s="265">
        <f t="shared" si="0"/>
        <v>0</v>
      </c>
      <c r="G11" s="266" t="s">
        <v>248</v>
      </c>
      <c r="H11" s="6">
        <v>0</v>
      </c>
      <c r="I11" s="7">
        <v>0</v>
      </c>
      <c r="J11" s="265">
        <f t="shared" si="1"/>
        <v>0</v>
      </c>
      <c r="L11" s="263" t="s">
        <v>249</v>
      </c>
      <c r="M11" s="8">
        <v>0</v>
      </c>
      <c r="N11" s="9">
        <v>0</v>
      </c>
      <c r="O11" s="264">
        <f t="shared" si="2"/>
        <v>0</v>
      </c>
    </row>
    <row r="12" spans="1:17" ht="27" customHeight="1" x14ac:dyDescent="0.45">
      <c r="B12" s="180" t="s">
        <v>250</v>
      </c>
      <c r="C12" s="6">
        <v>0</v>
      </c>
      <c r="D12" s="7">
        <v>0</v>
      </c>
      <c r="E12" s="265">
        <f t="shared" si="0"/>
        <v>0</v>
      </c>
      <c r="G12" s="266" t="s">
        <v>251</v>
      </c>
      <c r="H12" s="6">
        <v>0</v>
      </c>
      <c r="I12" s="7">
        <v>0</v>
      </c>
      <c r="J12" s="265">
        <f t="shared" si="1"/>
        <v>0</v>
      </c>
      <c r="L12" s="263" t="s">
        <v>252</v>
      </c>
      <c r="M12" s="8">
        <v>0</v>
      </c>
      <c r="N12" s="9">
        <v>0</v>
      </c>
      <c r="O12" s="264">
        <f t="shared" si="2"/>
        <v>0</v>
      </c>
    </row>
    <row r="13" spans="1:17" ht="27" customHeight="1" x14ac:dyDescent="0.45">
      <c r="B13" s="180" t="s">
        <v>253</v>
      </c>
      <c r="C13" s="6">
        <v>0</v>
      </c>
      <c r="D13" s="7">
        <v>0</v>
      </c>
      <c r="E13" s="265">
        <f t="shared" si="0"/>
        <v>0</v>
      </c>
      <c r="G13" s="266" t="s">
        <v>254</v>
      </c>
      <c r="H13" s="6">
        <v>0</v>
      </c>
      <c r="I13" s="7">
        <v>0</v>
      </c>
      <c r="J13" s="267">
        <f t="shared" si="1"/>
        <v>0</v>
      </c>
      <c r="L13" s="263" t="s">
        <v>255</v>
      </c>
      <c r="M13" s="6">
        <v>0</v>
      </c>
      <c r="N13" s="7">
        <v>0</v>
      </c>
      <c r="O13" s="264">
        <f t="shared" si="2"/>
        <v>0</v>
      </c>
    </row>
    <row r="14" spans="1:17" ht="27" customHeight="1" thickBot="1" x14ac:dyDescent="0.25">
      <c r="B14" s="268" t="s">
        <v>26</v>
      </c>
      <c r="C14" s="269" t="s">
        <v>256</v>
      </c>
      <c r="D14" s="270">
        <f>SUM(D6:D13)</f>
        <v>10</v>
      </c>
      <c r="E14" s="271">
        <f>SUM(E6:E13)</f>
        <v>32.700000000000003</v>
      </c>
      <c r="G14" s="268" t="s">
        <v>34</v>
      </c>
      <c r="H14" s="269" t="s">
        <v>256</v>
      </c>
      <c r="I14" s="270">
        <f>SUM(I6:I13)</f>
        <v>2</v>
      </c>
      <c r="J14" s="271">
        <f>SUM(J6:J13)</f>
        <v>1</v>
      </c>
      <c r="L14" s="268" t="s">
        <v>36</v>
      </c>
      <c r="M14" s="269" t="s">
        <v>256</v>
      </c>
      <c r="N14" s="270">
        <f>SUM(N6:N13)</f>
        <v>0</v>
      </c>
      <c r="O14" s="271">
        <f>SUM(O6:O13)</f>
        <v>0</v>
      </c>
    </row>
    <row r="15" spans="1:17" ht="34.950000000000003" customHeight="1" thickBot="1" x14ac:dyDescent="0.25">
      <c r="B15" s="268" t="s">
        <v>257</v>
      </c>
      <c r="C15" s="272" t="s">
        <v>256</v>
      </c>
      <c r="D15" s="126">
        <v>8</v>
      </c>
      <c r="E15" s="273">
        <f>スタート!C12</f>
        <v>22</v>
      </c>
      <c r="G15" s="268" t="s">
        <v>258</v>
      </c>
      <c r="H15" s="272" t="s">
        <v>256</v>
      </c>
      <c r="I15" s="126">
        <v>1</v>
      </c>
      <c r="J15" s="273">
        <f>スタート!C16</f>
        <v>0.5</v>
      </c>
      <c r="L15" s="279" t="s">
        <v>259</v>
      </c>
      <c r="M15" s="272" t="s">
        <v>256</v>
      </c>
      <c r="N15" s="126"/>
      <c r="O15" s="273">
        <f>スタート!C17+スタート!C18</f>
        <v>0</v>
      </c>
    </row>
    <row r="17" spans="2:5" ht="27.6" customHeight="1" x14ac:dyDescent="0.45">
      <c r="B17" s="595" t="s">
        <v>260</v>
      </c>
      <c r="C17" s="274"/>
      <c r="D17" s="274"/>
      <c r="E17" s="276" t="s">
        <v>262</v>
      </c>
    </row>
    <row r="18" spans="2:5" ht="27.6" customHeight="1" x14ac:dyDescent="0.45">
      <c r="B18" s="274" t="s">
        <v>261</v>
      </c>
      <c r="C18" s="275">
        <f>(E14+J14+O14)/(D14+I14+N14)</f>
        <v>2.8083333333333336</v>
      </c>
      <c r="D18" s="274" t="s">
        <v>216</v>
      </c>
      <c r="E18" s="278">
        <f>C18/C19</f>
        <v>1.1233333333333335</v>
      </c>
    </row>
    <row r="19" spans="2:5" ht="27.6" customHeight="1" x14ac:dyDescent="0.45">
      <c r="B19" s="274" t="s">
        <v>7</v>
      </c>
      <c r="C19" s="277">
        <f>IFERROR((E15+J15+O15)/(N15+I15+D15),"0")</f>
        <v>2.5</v>
      </c>
      <c r="D19" s="274" t="s">
        <v>216</v>
      </c>
      <c r="E19" s="278"/>
    </row>
  </sheetData>
  <mergeCells count="2">
    <mergeCell ref="A2:O2"/>
    <mergeCell ref="A1:G1"/>
  </mergeCells>
  <phoneticPr fontId="2"/>
  <pageMargins left="0.7" right="0.7" top="0.75" bottom="0.75" header="0.3" footer="0.3"/>
  <pageSetup paperSize="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5117-8BBC-4A88-BC06-C164AF112546}">
  <sheetPr codeName="Sheet6">
    <pageSetUpPr fitToPage="1"/>
  </sheetPr>
  <dimension ref="A1:O44"/>
  <sheetViews>
    <sheetView view="pageBreakPreview" zoomScale="90" zoomScaleNormal="90" zoomScaleSheetLayoutView="90" workbookViewId="0">
      <selection activeCell="I3" sqref="I3"/>
    </sheetView>
  </sheetViews>
  <sheetFormatPr defaultRowHeight="18" x14ac:dyDescent="0.45"/>
  <cols>
    <col min="2" max="2" width="15.69921875" customWidth="1"/>
    <col min="3" max="3" width="9.19921875" customWidth="1"/>
    <col min="5" max="5" width="15" customWidth="1"/>
    <col min="8" max="8" width="15.69921875" customWidth="1"/>
    <col min="11" max="11" width="15.69921875" customWidth="1"/>
    <col min="13" max="13" width="29.09765625" bestFit="1" customWidth="1"/>
  </cols>
  <sheetData>
    <row r="1" spans="1:15" ht="34.950000000000003" customHeight="1" x14ac:dyDescent="0.45">
      <c r="A1" s="452" t="str">
        <f>スタート!C1</f>
        <v>ひながた</v>
      </c>
      <c r="B1" s="452"/>
      <c r="C1" s="452"/>
      <c r="D1" s="452"/>
      <c r="E1" s="452"/>
      <c r="F1" s="452"/>
    </row>
    <row r="2" spans="1:15" ht="58.8" thickBot="1" x14ac:dyDescent="0.5">
      <c r="A2" s="482" t="s">
        <v>263</v>
      </c>
      <c r="B2" s="452"/>
      <c r="C2" s="452"/>
      <c r="D2" s="452"/>
      <c r="E2" s="452"/>
      <c r="F2" s="452"/>
      <c r="G2" s="452"/>
      <c r="H2" s="452"/>
      <c r="I2" s="528">
        <f>L16+I24+F13+C43</f>
        <v>130.4</v>
      </c>
      <c r="J2" s="529"/>
      <c r="K2" s="529"/>
      <c r="L2" s="530"/>
      <c r="M2" t="s">
        <v>3</v>
      </c>
      <c r="N2" s="393"/>
      <c r="O2" s="393"/>
    </row>
    <row r="3" spans="1:15" ht="26.4" x14ac:dyDescent="0.25">
      <c r="B3" s="173" t="s">
        <v>264</v>
      </c>
      <c r="C3" s="174" t="s">
        <v>226</v>
      </c>
      <c r="D3" s="280"/>
      <c r="E3" s="151" t="s">
        <v>63</v>
      </c>
      <c r="F3" s="175" t="s">
        <v>226</v>
      </c>
      <c r="H3" s="147" t="s">
        <v>265</v>
      </c>
      <c r="I3" s="167" t="s">
        <v>226</v>
      </c>
      <c r="J3" s="281"/>
      <c r="K3" s="147" t="s">
        <v>266</v>
      </c>
      <c r="L3" s="627" t="s">
        <v>226</v>
      </c>
      <c r="M3" s="625"/>
      <c r="N3" s="283"/>
    </row>
    <row r="4" spans="1:15" ht="26.4" x14ac:dyDescent="0.25">
      <c r="B4" s="144" t="s">
        <v>267</v>
      </c>
      <c r="C4" s="145" t="s">
        <v>231</v>
      </c>
      <c r="D4" s="280"/>
      <c r="E4" s="252" t="s">
        <v>415</v>
      </c>
      <c r="F4" s="131"/>
      <c r="H4" s="614" t="s">
        <v>267</v>
      </c>
      <c r="I4" s="150" t="s">
        <v>231</v>
      </c>
      <c r="J4" s="281"/>
      <c r="K4" s="614" t="s">
        <v>267</v>
      </c>
      <c r="L4" s="628" t="s">
        <v>231</v>
      </c>
      <c r="M4" s="625"/>
      <c r="N4" s="285"/>
    </row>
    <row r="5" spans="1:15" ht="25.2" customHeight="1" x14ac:dyDescent="0.25">
      <c r="B5" s="251" t="s">
        <v>113</v>
      </c>
      <c r="C5" s="134"/>
      <c r="D5" s="280"/>
      <c r="E5" s="252" t="s">
        <v>416</v>
      </c>
      <c r="F5" s="132"/>
      <c r="H5" s="621" t="s">
        <v>26</v>
      </c>
      <c r="I5" s="629">
        <f>③給料!E14</f>
        <v>32.700000000000003</v>
      </c>
      <c r="J5" s="281"/>
      <c r="K5" s="615" t="s">
        <v>59</v>
      </c>
      <c r="L5" s="131"/>
      <c r="M5" s="626"/>
      <c r="N5" s="169"/>
    </row>
    <row r="6" spans="1:15" ht="25.2" customHeight="1" x14ac:dyDescent="0.25">
      <c r="B6" s="251" t="s">
        <v>269</v>
      </c>
      <c r="C6" s="134"/>
      <c r="D6" s="280"/>
      <c r="E6" s="253" t="s">
        <v>417</v>
      </c>
      <c r="F6" s="132"/>
      <c r="H6" s="622" t="s">
        <v>34</v>
      </c>
      <c r="I6" s="630">
        <f>③給料!J14</f>
        <v>1</v>
      </c>
      <c r="J6" s="281"/>
      <c r="K6" s="615" t="s">
        <v>61</v>
      </c>
      <c r="L6" s="132"/>
      <c r="M6" s="626"/>
      <c r="N6" s="169"/>
    </row>
    <row r="7" spans="1:15" ht="25.2" customHeight="1" x14ac:dyDescent="0.25">
      <c r="B7" s="251" t="s">
        <v>270</v>
      </c>
      <c r="C7" s="134"/>
      <c r="D7" s="280"/>
      <c r="E7" s="253" t="s">
        <v>416</v>
      </c>
      <c r="F7" s="133"/>
      <c r="H7" s="622" t="s">
        <v>272</v>
      </c>
      <c r="I7" s="630">
        <f>③給料!O14</f>
        <v>0</v>
      </c>
      <c r="J7" s="281"/>
      <c r="K7" s="615" t="s">
        <v>62</v>
      </c>
      <c r="L7" s="132"/>
      <c r="M7" s="626"/>
      <c r="N7" s="169"/>
    </row>
    <row r="8" spans="1:15" ht="25.2" customHeight="1" x14ac:dyDescent="0.25">
      <c r="B8" s="251" t="s">
        <v>125</v>
      </c>
      <c r="C8" s="134"/>
      <c r="D8" s="280"/>
      <c r="E8" s="253" t="s">
        <v>63</v>
      </c>
      <c r="F8" s="133"/>
      <c r="H8" s="615" t="s">
        <v>32</v>
      </c>
      <c r="I8" s="631"/>
      <c r="J8" s="281"/>
      <c r="K8" s="615" t="s">
        <v>64</v>
      </c>
      <c r="L8" s="132"/>
      <c r="M8" s="626"/>
      <c r="N8" s="163"/>
    </row>
    <row r="9" spans="1:15" ht="25.2" customHeight="1" x14ac:dyDescent="0.25">
      <c r="B9" s="251" t="s">
        <v>128</v>
      </c>
      <c r="C9" s="134"/>
      <c r="D9" s="280"/>
      <c r="E9" s="253" t="s">
        <v>420</v>
      </c>
      <c r="F9" s="133">
        <v>6</v>
      </c>
      <c r="H9" s="615" t="s">
        <v>421</v>
      </c>
      <c r="I9" s="136">
        <v>4</v>
      </c>
      <c r="J9" s="281"/>
      <c r="K9" s="615" t="s">
        <v>399</v>
      </c>
      <c r="L9" s="132">
        <v>4</v>
      </c>
      <c r="M9" s="626"/>
      <c r="N9" s="163"/>
    </row>
    <row r="10" spans="1:15" ht="25.2" customHeight="1" x14ac:dyDescent="0.25">
      <c r="B10" s="251" t="s">
        <v>276</v>
      </c>
      <c r="C10" s="134"/>
      <c r="D10" s="280"/>
      <c r="E10" s="253" t="s">
        <v>274</v>
      </c>
      <c r="F10" s="133"/>
      <c r="H10" s="615" t="s">
        <v>422</v>
      </c>
      <c r="I10" s="136"/>
      <c r="J10" s="281"/>
      <c r="K10" s="615" t="s">
        <v>68</v>
      </c>
      <c r="L10" s="132"/>
      <c r="M10" s="626"/>
      <c r="N10" s="163"/>
    </row>
    <row r="11" spans="1:15" ht="25.2" customHeight="1" x14ac:dyDescent="0.25">
      <c r="B11" s="251" t="s">
        <v>134</v>
      </c>
      <c r="C11" s="134">
        <v>2.5</v>
      </c>
      <c r="D11" s="280"/>
      <c r="E11" s="253" t="s">
        <v>274</v>
      </c>
      <c r="F11" s="133"/>
      <c r="H11" s="615" t="s">
        <v>42</v>
      </c>
      <c r="I11" s="136">
        <v>15</v>
      </c>
      <c r="J11" s="281"/>
      <c r="K11" s="615" t="s">
        <v>400</v>
      </c>
      <c r="L11" s="132"/>
      <c r="M11" s="626"/>
      <c r="N11" s="163"/>
    </row>
    <row r="12" spans="1:15" ht="25.2" customHeight="1" x14ac:dyDescent="0.25">
      <c r="B12" s="251" t="s">
        <v>137</v>
      </c>
      <c r="C12" s="134">
        <v>8</v>
      </c>
      <c r="D12" s="280"/>
      <c r="E12" s="253" t="s">
        <v>274</v>
      </c>
      <c r="F12" s="133"/>
      <c r="H12" s="615" t="s">
        <v>40</v>
      </c>
      <c r="I12" s="137"/>
      <c r="J12" s="281"/>
      <c r="K12" s="615" t="s">
        <v>418</v>
      </c>
      <c r="L12" s="133"/>
      <c r="M12" s="626"/>
      <c r="N12" s="163"/>
    </row>
    <row r="13" spans="1:15" ht="25.2" customHeight="1" x14ac:dyDescent="0.25">
      <c r="B13" s="251" t="s">
        <v>139</v>
      </c>
      <c r="C13" s="134">
        <v>4.3</v>
      </c>
      <c r="D13" s="280"/>
      <c r="E13" s="139" t="s">
        <v>256</v>
      </c>
      <c r="F13" s="138">
        <f>SUM(F4:F12)</f>
        <v>6</v>
      </c>
      <c r="H13" s="615" t="s">
        <v>44</v>
      </c>
      <c r="I13" s="137"/>
      <c r="J13" s="281"/>
      <c r="K13" s="623" t="s">
        <v>274</v>
      </c>
      <c r="L13" s="633"/>
      <c r="M13" s="626"/>
      <c r="N13" s="163"/>
    </row>
    <row r="14" spans="1:15" ht="25.2" customHeight="1" x14ac:dyDescent="0.25">
      <c r="B14" s="251" t="s">
        <v>141</v>
      </c>
      <c r="C14" s="134"/>
      <c r="D14" s="280"/>
      <c r="E14" s="139" t="s">
        <v>278</v>
      </c>
      <c r="F14" s="138">
        <f>SUM(スタート!C37:C42)</f>
        <v>2</v>
      </c>
      <c r="H14" s="620" t="s">
        <v>46</v>
      </c>
      <c r="I14" s="137"/>
      <c r="J14" s="281"/>
      <c r="K14" s="623" t="s">
        <v>274</v>
      </c>
      <c r="L14" s="633"/>
      <c r="M14" s="626"/>
      <c r="N14" s="169"/>
    </row>
    <row r="15" spans="1:15" ht="25.2" customHeight="1" x14ac:dyDescent="0.25">
      <c r="B15" s="251" t="s">
        <v>143</v>
      </c>
      <c r="C15" s="134"/>
      <c r="D15" s="280"/>
      <c r="E15" s="280"/>
      <c r="F15" s="280"/>
      <c r="H15" s="615" t="s">
        <v>48</v>
      </c>
      <c r="I15" s="137"/>
      <c r="J15" s="281"/>
      <c r="K15" s="624" t="s">
        <v>274</v>
      </c>
      <c r="L15" s="634"/>
      <c r="M15" s="626"/>
    </row>
    <row r="16" spans="1:15" ht="25.2" customHeight="1" x14ac:dyDescent="0.25">
      <c r="B16" s="251" t="s">
        <v>146</v>
      </c>
      <c r="C16" s="134">
        <v>2</v>
      </c>
      <c r="D16" s="280"/>
      <c r="E16" s="280"/>
      <c r="F16" s="280"/>
      <c r="H16" s="615" t="s">
        <v>50</v>
      </c>
      <c r="I16" s="132"/>
      <c r="J16" s="286"/>
      <c r="K16" s="178" t="s">
        <v>256</v>
      </c>
      <c r="L16" s="138">
        <f>SUM(L5:L15)</f>
        <v>4</v>
      </c>
      <c r="M16" s="626"/>
    </row>
    <row r="17" spans="2:13" ht="25.2" customHeight="1" x14ac:dyDescent="0.25">
      <c r="B17" s="251" t="s">
        <v>149</v>
      </c>
      <c r="C17" s="134">
        <v>5</v>
      </c>
      <c r="D17" s="280"/>
      <c r="E17" s="280"/>
      <c r="F17" s="280"/>
      <c r="H17" s="615" t="s">
        <v>56</v>
      </c>
      <c r="I17" s="133">
        <v>6</v>
      </c>
      <c r="J17" s="286"/>
      <c r="K17" s="139" t="s">
        <v>278</v>
      </c>
      <c r="L17" s="138">
        <f>SUM(スタート!C29:C34)</f>
        <v>0</v>
      </c>
      <c r="M17" s="626"/>
    </row>
    <row r="18" spans="2:13" ht="25.2" customHeight="1" x14ac:dyDescent="0.25">
      <c r="B18" s="251" t="s">
        <v>152</v>
      </c>
      <c r="C18" s="134">
        <v>5.6</v>
      </c>
      <c r="H18" s="615" t="s">
        <v>58</v>
      </c>
      <c r="I18" s="133">
        <v>12</v>
      </c>
      <c r="J18" s="286"/>
      <c r="K18" s="287"/>
      <c r="M18" s="626"/>
    </row>
    <row r="19" spans="2:13" ht="25.2" customHeight="1" x14ac:dyDescent="0.25">
      <c r="B19" s="251" t="s">
        <v>154</v>
      </c>
      <c r="C19" s="134"/>
      <c r="H19" s="615" t="s">
        <v>274</v>
      </c>
      <c r="I19" s="632"/>
      <c r="J19" s="286"/>
      <c r="K19" s="287"/>
      <c r="M19" s="626"/>
    </row>
    <row r="20" spans="2:13" ht="25.2" customHeight="1" x14ac:dyDescent="0.25">
      <c r="B20" s="251" t="s">
        <v>156</v>
      </c>
      <c r="C20" s="134"/>
      <c r="H20" s="615" t="s">
        <v>274</v>
      </c>
      <c r="I20" s="632"/>
      <c r="J20" s="286"/>
      <c r="K20" s="287"/>
      <c r="M20" s="626"/>
    </row>
    <row r="21" spans="2:13" ht="25.2" customHeight="1" x14ac:dyDescent="0.25">
      <c r="B21" s="251" t="s">
        <v>159</v>
      </c>
      <c r="C21" s="134">
        <v>1.4</v>
      </c>
      <c r="H21" s="615" t="s">
        <v>274</v>
      </c>
      <c r="I21" s="632"/>
      <c r="J21" s="286"/>
      <c r="K21" s="287"/>
      <c r="M21" s="626"/>
    </row>
    <row r="22" spans="2:13" ht="25.2" customHeight="1" x14ac:dyDescent="0.25">
      <c r="B22" s="251" t="s">
        <v>279</v>
      </c>
      <c r="C22" s="134"/>
      <c r="H22" s="615" t="s">
        <v>274</v>
      </c>
      <c r="I22" s="632"/>
      <c r="J22" s="286"/>
      <c r="K22" s="287"/>
      <c r="M22" s="626"/>
    </row>
    <row r="23" spans="2:13" ht="25.2" customHeight="1" x14ac:dyDescent="0.25">
      <c r="B23" s="251" t="s">
        <v>164</v>
      </c>
      <c r="C23" s="134">
        <v>2.2999999999999998</v>
      </c>
      <c r="H23" s="620" t="s">
        <v>274</v>
      </c>
      <c r="I23" s="632"/>
      <c r="J23" s="286"/>
      <c r="K23" s="287"/>
      <c r="M23" s="626"/>
    </row>
    <row r="24" spans="2:13" ht="25.2" customHeight="1" x14ac:dyDescent="0.25">
      <c r="B24" s="251" t="s">
        <v>166</v>
      </c>
      <c r="C24" s="134">
        <v>1.5</v>
      </c>
      <c r="H24" s="618" t="s">
        <v>256</v>
      </c>
      <c r="I24" s="619">
        <f>SUM(I5:I23)</f>
        <v>70.7</v>
      </c>
      <c r="J24" s="286"/>
      <c r="K24" s="287"/>
      <c r="M24" s="626"/>
    </row>
    <row r="25" spans="2:13" ht="25.2" customHeight="1" x14ac:dyDescent="0.25">
      <c r="B25" s="251" t="s">
        <v>168</v>
      </c>
      <c r="C25" s="134">
        <v>3.5</v>
      </c>
      <c r="H25" s="616" t="s">
        <v>278</v>
      </c>
      <c r="I25" s="617">
        <f>SUM(スタート!C12:C28)</f>
        <v>55.5</v>
      </c>
      <c r="J25" s="286"/>
      <c r="K25" s="287"/>
      <c r="M25" s="626"/>
    </row>
    <row r="26" spans="2:13" ht="25.2" customHeight="1" x14ac:dyDescent="0.25">
      <c r="B26" s="251" t="s">
        <v>170</v>
      </c>
      <c r="C26" s="134">
        <v>3</v>
      </c>
      <c r="I26" s="287"/>
      <c r="J26" s="286"/>
      <c r="K26" s="287"/>
      <c r="M26" s="626"/>
    </row>
    <row r="27" spans="2:13" ht="25.2" customHeight="1" x14ac:dyDescent="0.25">
      <c r="B27" s="251" t="s">
        <v>172</v>
      </c>
      <c r="C27" s="134"/>
      <c r="I27" s="287"/>
      <c r="J27" s="286"/>
      <c r="K27" s="287"/>
      <c r="M27" s="626"/>
    </row>
    <row r="28" spans="2:13" ht="25.2" customHeight="1" x14ac:dyDescent="0.25">
      <c r="B28" s="251" t="s">
        <v>174</v>
      </c>
      <c r="C28" s="134"/>
      <c r="I28" s="287"/>
      <c r="J28" s="286"/>
      <c r="K28" s="287"/>
      <c r="M28" s="626"/>
    </row>
    <row r="29" spans="2:13" ht="25.2" customHeight="1" x14ac:dyDescent="0.25">
      <c r="B29" s="251" t="s">
        <v>69</v>
      </c>
      <c r="C29" s="134"/>
      <c r="I29" s="287"/>
      <c r="J29" s="286"/>
      <c r="K29" s="287"/>
      <c r="M29" s="626"/>
    </row>
    <row r="30" spans="2:13" ht="25.2" customHeight="1" x14ac:dyDescent="0.25">
      <c r="B30" s="251" t="s">
        <v>177</v>
      </c>
      <c r="C30" s="134"/>
      <c r="I30" s="287"/>
      <c r="J30" s="286"/>
      <c r="K30" s="287"/>
      <c r="M30" s="626"/>
    </row>
    <row r="31" spans="2:13" ht="25.2" customHeight="1" x14ac:dyDescent="0.25">
      <c r="B31" s="251" t="s">
        <v>179</v>
      </c>
      <c r="C31" s="134">
        <v>1.7</v>
      </c>
      <c r="I31" s="287"/>
      <c r="J31" s="286"/>
      <c r="K31" s="287"/>
      <c r="M31" s="626"/>
    </row>
    <row r="32" spans="2:13" ht="25.2" customHeight="1" x14ac:dyDescent="0.25">
      <c r="B32" s="251" t="s">
        <v>181</v>
      </c>
      <c r="C32" s="134">
        <v>3</v>
      </c>
      <c r="I32" s="287"/>
      <c r="J32" s="286"/>
      <c r="K32" s="287"/>
    </row>
    <row r="33" spans="2:11" ht="25.2" customHeight="1" x14ac:dyDescent="0.25">
      <c r="B33" s="251" t="s">
        <v>183</v>
      </c>
      <c r="C33" s="134">
        <v>1.5</v>
      </c>
      <c r="I33" s="287"/>
      <c r="J33" s="286"/>
      <c r="K33" s="287"/>
    </row>
    <row r="34" spans="2:11" ht="25.2" customHeight="1" x14ac:dyDescent="0.25">
      <c r="B34" s="251" t="s">
        <v>185</v>
      </c>
      <c r="C34" s="134"/>
      <c r="J34" s="286"/>
      <c r="K34" s="287"/>
    </row>
    <row r="35" spans="2:11" ht="25.2" customHeight="1" x14ac:dyDescent="0.25">
      <c r="B35" s="251" t="s">
        <v>187</v>
      </c>
      <c r="C35" s="134"/>
      <c r="J35" s="286"/>
      <c r="K35" s="287"/>
    </row>
    <row r="36" spans="2:11" ht="25.2" customHeight="1" x14ac:dyDescent="0.25">
      <c r="B36" s="251" t="s">
        <v>189</v>
      </c>
      <c r="C36" s="134">
        <v>0.4</v>
      </c>
      <c r="J36" s="286"/>
      <c r="K36" s="287"/>
    </row>
    <row r="37" spans="2:11" ht="25.2" customHeight="1" x14ac:dyDescent="0.25">
      <c r="B37" s="251" t="s">
        <v>191</v>
      </c>
      <c r="C37" s="134">
        <v>1</v>
      </c>
      <c r="J37" s="286"/>
      <c r="K37" s="287"/>
    </row>
    <row r="38" spans="2:11" ht="25.2" customHeight="1" x14ac:dyDescent="0.25">
      <c r="B38" s="251" t="s">
        <v>193</v>
      </c>
      <c r="C38" s="134"/>
      <c r="J38" s="286"/>
      <c r="K38" s="287"/>
    </row>
    <row r="39" spans="2:11" ht="25.2" customHeight="1" x14ac:dyDescent="0.25">
      <c r="B39" s="251" t="s">
        <v>195</v>
      </c>
      <c r="C39" s="134">
        <v>3</v>
      </c>
      <c r="J39" s="286"/>
      <c r="K39" s="287"/>
    </row>
    <row r="40" spans="2:11" ht="25.2" customHeight="1" x14ac:dyDescent="0.25">
      <c r="B40" s="251" t="s">
        <v>111</v>
      </c>
      <c r="C40" s="134"/>
      <c r="J40" s="286"/>
      <c r="K40" s="287"/>
    </row>
    <row r="41" spans="2:11" ht="25.2" customHeight="1" x14ac:dyDescent="0.25">
      <c r="B41" s="251" t="s">
        <v>198</v>
      </c>
      <c r="C41" s="134"/>
    </row>
    <row r="42" spans="2:11" ht="25.2" customHeight="1" x14ac:dyDescent="0.25">
      <c r="B42" s="251" t="s">
        <v>200</v>
      </c>
      <c r="C42" s="134"/>
    </row>
    <row r="43" spans="2:11" ht="40.200000000000003" customHeight="1" thickBot="1" x14ac:dyDescent="0.25">
      <c r="B43" s="140" t="s">
        <v>280</v>
      </c>
      <c r="C43" s="141">
        <f>SUM(C5:C42)</f>
        <v>49.699999999999996</v>
      </c>
    </row>
    <row r="44" spans="2:11" ht="33.6" customHeight="1" thickBot="1" x14ac:dyDescent="0.25">
      <c r="B44" s="140" t="s">
        <v>281</v>
      </c>
      <c r="C44" s="141">
        <f>SUM(スタート!C63:C100)</f>
        <v>46.300000000000011</v>
      </c>
    </row>
  </sheetData>
  <mergeCells count="3">
    <mergeCell ref="A2:H2"/>
    <mergeCell ref="I2:L2"/>
    <mergeCell ref="A1:F1"/>
  </mergeCells>
  <phoneticPr fontId="2"/>
  <pageMargins left="0.7" right="0.7" top="0.75" bottom="0.75" header="0.3" footer="0.3"/>
  <pageSetup paperSize="8" scale="89" orientation="portrait" r:id="rId1"/>
  <colBreaks count="1" manualBreakCount="1">
    <brk id="12"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7097-4132-4881-A466-50D542E46C1D}">
  <sheetPr codeName="Sheet7"/>
  <dimension ref="A1:Q19"/>
  <sheetViews>
    <sheetView view="pageBreakPreview" topLeftCell="A4" zoomScaleNormal="100" zoomScaleSheetLayoutView="100" workbookViewId="0">
      <selection activeCell="C9" sqref="C9"/>
    </sheetView>
  </sheetViews>
  <sheetFormatPr defaultRowHeight="18" x14ac:dyDescent="0.45"/>
  <cols>
    <col min="1" max="1" width="3.69921875" customWidth="1"/>
    <col min="2" max="2" width="11.19921875" customWidth="1"/>
    <col min="6" max="6" width="4.3984375" customWidth="1"/>
    <col min="7" max="7" width="12.69921875" bestFit="1" customWidth="1"/>
    <col min="11" max="11" width="3.5" customWidth="1"/>
    <col min="12" max="12" width="12.69921875" bestFit="1" customWidth="1"/>
  </cols>
  <sheetData>
    <row r="1" spans="1:17" x14ac:dyDescent="0.45">
      <c r="A1" s="452" t="str">
        <f>スタート!C1</f>
        <v>ひながた</v>
      </c>
      <c r="B1" s="452"/>
      <c r="C1" s="452"/>
      <c r="D1" s="452"/>
      <c r="E1" s="452"/>
      <c r="F1" s="452"/>
      <c r="G1" s="452"/>
      <c r="H1" s="452"/>
    </row>
    <row r="2" spans="1:17" ht="66" customHeight="1" x14ac:dyDescent="0.45">
      <c r="A2" s="482" t="s">
        <v>282</v>
      </c>
      <c r="B2" s="483"/>
      <c r="C2" s="483"/>
      <c r="D2" s="483"/>
      <c r="E2" s="483"/>
      <c r="F2" s="483"/>
      <c r="G2" s="483"/>
      <c r="H2" s="483"/>
      <c r="I2" s="483"/>
      <c r="J2" s="483"/>
      <c r="K2" s="483"/>
      <c r="L2" s="483"/>
      <c r="M2" s="483"/>
      <c r="N2" s="483"/>
      <c r="O2" s="483"/>
      <c r="Q2" t="s">
        <v>3</v>
      </c>
    </row>
    <row r="3" spans="1:17" x14ac:dyDescent="0.45">
      <c r="E3" t="s">
        <v>8</v>
      </c>
      <c r="J3" t="s">
        <v>8</v>
      </c>
      <c r="O3" t="s">
        <v>8</v>
      </c>
    </row>
    <row r="4" spans="1:17" ht="27" customHeight="1" x14ac:dyDescent="0.2">
      <c r="B4" s="255" t="s">
        <v>224</v>
      </c>
      <c r="C4" s="256"/>
      <c r="D4" s="256" t="s">
        <v>225</v>
      </c>
      <c r="E4" s="257" t="s">
        <v>226</v>
      </c>
      <c r="G4" s="255" t="s">
        <v>34</v>
      </c>
      <c r="H4" s="256" t="s">
        <v>226</v>
      </c>
      <c r="I4" s="256" t="s">
        <v>225</v>
      </c>
      <c r="J4" s="257" t="s">
        <v>226</v>
      </c>
      <c r="L4" s="255" t="s">
        <v>227</v>
      </c>
      <c r="M4" s="256" t="s">
        <v>226</v>
      </c>
      <c r="N4" s="256" t="s">
        <v>225</v>
      </c>
      <c r="O4" s="257" t="s">
        <v>226</v>
      </c>
    </row>
    <row r="5" spans="1:17" ht="27" customHeight="1" x14ac:dyDescent="0.2">
      <c r="B5" s="258" t="s">
        <v>228</v>
      </c>
      <c r="C5" s="259" t="s">
        <v>229</v>
      </c>
      <c r="D5" s="259" t="s">
        <v>230</v>
      </c>
      <c r="E5" s="260" t="s">
        <v>231</v>
      </c>
      <c r="G5" s="258" t="s">
        <v>228</v>
      </c>
      <c r="H5" s="259" t="s">
        <v>229</v>
      </c>
      <c r="I5" s="259" t="s">
        <v>230</v>
      </c>
      <c r="J5" s="260" t="s">
        <v>231</v>
      </c>
      <c r="L5" s="258" t="s">
        <v>228</v>
      </c>
      <c r="M5" s="259" t="s">
        <v>229</v>
      </c>
      <c r="N5" s="259" t="s">
        <v>230</v>
      </c>
      <c r="O5" s="260" t="s">
        <v>231</v>
      </c>
    </row>
    <row r="6" spans="1:17" ht="27" customHeight="1" x14ac:dyDescent="0.45">
      <c r="B6" s="261" t="s">
        <v>232</v>
      </c>
      <c r="C6" s="4">
        <v>4</v>
      </c>
      <c r="D6" s="5">
        <v>3</v>
      </c>
      <c r="E6" s="262">
        <f>C6*D6</f>
        <v>12</v>
      </c>
      <c r="G6" s="261" t="s">
        <v>233</v>
      </c>
      <c r="H6" s="4">
        <v>0</v>
      </c>
      <c r="I6" s="5">
        <v>0</v>
      </c>
      <c r="J6" s="262">
        <f>H6*I6</f>
        <v>0</v>
      </c>
      <c r="L6" s="263" t="s">
        <v>234</v>
      </c>
      <c r="M6" s="8">
        <v>0</v>
      </c>
      <c r="N6" s="9">
        <v>0</v>
      </c>
      <c r="O6" s="264">
        <f>M6*N6</f>
        <v>0</v>
      </c>
    </row>
    <row r="7" spans="1:17" ht="27" customHeight="1" x14ac:dyDescent="0.45">
      <c r="B7" s="180" t="s">
        <v>235</v>
      </c>
      <c r="C7" s="6">
        <v>3.5</v>
      </c>
      <c r="D7" s="7">
        <v>4</v>
      </c>
      <c r="E7" s="265">
        <f t="shared" ref="E7:E13" si="0">C7*D7</f>
        <v>14</v>
      </c>
      <c r="G7" s="180" t="s">
        <v>236</v>
      </c>
      <c r="H7" s="6">
        <v>0</v>
      </c>
      <c r="I7" s="7">
        <v>0</v>
      </c>
      <c r="J7" s="265">
        <f t="shared" ref="J7:J13" si="1">H7*I7</f>
        <v>0</v>
      </c>
      <c r="L7" s="263" t="s">
        <v>237</v>
      </c>
      <c r="M7" s="8">
        <v>0</v>
      </c>
      <c r="N7" s="9">
        <v>0</v>
      </c>
      <c r="O7" s="264">
        <f t="shared" ref="O7:O13" si="2">M7*N7</f>
        <v>0</v>
      </c>
    </row>
    <row r="8" spans="1:17" ht="27" customHeight="1" x14ac:dyDescent="0.45">
      <c r="B8" s="180" t="s">
        <v>238</v>
      </c>
      <c r="C8" s="6">
        <v>3.1</v>
      </c>
      <c r="D8" s="7">
        <v>6</v>
      </c>
      <c r="E8" s="265">
        <f t="shared" si="0"/>
        <v>18.600000000000001</v>
      </c>
      <c r="G8" s="180" t="s">
        <v>239</v>
      </c>
      <c r="H8" s="6">
        <v>0</v>
      </c>
      <c r="I8" s="7">
        <v>0</v>
      </c>
      <c r="J8" s="265">
        <f t="shared" si="1"/>
        <v>0</v>
      </c>
      <c r="L8" s="263" t="s">
        <v>240</v>
      </c>
      <c r="M8" s="6">
        <v>0</v>
      </c>
      <c r="N8" s="7">
        <v>0</v>
      </c>
      <c r="O8" s="264">
        <f t="shared" si="2"/>
        <v>0</v>
      </c>
    </row>
    <row r="9" spans="1:17" ht="27" customHeight="1" x14ac:dyDescent="0.45">
      <c r="B9" s="180" t="s">
        <v>241</v>
      </c>
      <c r="C9" s="6">
        <v>0</v>
      </c>
      <c r="D9" s="7">
        <v>0</v>
      </c>
      <c r="E9" s="265">
        <f t="shared" si="0"/>
        <v>0</v>
      </c>
      <c r="G9" s="180" t="s">
        <v>242</v>
      </c>
      <c r="H9" s="6">
        <v>0</v>
      </c>
      <c r="I9" s="7">
        <v>0</v>
      </c>
      <c r="J9" s="265">
        <f t="shared" si="1"/>
        <v>0</v>
      </c>
      <c r="L9" s="263" t="s">
        <v>243</v>
      </c>
      <c r="M9" s="8">
        <v>0</v>
      </c>
      <c r="N9" s="9">
        <v>0</v>
      </c>
      <c r="O9" s="264">
        <f t="shared" si="2"/>
        <v>0</v>
      </c>
    </row>
    <row r="10" spans="1:17" ht="27" customHeight="1" x14ac:dyDescent="0.45">
      <c r="B10" s="180" t="s">
        <v>244</v>
      </c>
      <c r="C10" s="6">
        <v>0</v>
      </c>
      <c r="D10" s="7">
        <v>0</v>
      </c>
      <c r="E10" s="265">
        <f t="shared" si="0"/>
        <v>0</v>
      </c>
      <c r="G10" s="180" t="s">
        <v>245</v>
      </c>
      <c r="H10" s="6">
        <v>0</v>
      </c>
      <c r="I10" s="7">
        <v>0</v>
      </c>
      <c r="J10" s="265">
        <f t="shared" si="1"/>
        <v>0</v>
      </c>
      <c r="L10" s="263" t="s">
        <v>246</v>
      </c>
      <c r="M10" s="8">
        <v>0</v>
      </c>
      <c r="N10" s="9">
        <v>0</v>
      </c>
      <c r="O10" s="264">
        <f t="shared" si="2"/>
        <v>0</v>
      </c>
    </row>
    <row r="11" spans="1:17" ht="27" customHeight="1" x14ac:dyDescent="0.45">
      <c r="B11" s="180" t="s">
        <v>247</v>
      </c>
      <c r="C11" s="6">
        <v>0</v>
      </c>
      <c r="D11" s="7">
        <v>0</v>
      </c>
      <c r="E11" s="265">
        <f t="shared" si="0"/>
        <v>0</v>
      </c>
      <c r="G11" s="266" t="s">
        <v>248</v>
      </c>
      <c r="H11" s="6">
        <v>0</v>
      </c>
      <c r="I11" s="7">
        <v>0</v>
      </c>
      <c r="J11" s="265">
        <f t="shared" si="1"/>
        <v>0</v>
      </c>
      <c r="L11" s="263" t="s">
        <v>249</v>
      </c>
      <c r="M11" s="8">
        <v>0</v>
      </c>
      <c r="N11" s="9">
        <v>0</v>
      </c>
      <c r="O11" s="264">
        <f t="shared" si="2"/>
        <v>0</v>
      </c>
    </row>
    <row r="12" spans="1:17" ht="27" customHeight="1" x14ac:dyDescent="0.45">
      <c r="B12" s="180" t="s">
        <v>250</v>
      </c>
      <c r="C12" s="6">
        <v>0</v>
      </c>
      <c r="D12" s="7">
        <v>0</v>
      </c>
      <c r="E12" s="265">
        <f t="shared" si="0"/>
        <v>0</v>
      </c>
      <c r="G12" s="266" t="s">
        <v>251</v>
      </c>
      <c r="H12" s="6">
        <v>0</v>
      </c>
      <c r="I12" s="7">
        <v>0</v>
      </c>
      <c r="J12" s="265">
        <f t="shared" si="1"/>
        <v>0</v>
      </c>
      <c r="L12" s="263" t="s">
        <v>252</v>
      </c>
      <c r="M12" s="8">
        <v>0</v>
      </c>
      <c r="N12" s="9">
        <v>0</v>
      </c>
      <c r="O12" s="264">
        <f t="shared" si="2"/>
        <v>0</v>
      </c>
    </row>
    <row r="13" spans="1:17" ht="27" customHeight="1" x14ac:dyDescent="0.45">
      <c r="B13" s="180" t="s">
        <v>253</v>
      </c>
      <c r="C13" s="6">
        <v>0</v>
      </c>
      <c r="D13" s="7">
        <v>0</v>
      </c>
      <c r="E13" s="265">
        <f t="shared" si="0"/>
        <v>0</v>
      </c>
      <c r="G13" s="266" t="s">
        <v>254</v>
      </c>
      <c r="H13" s="6">
        <v>0</v>
      </c>
      <c r="I13" s="7">
        <v>0</v>
      </c>
      <c r="J13" s="267">
        <f t="shared" si="1"/>
        <v>0</v>
      </c>
      <c r="L13" s="263" t="s">
        <v>255</v>
      </c>
      <c r="M13" s="6">
        <v>0</v>
      </c>
      <c r="N13" s="7">
        <v>0</v>
      </c>
      <c r="O13" s="264">
        <f t="shared" si="2"/>
        <v>0</v>
      </c>
    </row>
    <row r="14" spans="1:17" ht="27" customHeight="1" thickBot="1" x14ac:dyDescent="0.25">
      <c r="B14" s="268" t="s">
        <v>26</v>
      </c>
      <c r="C14" s="269" t="s">
        <v>256</v>
      </c>
      <c r="D14" s="270">
        <f>SUM(D6:D13)</f>
        <v>13</v>
      </c>
      <c r="E14" s="271">
        <f>SUM(E6:E13)</f>
        <v>44.6</v>
      </c>
      <c r="G14" s="268" t="s">
        <v>34</v>
      </c>
      <c r="H14" s="269" t="s">
        <v>256</v>
      </c>
      <c r="I14" s="270">
        <f>SUM(I6:I13)</f>
        <v>0</v>
      </c>
      <c r="J14" s="271">
        <f>SUM(J6:J13)</f>
        <v>0</v>
      </c>
      <c r="L14" s="268" t="s">
        <v>36</v>
      </c>
      <c r="M14" s="269" t="s">
        <v>256</v>
      </c>
      <c r="N14" s="270">
        <f>SUM(N6:N13)</f>
        <v>0</v>
      </c>
      <c r="O14" s="271">
        <f>SUM(O6:O13)</f>
        <v>0</v>
      </c>
    </row>
    <row r="15" spans="1:17" ht="34.950000000000003" customHeight="1" thickBot="1" x14ac:dyDescent="0.25">
      <c r="B15" s="268" t="s">
        <v>257</v>
      </c>
      <c r="C15" s="272" t="s">
        <v>256</v>
      </c>
      <c r="D15" s="126">
        <v>9</v>
      </c>
      <c r="E15" s="273">
        <f>スタート!D60</f>
        <v>35</v>
      </c>
      <c r="G15" s="268" t="s">
        <v>257</v>
      </c>
      <c r="H15" s="272" t="s">
        <v>256</v>
      </c>
      <c r="I15" s="126">
        <v>0</v>
      </c>
      <c r="J15" s="273">
        <f>スタート!D61</f>
        <v>0</v>
      </c>
      <c r="L15" s="268" t="s">
        <v>257</v>
      </c>
      <c r="M15" s="272" t="s">
        <v>256</v>
      </c>
      <c r="N15" s="126">
        <v>0</v>
      </c>
      <c r="O15" s="273">
        <f>スタート!D62</f>
        <v>0</v>
      </c>
    </row>
    <row r="17" spans="2:5" ht="27" customHeight="1" x14ac:dyDescent="0.45">
      <c r="B17" s="274" t="s">
        <v>260</v>
      </c>
      <c r="C17" s="274"/>
      <c r="D17" s="274"/>
      <c r="E17" s="276" t="s">
        <v>262</v>
      </c>
    </row>
    <row r="18" spans="2:5" ht="27" customHeight="1" x14ac:dyDescent="0.45">
      <c r="B18" s="274" t="s">
        <v>261</v>
      </c>
      <c r="C18" s="275">
        <f>(E14+J14+O14)/(D14+I14+N14)</f>
        <v>3.430769230769231</v>
      </c>
      <c r="D18" s="274" t="s">
        <v>216</v>
      </c>
      <c r="E18" s="278">
        <f>C18/C19</f>
        <v>0.88219780219780231</v>
      </c>
    </row>
    <row r="19" spans="2:5" ht="27" customHeight="1" x14ac:dyDescent="0.45">
      <c r="B19" s="274" t="s">
        <v>7</v>
      </c>
      <c r="C19" s="277">
        <f>IFERROR((E15+J15+O15)/(N15+I15+D15),"0")</f>
        <v>3.8888888888888888</v>
      </c>
      <c r="D19" s="274" t="s">
        <v>216</v>
      </c>
      <c r="E19" s="278"/>
    </row>
  </sheetData>
  <mergeCells count="2">
    <mergeCell ref="A2:O2"/>
    <mergeCell ref="A1:H1"/>
  </mergeCells>
  <phoneticPr fontId="2"/>
  <pageMargins left="0.7" right="0.7" top="0.75" bottom="0.75" header="0.3" footer="0.3"/>
  <pageSetup paperSize="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1774-FD5F-44AA-B89A-7259EFAD3B05}">
  <sheetPr codeName="Sheet8">
    <pageSetUpPr fitToPage="1"/>
  </sheetPr>
  <dimension ref="A1:P44"/>
  <sheetViews>
    <sheetView view="pageBreakPreview" zoomScale="90" zoomScaleNormal="90" zoomScaleSheetLayoutView="90" workbookViewId="0">
      <selection activeCell="E12" sqref="E12"/>
    </sheetView>
  </sheetViews>
  <sheetFormatPr defaultRowHeight="18" x14ac:dyDescent="0.45"/>
  <cols>
    <col min="2" max="2" width="15.69921875" customWidth="1"/>
    <col min="3" max="3" width="9.19921875" customWidth="1"/>
    <col min="5" max="5" width="15" customWidth="1"/>
    <col min="8" max="8" width="15.69921875" customWidth="1"/>
    <col min="11" max="11" width="15.69921875" customWidth="1"/>
    <col min="15" max="15" width="14.796875" customWidth="1"/>
  </cols>
  <sheetData>
    <row r="1" spans="1:16" ht="25.2" customHeight="1" x14ac:dyDescent="0.45">
      <c r="A1" s="452" t="str">
        <f>スタート!C1</f>
        <v>ひながた</v>
      </c>
      <c r="B1" s="452"/>
      <c r="C1" s="452"/>
      <c r="D1" s="452"/>
      <c r="E1" s="452"/>
      <c r="F1" s="452"/>
    </row>
    <row r="2" spans="1:16" ht="58.8" thickBot="1" x14ac:dyDescent="0.5">
      <c r="A2" s="482" t="s">
        <v>283</v>
      </c>
      <c r="B2" s="452"/>
      <c r="C2" s="452"/>
      <c r="D2" s="452"/>
      <c r="E2" s="452"/>
      <c r="F2" s="452"/>
      <c r="G2" s="452"/>
      <c r="H2" s="452"/>
      <c r="I2" s="528">
        <f>L20+I16+F13+C43</f>
        <v>273.59999999999997</v>
      </c>
      <c r="J2" s="529"/>
      <c r="K2" s="529"/>
      <c r="L2" s="530"/>
      <c r="M2" s="393"/>
      <c r="N2" s="393"/>
      <c r="O2" t="s">
        <v>3</v>
      </c>
    </row>
    <row r="3" spans="1:16" ht="26.4" x14ac:dyDescent="0.25">
      <c r="B3" s="142" t="s">
        <v>264</v>
      </c>
      <c r="C3" s="143" t="s">
        <v>226</v>
      </c>
      <c r="D3" s="280"/>
      <c r="E3" s="151" t="s">
        <v>63</v>
      </c>
      <c r="F3" s="175" t="s">
        <v>226</v>
      </c>
      <c r="H3" s="147" t="s">
        <v>265</v>
      </c>
      <c r="I3" s="148" t="s">
        <v>226</v>
      </c>
      <c r="J3" s="281"/>
      <c r="K3" s="288" t="s">
        <v>266</v>
      </c>
      <c r="L3" s="148" t="s">
        <v>226</v>
      </c>
      <c r="M3" s="282"/>
      <c r="N3" s="283"/>
    </row>
    <row r="4" spans="1:16" ht="27" thickBot="1" x14ac:dyDescent="0.3">
      <c r="B4" s="144" t="s">
        <v>267</v>
      </c>
      <c r="C4" s="145" t="s">
        <v>231</v>
      </c>
      <c r="D4" s="280"/>
      <c r="E4" s="252" t="s">
        <v>268</v>
      </c>
      <c r="F4" s="131">
        <v>6</v>
      </c>
      <c r="H4" s="149" t="s">
        <v>267</v>
      </c>
      <c r="I4" s="150" t="s">
        <v>231</v>
      </c>
      <c r="J4" s="281"/>
      <c r="K4" s="614" t="s">
        <v>267</v>
      </c>
      <c r="L4" s="150" t="s">
        <v>231</v>
      </c>
      <c r="M4" s="284"/>
      <c r="N4" s="285"/>
    </row>
    <row r="5" spans="1:16" ht="25.2" customHeight="1" x14ac:dyDescent="0.25">
      <c r="B5" s="251" t="s">
        <v>113</v>
      </c>
      <c r="C5" s="134"/>
      <c r="D5" s="280"/>
      <c r="E5" s="252" t="s">
        <v>67</v>
      </c>
      <c r="F5" s="132"/>
      <c r="H5" s="289" t="s">
        <v>26</v>
      </c>
      <c r="I5" s="186">
        <f>スタート!D60</f>
        <v>35</v>
      </c>
      <c r="J5" s="281"/>
      <c r="K5" s="656" t="s">
        <v>77</v>
      </c>
      <c r="L5" s="135"/>
      <c r="M5" s="282"/>
      <c r="N5" s="169"/>
      <c r="O5" s="354" t="s">
        <v>77</v>
      </c>
    </row>
    <row r="6" spans="1:16" ht="25.2" customHeight="1" x14ac:dyDescent="0.25">
      <c r="B6" s="251" t="s">
        <v>117</v>
      </c>
      <c r="C6" s="134"/>
      <c r="D6" s="280"/>
      <c r="E6" s="253" t="s">
        <v>75</v>
      </c>
      <c r="F6" s="132"/>
      <c r="H6" s="290" t="s">
        <v>34</v>
      </c>
      <c r="I6" s="291">
        <f>スタート!D61</f>
        <v>0</v>
      </c>
      <c r="J6" s="281"/>
      <c r="K6" s="615" t="s">
        <v>79</v>
      </c>
      <c r="L6" s="136">
        <v>0.2</v>
      </c>
      <c r="M6" s="282"/>
      <c r="N6" s="169"/>
      <c r="O6" s="355" t="s">
        <v>79</v>
      </c>
    </row>
    <row r="7" spans="1:16" ht="25.2" customHeight="1" x14ac:dyDescent="0.45">
      <c r="B7" s="251" t="s">
        <v>270</v>
      </c>
      <c r="C7" s="134"/>
      <c r="D7" s="280"/>
      <c r="E7" s="253" t="s">
        <v>271</v>
      </c>
      <c r="F7" s="133"/>
      <c r="H7" s="290" t="s">
        <v>36</v>
      </c>
      <c r="I7" s="291">
        <f>スタート!D62</f>
        <v>0</v>
      </c>
      <c r="J7" s="281"/>
      <c r="K7" s="615" t="s">
        <v>81</v>
      </c>
      <c r="L7" s="136"/>
      <c r="M7" s="531"/>
      <c r="N7" s="532"/>
      <c r="O7" s="356" t="s">
        <v>81</v>
      </c>
    </row>
    <row r="8" spans="1:16" ht="25.2" customHeight="1" x14ac:dyDescent="0.25">
      <c r="B8" s="251" t="s">
        <v>125</v>
      </c>
      <c r="C8" s="134"/>
      <c r="D8" s="280"/>
      <c r="E8" s="253" t="s">
        <v>273</v>
      </c>
      <c r="F8" s="133"/>
      <c r="H8" s="252" t="s">
        <v>428</v>
      </c>
      <c r="I8" s="136">
        <v>4</v>
      </c>
      <c r="J8" s="281"/>
      <c r="K8" s="615" t="s">
        <v>83</v>
      </c>
      <c r="L8" s="136"/>
      <c r="M8" s="282"/>
      <c r="N8" s="163"/>
      <c r="O8" s="355" t="s">
        <v>83</v>
      </c>
    </row>
    <row r="9" spans="1:16" ht="25.2" customHeight="1" x14ac:dyDescent="0.45">
      <c r="B9" s="251" t="s">
        <v>128</v>
      </c>
      <c r="C9" s="134"/>
      <c r="D9" s="280"/>
      <c r="E9" s="253" t="s">
        <v>274</v>
      </c>
      <c r="F9" s="133"/>
      <c r="H9" s="252" t="s">
        <v>275</v>
      </c>
      <c r="I9" s="136">
        <v>6</v>
      </c>
      <c r="J9" s="281"/>
      <c r="K9" s="615" t="s">
        <v>85</v>
      </c>
      <c r="L9" s="136"/>
      <c r="M9" s="531" t="s">
        <v>284</v>
      </c>
      <c r="N9" s="532"/>
      <c r="O9" s="356" t="s">
        <v>85</v>
      </c>
      <c r="P9">
        <v>0.2</v>
      </c>
    </row>
    <row r="10" spans="1:16" ht="25.2" customHeight="1" thickBot="1" x14ac:dyDescent="0.5">
      <c r="B10" s="251" t="s">
        <v>276</v>
      </c>
      <c r="C10" s="134"/>
      <c r="D10" s="280"/>
      <c r="E10" s="253" t="s">
        <v>274</v>
      </c>
      <c r="F10" s="133"/>
      <c r="H10" s="252" t="s">
        <v>277</v>
      </c>
      <c r="I10" s="136">
        <v>13</v>
      </c>
      <c r="J10" s="281"/>
      <c r="K10" s="615" t="s">
        <v>88</v>
      </c>
      <c r="L10" s="136">
        <v>-5</v>
      </c>
      <c r="M10" s="531" t="s">
        <v>284</v>
      </c>
      <c r="N10" s="532"/>
      <c r="O10" s="357" t="s">
        <v>88</v>
      </c>
      <c r="P10">
        <v>-5</v>
      </c>
    </row>
    <row r="11" spans="1:16" ht="25.2" customHeight="1" x14ac:dyDescent="0.25">
      <c r="B11" s="251" t="s">
        <v>134</v>
      </c>
      <c r="C11" s="134">
        <v>6.9</v>
      </c>
      <c r="D11" s="280"/>
      <c r="E11" s="253" t="s">
        <v>274</v>
      </c>
      <c r="F11" s="133"/>
      <c r="H11" s="252" t="s">
        <v>422</v>
      </c>
      <c r="I11" s="136"/>
      <c r="J11" s="281"/>
      <c r="K11" s="615" t="s">
        <v>91</v>
      </c>
      <c r="L11" s="136"/>
      <c r="M11" s="282"/>
      <c r="N11" s="163"/>
      <c r="O11" s="358" t="s">
        <v>91</v>
      </c>
    </row>
    <row r="12" spans="1:16" ht="25.2" customHeight="1" x14ac:dyDescent="0.25">
      <c r="B12" s="251" t="s">
        <v>137</v>
      </c>
      <c r="C12" s="134">
        <v>2</v>
      </c>
      <c r="D12" s="280"/>
      <c r="E12" s="253" t="s">
        <v>274</v>
      </c>
      <c r="F12" s="133"/>
      <c r="H12" s="252" t="s">
        <v>274</v>
      </c>
      <c r="I12" s="137"/>
      <c r="J12" s="281"/>
      <c r="K12" s="615" t="s">
        <v>94</v>
      </c>
      <c r="L12" s="137">
        <v>58</v>
      </c>
      <c r="M12" s="282"/>
      <c r="N12" s="163"/>
      <c r="O12" s="359" t="s">
        <v>94</v>
      </c>
      <c r="P12">
        <v>58</v>
      </c>
    </row>
    <row r="13" spans="1:16" ht="25.2" customHeight="1" x14ac:dyDescent="0.25">
      <c r="B13" s="251" t="s">
        <v>139</v>
      </c>
      <c r="C13" s="134"/>
      <c r="D13" s="280"/>
      <c r="E13" s="139" t="s">
        <v>256</v>
      </c>
      <c r="F13" s="138">
        <f>SUM(F4:F12)</f>
        <v>6</v>
      </c>
      <c r="H13" s="252" t="s">
        <v>274</v>
      </c>
      <c r="I13" s="137"/>
      <c r="J13" s="281"/>
      <c r="K13" s="615" t="s">
        <v>96</v>
      </c>
      <c r="L13" s="137"/>
      <c r="M13" s="282"/>
      <c r="N13" s="163"/>
      <c r="O13" s="360" t="s">
        <v>96</v>
      </c>
    </row>
    <row r="14" spans="1:16" ht="25.2" customHeight="1" x14ac:dyDescent="0.25">
      <c r="B14" s="251" t="s">
        <v>141</v>
      </c>
      <c r="C14" s="134"/>
      <c r="D14" s="280"/>
      <c r="E14" s="139" t="s">
        <v>278</v>
      </c>
      <c r="F14" s="138">
        <f>SUM(スタート!D35:D42)</f>
        <v>0</v>
      </c>
      <c r="H14" s="252" t="s">
        <v>274</v>
      </c>
      <c r="I14" s="137"/>
      <c r="J14" s="281"/>
      <c r="K14" s="615" t="s">
        <v>98</v>
      </c>
      <c r="L14" s="137"/>
      <c r="M14" s="282"/>
      <c r="N14" s="169"/>
      <c r="O14" s="361" t="s">
        <v>98</v>
      </c>
    </row>
    <row r="15" spans="1:16" ht="25.2" customHeight="1" x14ac:dyDescent="0.25">
      <c r="B15" s="251" t="s">
        <v>143</v>
      </c>
      <c r="C15" s="134"/>
      <c r="D15" s="280"/>
      <c r="E15" s="280"/>
      <c r="F15" s="280"/>
      <c r="H15" s="254" t="s">
        <v>286</v>
      </c>
      <c r="I15" s="137"/>
      <c r="J15" s="281"/>
      <c r="K15" s="615" t="s">
        <v>100</v>
      </c>
      <c r="L15" s="137"/>
      <c r="M15" s="282"/>
      <c r="O15" s="359" t="s">
        <v>100</v>
      </c>
    </row>
    <row r="16" spans="1:16" ht="25.2" customHeight="1" x14ac:dyDescent="0.25">
      <c r="B16" s="251" t="s">
        <v>146</v>
      </c>
      <c r="C16" s="134"/>
      <c r="D16" s="280"/>
      <c r="E16" s="280"/>
      <c r="F16" s="280"/>
      <c r="H16" s="139" t="s">
        <v>256</v>
      </c>
      <c r="I16" s="138">
        <f>SUM(I5:I15)</f>
        <v>58</v>
      </c>
      <c r="J16" s="286"/>
      <c r="K16" s="615" t="s">
        <v>103</v>
      </c>
      <c r="L16" s="133"/>
      <c r="O16" s="360" t="s">
        <v>103</v>
      </c>
    </row>
    <row r="17" spans="2:15" ht="25.2" customHeight="1" x14ac:dyDescent="0.25">
      <c r="B17" s="251" t="s">
        <v>149</v>
      </c>
      <c r="C17" s="134"/>
      <c r="D17" s="280"/>
      <c r="E17" s="280"/>
      <c r="F17" s="280"/>
      <c r="H17" s="139" t="s">
        <v>287</v>
      </c>
      <c r="I17" s="138">
        <f>SUM(スタート!D13:D28)+SUM(スタート!D60:D62)</f>
        <v>55</v>
      </c>
      <c r="J17" s="286"/>
      <c r="K17" s="615" t="s">
        <v>105</v>
      </c>
      <c r="L17" s="133"/>
      <c r="O17" s="361" t="s">
        <v>105</v>
      </c>
    </row>
    <row r="18" spans="2:15" ht="25.2" customHeight="1" x14ac:dyDescent="0.25">
      <c r="B18" s="251" t="s">
        <v>152</v>
      </c>
      <c r="C18" s="134"/>
      <c r="I18" s="287"/>
      <c r="J18" s="286"/>
      <c r="K18" s="615" t="s">
        <v>429</v>
      </c>
      <c r="L18" s="133">
        <v>140</v>
      </c>
      <c r="O18" s="655" t="s">
        <v>429</v>
      </c>
    </row>
    <row r="19" spans="2:15" ht="25.2" customHeight="1" x14ac:dyDescent="0.25">
      <c r="B19" s="251" t="s">
        <v>154</v>
      </c>
      <c r="C19" s="134"/>
      <c r="I19" s="287"/>
      <c r="J19" s="286"/>
      <c r="K19" s="620" t="s">
        <v>285</v>
      </c>
      <c r="L19" s="133"/>
      <c r="O19" s="655" t="s">
        <v>285</v>
      </c>
    </row>
    <row r="20" spans="2:15" ht="25.2" customHeight="1" x14ac:dyDescent="0.25">
      <c r="B20" s="251" t="s">
        <v>156</v>
      </c>
      <c r="C20" s="134"/>
      <c r="I20" s="287"/>
      <c r="J20" s="286"/>
      <c r="K20" s="657" t="s">
        <v>256</v>
      </c>
      <c r="L20" s="659">
        <f>SUM(L5:L19)</f>
        <v>193.2</v>
      </c>
    </row>
    <row r="21" spans="2:15" ht="25.2" customHeight="1" x14ac:dyDescent="0.25">
      <c r="B21" s="251" t="s">
        <v>159</v>
      </c>
      <c r="C21" s="134"/>
      <c r="I21" s="287"/>
      <c r="J21" s="286"/>
      <c r="K21" s="658" t="s">
        <v>287</v>
      </c>
      <c r="L21" s="659">
        <f>SUM(スタート!D43:D56)</f>
        <v>156.5</v>
      </c>
    </row>
    <row r="22" spans="2:15" ht="25.2" customHeight="1" x14ac:dyDescent="0.25">
      <c r="B22" s="251" t="s">
        <v>162</v>
      </c>
      <c r="C22" s="134"/>
      <c r="I22" s="287"/>
      <c r="J22" s="286"/>
      <c r="K22" s="287"/>
    </row>
    <row r="23" spans="2:15" ht="25.2" customHeight="1" x14ac:dyDescent="0.25">
      <c r="B23" s="251" t="s">
        <v>164</v>
      </c>
      <c r="C23" s="134"/>
      <c r="I23" s="287"/>
      <c r="J23" s="286"/>
      <c r="K23" s="287"/>
    </row>
    <row r="24" spans="2:15" ht="25.2" customHeight="1" x14ac:dyDescent="0.25">
      <c r="B24" s="251" t="s">
        <v>166</v>
      </c>
      <c r="C24" s="134"/>
      <c r="I24" s="287"/>
      <c r="J24" s="286"/>
      <c r="K24" s="287"/>
    </row>
    <row r="25" spans="2:15" ht="25.2" customHeight="1" x14ac:dyDescent="0.25">
      <c r="B25" s="251" t="s">
        <v>168</v>
      </c>
      <c r="C25" s="134">
        <v>3.5</v>
      </c>
      <c r="I25" s="287"/>
      <c r="J25" s="286"/>
      <c r="K25" s="287"/>
    </row>
    <row r="26" spans="2:15" ht="25.2" customHeight="1" x14ac:dyDescent="0.25">
      <c r="B26" s="251" t="s">
        <v>170</v>
      </c>
      <c r="C26" s="134">
        <v>4</v>
      </c>
      <c r="I26" s="287"/>
      <c r="J26" s="286"/>
      <c r="K26" s="287"/>
    </row>
    <row r="27" spans="2:15" ht="25.2" customHeight="1" x14ac:dyDescent="0.25">
      <c r="B27" s="251" t="s">
        <v>172</v>
      </c>
      <c r="C27" s="134"/>
      <c r="I27" s="287"/>
      <c r="J27" s="286"/>
      <c r="K27" s="287"/>
    </row>
    <row r="28" spans="2:15" ht="25.2" customHeight="1" x14ac:dyDescent="0.25">
      <c r="B28" s="251" t="s">
        <v>174</v>
      </c>
      <c r="C28" s="134"/>
      <c r="I28" s="287"/>
      <c r="J28" s="286"/>
      <c r="K28" s="287"/>
    </row>
    <row r="29" spans="2:15" ht="25.2" customHeight="1" x14ac:dyDescent="0.25">
      <c r="B29" s="251" t="s">
        <v>69</v>
      </c>
      <c r="C29" s="134"/>
      <c r="I29" s="287"/>
      <c r="J29" s="286"/>
      <c r="K29" s="287"/>
    </row>
    <row r="30" spans="2:15" ht="25.2" customHeight="1" x14ac:dyDescent="0.25">
      <c r="B30" s="251" t="s">
        <v>177</v>
      </c>
      <c r="C30" s="134"/>
      <c r="I30" s="287"/>
      <c r="J30" s="286"/>
      <c r="K30" s="287"/>
    </row>
    <row r="31" spans="2:15" ht="25.2" customHeight="1" x14ac:dyDescent="0.25">
      <c r="B31" s="251" t="s">
        <v>179</v>
      </c>
      <c r="C31" s="134"/>
      <c r="I31" s="287"/>
      <c r="J31" s="286"/>
      <c r="K31" s="287"/>
    </row>
    <row r="32" spans="2:15" ht="25.2" customHeight="1" x14ac:dyDescent="0.25">
      <c r="B32" s="251" t="s">
        <v>181</v>
      </c>
      <c r="C32" s="134"/>
      <c r="I32" s="287"/>
      <c r="J32" s="286"/>
      <c r="K32" s="287"/>
    </row>
    <row r="33" spans="2:11" ht="25.2" customHeight="1" x14ac:dyDescent="0.25">
      <c r="B33" s="251" t="s">
        <v>183</v>
      </c>
      <c r="C33" s="134"/>
      <c r="I33" s="287"/>
      <c r="J33" s="286"/>
      <c r="K33" s="287"/>
    </row>
    <row r="34" spans="2:11" ht="25.2" customHeight="1" x14ac:dyDescent="0.25">
      <c r="B34" s="251" t="s">
        <v>185</v>
      </c>
      <c r="C34" s="134"/>
      <c r="J34" s="286"/>
      <c r="K34" s="287"/>
    </row>
    <row r="35" spans="2:11" ht="25.2" customHeight="1" x14ac:dyDescent="0.25">
      <c r="B35" s="251" t="s">
        <v>187</v>
      </c>
      <c r="C35" s="134"/>
      <c r="J35" s="286"/>
      <c r="K35" s="287"/>
    </row>
    <row r="36" spans="2:11" ht="25.2" customHeight="1" x14ac:dyDescent="0.25">
      <c r="B36" s="251" t="s">
        <v>189</v>
      </c>
      <c r="C36" s="134"/>
      <c r="J36" s="286"/>
      <c r="K36" s="287"/>
    </row>
    <row r="37" spans="2:11" ht="25.2" customHeight="1" x14ac:dyDescent="0.25">
      <c r="B37" s="251" t="s">
        <v>191</v>
      </c>
      <c r="C37" s="134"/>
      <c r="J37" s="286"/>
      <c r="K37" s="287"/>
    </row>
    <row r="38" spans="2:11" ht="25.2" customHeight="1" x14ac:dyDescent="0.25">
      <c r="B38" s="251" t="s">
        <v>193</v>
      </c>
      <c r="C38" s="134"/>
      <c r="J38" s="286"/>
      <c r="K38" s="287"/>
    </row>
    <row r="39" spans="2:11" ht="25.2" customHeight="1" x14ac:dyDescent="0.25">
      <c r="B39" s="251" t="s">
        <v>195</v>
      </c>
      <c r="C39" s="134"/>
      <c r="J39" s="286"/>
      <c r="K39" s="287"/>
    </row>
    <row r="40" spans="2:11" ht="25.2" customHeight="1" x14ac:dyDescent="0.25">
      <c r="B40" s="251" t="s">
        <v>111</v>
      </c>
      <c r="C40" s="134"/>
      <c r="J40" s="286"/>
      <c r="K40" s="287"/>
    </row>
    <row r="41" spans="2:11" ht="25.2" customHeight="1" x14ac:dyDescent="0.25">
      <c r="B41" s="251" t="s">
        <v>198</v>
      </c>
      <c r="C41" s="134"/>
    </row>
    <row r="42" spans="2:11" ht="25.2" customHeight="1" x14ac:dyDescent="0.25">
      <c r="B42" s="251" t="s">
        <v>200</v>
      </c>
      <c r="C42" s="134"/>
    </row>
    <row r="43" spans="2:11" ht="27.6" customHeight="1" thickBot="1" x14ac:dyDescent="0.25">
      <c r="B43" s="140" t="s">
        <v>280</v>
      </c>
      <c r="C43" s="141">
        <f>SUM(C5:C42)</f>
        <v>16.399999999999999</v>
      </c>
    </row>
    <row r="44" spans="2:11" ht="27.6" customHeight="1" thickBot="1" x14ac:dyDescent="0.25">
      <c r="B44" s="140" t="s">
        <v>281</v>
      </c>
      <c r="C44" s="141">
        <f>SUM(スタート!D63:D100)</f>
        <v>13.399999999999999</v>
      </c>
    </row>
  </sheetData>
  <mergeCells count="6">
    <mergeCell ref="A2:H2"/>
    <mergeCell ref="I2:L2"/>
    <mergeCell ref="M7:N7"/>
    <mergeCell ref="A1:F1"/>
    <mergeCell ref="M10:N10"/>
    <mergeCell ref="M9:N9"/>
  </mergeCells>
  <phoneticPr fontId="2"/>
  <pageMargins left="0.7" right="0.7" top="0.75" bottom="0.75" header="0.3" footer="0.3"/>
  <pageSetup paperSize="8" scale="8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CA524-1F67-4BAA-A496-B82B3B44EAA0}">
  <sheetPr codeName="Sheet9">
    <pageSetUpPr fitToPage="1"/>
  </sheetPr>
  <dimension ref="A1:L37"/>
  <sheetViews>
    <sheetView view="pageBreakPreview" zoomScale="90" zoomScaleNormal="100" zoomScaleSheetLayoutView="90" workbookViewId="0">
      <selection activeCell="G37" sqref="G37"/>
    </sheetView>
  </sheetViews>
  <sheetFormatPr defaultColWidth="8.69921875" defaultRowHeight="18" x14ac:dyDescent="0.45"/>
  <cols>
    <col min="1" max="1" width="17.69921875" style="292" customWidth="1"/>
    <col min="2" max="7" width="14.5" style="292" customWidth="1"/>
    <col min="8" max="8" width="8.8984375" style="292" customWidth="1"/>
    <col min="9" max="16384" width="8.69921875" style="292"/>
  </cols>
  <sheetData>
    <row r="1" spans="1:12" x14ac:dyDescent="0.45">
      <c r="A1" s="535" t="str">
        <f>スタート!C1</f>
        <v>ひながた</v>
      </c>
      <c r="B1" s="452"/>
      <c r="C1" s="452"/>
      <c r="D1" s="452"/>
      <c r="E1" s="452"/>
    </row>
    <row r="2" spans="1:12" ht="58.2" x14ac:dyDescent="0.45">
      <c r="A2" s="482" t="s">
        <v>288</v>
      </c>
      <c r="B2" s="452"/>
      <c r="C2" s="452"/>
      <c r="D2" s="452"/>
      <c r="E2" t="s">
        <v>289</v>
      </c>
      <c r="F2" s="337" t="s">
        <v>290</v>
      </c>
      <c r="G2" s="538">
        <f>F31</f>
        <v>450000000</v>
      </c>
      <c r="H2" s="539"/>
      <c r="I2" s="540"/>
      <c r="J2" s="293"/>
      <c r="K2" t="s">
        <v>3</v>
      </c>
      <c r="L2" s="38"/>
    </row>
    <row r="4" spans="1:12" x14ac:dyDescent="0.45">
      <c r="C4" s="536" t="s">
        <v>291</v>
      </c>
      <c r="D4" s="537"/>
      <c r="E4" s="537"/>
    </row>
    <row r="5" spans="1:12" x14ac:dyDescent="0.2">
      <c r="A5" s="375" t="s">
        <v>292</v>
      </c>
      <c r="B5" s="294"/>
      <c r="C5" s="375" t="s">
        <v>293</v>
      </c>
      <c r="D5" s="375" t="s">
        <v>294</v>
      </c>
      <c r="E5" s="375" t="s">
        <v>295</v>
      </c>
      <c r="F5" s="294"/>
      <c r="G5" s="294"/>
    </row>
    <row r="6" spans="1:12" x14ac:dyDescent="0.2">
      <c r="A6" s="397" t="s">
        <v>226</v>
      </c>
      <c r="B6" s="397" t="s">
        <v>24</v>
      </c>
      <c r="C6" s="397" t="s">
        <v>296</v>
      </c>
      <c r="D6" s="397" t="s">
        <v>297</v>
      </c>
      <c r="E6" s="397" t="s">
        <v>229</v>
      </c>
      <c r="F6" s="397" t="s">
        <v>14</v>
      </c>
      <c r="G6" s="397" t="s">
        <v>298</v>
      </c>
    </row>
    <row r="7" spans="1:12" x14ac:dyDescent="0.2">
      <c r="A7" s="295" t="s">
        <v>299</v>
      </c>
      <c r="B7" s="296" t="s">
        <v>300</v>
      </c>
      <c r="C7" s="296" t="s">
        <v>301</v>
      </c>
      <c r="D7" s="296" t="s">
        <v>302</v>
      </c>
      <c r="E7" s="296" t="s">
        <v>301</v>
      </c>
      <c r="F7" s="296" t="s">
        <v>300</v>
      </c>
      <c r="G7" s="295" t="s">
        <v>226</v>
      </c>
    </row>
    <row r="8" spans="1:12" x14ac:dyDescent="0.2">
      <c r="A8" s="323" t="s">
        <v>303</v>
      </c>
      <c r="B8" s="297">
        <f>D8*C8</f>
        <v>129500000</v>
      </c>
      <c r="C8" s="326">
        <v>370000</v>
      </c>
      <c r="D8" s="327">
        <v>350</v>
      </c>
      <c r="E8" s="328">
        <v>1000000</v>
      </c>
      <c r="F8" s="298">
        <f>D8*E8</f>
        <v>350000000</v>
      </c>
      <c r="G8" s="299">
        <f>IFERROR(C8/E8,"0")</f>
        <v>0.37</v>
      </c>
    </row>
    <row r="9" spans="1:12" x14ac:dyDescent="0.2">
      <c r="A9" s="324" t="s">
        <v>304</v>
      </c>
      <c r="B9" s="300">
        <f t="shared" ref="B9:B29" si="0">D9*C9</f>
        <v>17400000</v>
      </c>
      <c r="C9" s="329">
        <v>120000</v>
      </c>
      <c r="D9" s="330">
        <v>145</v>
      </c>
      <c r="E9" s="331">
        <v>340000</v>
      </c>
      <c r="F9" s="301">
        <f t="shared" ref="F9:F29" si="1">D9*E9</f>
        <v>49300000</v>
      </c>
      <c r="G9" s="299">
        <f t="shared" ref="G9:G29" si="2">IFERROR(C9/E9,"0")</f>
        <v>0.35294117647058826</v>
      </c>
    </row>
    <row r="10" spans="1:12" x14ac:dyDescent="0.2">
      <c r="A10" s="324" t="s">
        <v>305</v>
      </c>
      <c r="B10" s="300">
        <f t="shared" si="0"/>
        <v>2509990</v>
      </c>
      <c r="C10" s="329">
        <v>21826</v>
      </c>
      <c r="D10" s="330">
        <v>115</v>
      </c>
      <c r="E10" s="331">
        <v>50000</v>
      </c>
      <c r="F10" s="301">
        <f t="shared" si="1"/>
        <v>5750000</v>
      </c>
      <c r="G10" s="299">
        <f t="shared" si="2"/>
        <v>0.43652000000000002</v>
      </c>
    </row>
    <row r="11" spans="1:12" x14ac:dyDescent="0.2">
      <c r="A11" s="324" t="s">
        <v>306</v>
      </c>
      <c r="B11" s="300">
        <f>D11*C11</f>
        <v>26985500</v>
      </c>
      <c r="C11" s="329">
        <v>174100</v>
      </c>
      <c r="D11" s="330">
        <v>155</v>
      </c>
      <c r="E11" s="331">
        <v>290000</v>
      </c>
      <c r="F11" s="301">
        <f t="shared" si="1"/>
        <v>44950000</v>
      </c>
      <c r="G11" s="299">
        <f t="shared" si="2"/>
        <v>0.60034482758620689</v>
      </c>
    </row>
    <row r="12" spans="1:12" x14ac:dyDescent="0.2">
      <c r="A12" s="324" t="s">
        <v>307</v>
      </c>
      <c r="B12" s="300">
        <f t="shared" si="0"/>
        <v>0</v>
      </c>
      <c r="C12" s="329"/>
      <c r="D12" s="330"/>
      <c r="E12" s="331"/>
      <c r="F12" s="301">
        <f>D12*E12</f>
        <v>0</v>
      </c>
      <c r="G12" s="299" t="str">
        <f t="shared" si="2"/>
        <v>0</v>
      </c>
    </row>
    <row r="13" spans="1:12" x14ac:dyDescent="0.2">
      <c r="A13" s="324" t="s">
        <v>307</v>
      </c>
      <c r="B13" s="300">
        <f t="shared" si="0"/>
        <v>0</v>
      </c>
      <c r="C13" s="329"/>
      <c r="D13" s="330"/>
      <c r="E13" s="331"/>
      <c r="F13" s="301">
        <f t="shared" si="1"/>
        <v>0</v>
      </c>
      <c r="G13" s="299" t="str">
        <f t="shared" si="2"/>
        <v>0</v>
      </c>
    </row>
    <row r="14" spans="1:12" x14ac:dyDescent="0.2">
      <c r="A14" s="324" t="s">
        <v>307</v>
      </c>
      <c r="B14" s="300">
        <f t="shared" si="0"/>
        <v>0</v>
      </c>
      <c r="C14" s="332"/>
      <c r="D14" s="330"/>
      <c r="E14" s="331"/>
      <c r="F14" s="301">
        <f t="shared" si="1"/>
        <v>0</v>
      </c>
      <c r="G14" s="299" t="str">
        <f t="shared" si="2"/>
        <v>0</v>
      </c>
    </row>
    <row r="15" spans="1:12" x14ac:dyDescent="0.2">
      <c r="A15" s="324" t="s">
        <v>307</v>
      </c>
      <c r="B15" s="300">
        <f t="shared" si="0"/>
        <v>0</v>
      </c>
      <c r="C15" s="332"/>
      <c r="D15" s="330"/>
      <c r="E15" s="331"/>
      <c r="F15" s="301">
        <f t="shared" si="1"/>
        <v>0</v>
      </c>
      <c r="G15" s="299" t="str">
        <f t="shared" si="2"/>
        <v>0</v>
      </c>
    </row>
    <row r="16" spans="1:12" x14ac:dyDescent="0.2">
      <c r="A16" s="324" t="s">
        <v>390</v>
      </c>
      <c r="B16" s="300">
        <f t="shared" si="0"/>
        <v>0</v>
      </c>
      <c r="C16" s="332"/>
      <c r="D16" s="330"/>
      <c r="E16" s="331"/>
      <c r="F16" s="301">
        <f t="shared" si="1"/>
        <v>0</v>
      </c>
      <c r="G16" s="299" t="str">
        <f t="shared" si="2"/>
        <v>0</v>
      </c>
    </row>
    <row r="17" spans="1:9" x14ac:dyDescent="0.2">
      <c r="A17" s="324" t="s">
        <v>307</v>
      </c>
      <c r="B17" s="300">
        <f t="shared" si="0"/>
        <v>0</v>
      </c>
      <c r="C17" s="332"/>
      <c r="D17" s="330"/>
      <c r="E17" s="331"/>
      <c r="F17" s="301">
        <f t="shared" si="1"/>
        <v>0</v>
      </c>
      <c r="G17" s="299" t="str">
        <f t="shared" si="2"/>
        <v>0</v>
      </c>
    </row>
    <row r="18" spans="1:9" x14ac:dyDescent="0.2">
      <c r="A18" s="324" t="s">
        <v>307</v>
      </c>
      <c r="B18" s="300">
        <f t="shared" si="0"/>
        <v>0</v>
      </c>
      <c r="C18" s="332"/>
      <c r="D18" s="330"/>
      <c r="E18" s="331"/>
      <c r="F18" s="301">
        <f t="shared" si="1"/>
        <v>0</v>
      </c>
      <c r="G18" s="299" t="str">
        <f t="shared" si="2"/>
        <v>0</v>
      </c>
    </row>
    <row r="19" spans="1:9" x14ac:dyDescent="0.2">
      <c r="A19" s="324" t="s">
        <v>307</v>
      </c>
      <c r="B19" s="300">
        <f t="shared" si="0"/>
        <v>0</v>
      </c>
      <c r="C19" s="332"/>
      <c r="D19" s="330"/>
      <c r="E19" s="331"/>
      <c r="F19" s="301">
        <f t="shared" si="1"/>
        <v>0</v>
      </c>
      <c r="G19" s="299" t="str">
        <f t="shared" si="2"/>
        <v>0</v>
      </c>
    </row>
    <row r="20" spans="1:9" x14ac:dyDescent="0.2">
      <c r="A20" s="324" t="s">
        <v>307</v>
      </c>
      <c r="B20" s="300">
        <f t="shared" si="0"/>
        <v>0</v>
      </c>
      <c r="C20" s="332"/>
      <c r="D20" s="330"/>
      <c r="E20" s="331"/>
      <c r="F20" s="301">
        <f t="shared" si="1"/>
        <v>0</v>
      </c>
      <c r="G20" s="299" t="str">
        <f t="shared" si="2"/>
        <v>0</v>
      </c>
    </row>
    <row r="21" spans="1:9" x14ac:dyDescent="0.2">
      <c r="A21" s="324" t="s">
        <v>307</v>
      </c>
      <c r="B21" s="300">
        <f t="shared" si="0"/>
        <v>0</v>
      </c>
      <c r="C21" s="332"/>
      <c r="D21" s="330"/>
      <c r="E21" s="331"/>
      <c r="F21" s="301">
        <f t="shared" si="1"/>
        <v>0</v>
      </c>
      <c r="G21" s="299" t="str">
        <f t="shared" si="2"/>
        <v>0</v>
      </c>
    </row>
    <row r="22" spans="1:9" x14ac:dyDescent="0.2">
      <c r="A22" s="324" t="s">
        <v>307</v>
      </c>
      <c r="B22" s="300">
        <f t="shared" si="0"/>
        <v>0</v>
      </c>
      <c r="C22" s="332"/>
      <c r="D22" s="330"/>
      <c r="E22" s="331"/>
      <c r="F22" s="301">
        <f t="shared" si="1"/>
        <v>0</v>
      </c>
      <c r="G22" s="299" t="str">
        <f t="shared" si="2"/>
        <v>0</v>
      </c>
    </row>
    <row r="23" spans="1:9" x14ac:dyDescent="0.2">
      <c r="A23" s="324" t="s">
        <v>307</v>
      </c>
      <c r="B23" s="300">
        <f t="shared" si="0"/>
        <v>0</v>
      </c>
      <c r="C23" s="332"/>
      <c r="D23" s="330"/>
      <c r="E23" s="331"/>
      <c r="F23" s="301">
        <f t="shared" si="1"/>
        <v>0</v>
      </c>
      <c r="G23" s="299" t="str">
        <f t="shared" si="2"/>
        <v>0</v>
      </c>
    </row>
    <row r="24" spans="1:9" x14ac:dyDescent="0.2">
      <c r="A24" s="324" t="s">
        <v>307</v>
      </c>
      <c r="B24" s="300">
        <f t="shared" si="0"/>
        <v>0</v>
      </c>
      <c r="C24" s="332"/>
      <c r="D24" s="330"/>
      <c r="E24" s="331"/>
      <c r="F24" s="301">
        <f t="shared" si="1"/>
        <v>0</v>
      </c>
      <c r="G24" s="299" t="str">
        <f t="shared" si="2"/>
        <v>0</v>
      </c>
    </row>
    <row r="25" spans="1:9" x14ac:dyDescent="0.2">
      <c r="A25" s="324" t="s">
        <v>307</v>
      </c>
      <c r="B25" s="300">
        <f t="shared" si="0"/>
        <v>0</v>
      </c>
      <c r="C25" s="332"/>
      <c r="D25" s="330"/>
      <c r="E25" s="331"/>
      <c r="F25" s="301">
        <f t="shared" si="1"/>
        <v>0</v>
      </c>
      <c r="G25" s="299" t="str">
        <f t="shared" si="2"/>
        <v>0</v>
      </c>
    </row>
    <row r="26" spans="1:9" x14ac:dyDescent="0.2">
      <c r="A26" s="324" t="s">
        <v>307</v>
      </c>
      <c r="B26" s="300">
        <f t="shared" si="0"/>
        <v>0</v>
      </c>
      <c r="C26" s="332"/>
      <c r="D26" s="330"/>
      <c r="E26" s="331"/>
      <c r="F26" s="301">
        <f t="shared" si="1"/>
        <v>0</v>
      </c>
      <c r="G26" s="299" t="str">
        <f t="shared" si="2"/>
        <v>0</v>
      </c>
    </row>
    <row r="27" spans="1:9" x14ac:dyDescent="0.2">
      <c r="A27" s="324" t="s">
        <v>307</v>
      </c>
      <c r="B27" s="300">
        <f t="shared" si="0"/>
        <v>0</v>
      </c>
      <c r="C27" s="332"/>
      <c r="D27" s="330"/>
      <c r="E27" s="331"/>
      <c r="F27" s="301">
        <f t="shared" si="1"/>
        <v>0</v>
      </c>
      <c r="G27" s="299" t="str">
        <f t="shared" si="2"/>
        <v>0</v>
      </c>
    </row>
    <row r="28" spans="1:9" x14ac:dyDescent="0.2">
      <c r="A28" s="324" t="s">
        <v>307</v>
      </c>
      <c r="B28" s="300">
        <f t="shared" si="0"/>
        <v>0</v>
      </c>
      <c r="C28" s="332"/>
      <c r="D28" s="330"/>
      <c r="E28" s="331"/>
      <c r="F28" s="301">
        <f t="shared" si="1"/>
        <v>0</v>
      </c>
      <c r="G28" s="299" t="str">
        <f t="shared" si="2"/>
        <v>0</v>
      </c>
    </row>
    <row r="29" spans="1:9" x14ac:dyDescent="0.2">
      <c r="A29" s="325" t="s">
        <v>308</v>
      </c>
      <c r="B29" s="302">
        <f t="shared" si="0"/>
        <v>0</v>
      </c>
      <c r="C29" s="333"/>
      <c r="D29" s="334"/>
      <c r="E29" s="335"/>
      <c r="F29" s="303">
        <f t="shared" si="1"/>
        <v>0</v>
      </c>
      <c r="G29" s="299" t="str">
        <f t="shared" si="2"/>
        <v>0</v>
      </c>
    </row>
    <row r="30" spans="1:9" x14ac:dyDescent="0.2">
      <c r="A30" s="304"/>
      <c r="B30" s="305" t="s">
        <v>309</v>
      </c>
      <c r="C30" s="306" t="s">
        <v>310</v>
      </c>
      <c r="D30" s="307" t="s">
        <v>311</v>
      </c>
      <c r="E30" s="306" t="s">
        <v>312</v>
      </c>
      <c r="F30" s="307" t="s">
        <v>313</v>
      </c>
      <c r="G30" s="308" t="s">
        <v>314</v>
      </c>
    </row>
    <row r="31" spans="1:9" x14ac:dyDescent="0.45">
      <c r="A31" s="541" t="s">
        <v>315</v>
      </c>
      <c r="B31" s="543">
        <f>SUM(B8:B29)</f>
        <v>176395490</v>
      </c>
      <c r="C31" s="543">
        <f>AVERAGE(C8:C29,"0")</f>
        <v>137185.20000000001</v>
      </c>
      <c r="D31" s="543">
        <f>SUM(D8:D29)</f>
        <v>765</v>
      </c>
      <c r="E31" s="543">
        <f>IFERROR(F31/D31,"")</f>
        <v>588235.29411764711</v>
      </c>
      <c r="F31" s="543">
        <f>SUM(F8:F29)</f>
        <v>450000000</v>
      </c>
      <c r="G31" s="545">
        <f>AVERAGE(G8:G29)</f>
        <v>0.43995150101419878</v>
      </c>
    </row>
    <row r="32" spans="1:9" x14ac:dyDescent="0.45">
      <c r="A32" s="542"/>
      <c r="B32" s="544"/>
      <c r="C32" s="546" t="s">
        <v>226</v>
      </c>
      <c r="D32" s="546" t="s">
        <v>226</v>
      </c>
      <c r="E32" s="544"/>
      <c r="F32" s="544"/>
      <c r="G32" s="542"/>
      <c r="I32" s="309"/>
    </row>
    <row r="33" spans="1:7" x14ac:dyDescent="0.45">
      <c r="A33" s="533" t="s">
        <v>316</v>
      </c>
      <c r="B33" s="534" t="s">
        <v>226</v>
      </c>
      <c r="C33" s="310" t="s">
        <v>317</v>
      </c>
      <c r="D33" s="311" t="s">
        <v>318</v>
      </c>
      <c r="E33" s="311" t="s">
        <v>319</v>
      </c>
      <c r="F33" s="312" t="s">
        <v>320</v>
      </c>
      <c r="G33" s="336">
        <f>③給料!D14+③給料!I14+③給料!N14+'⑤製造原価 (人）'!D14+'⑤製造原価 (人）'!I14+'⑤製造原価 (人）'!N14</f>
        <v>25</v>
      </c>
    </row>
    <row r="34" spans="1:7" ht="21" x14ac:dyDescent="0.25">
      <c r="A34" s="376" t="s">
        <v>321</v>
      </c>
      <c r="B34" s="377">
        <f>'②⑧MQ（未来）'!F17*1000</f>
        <v>-4.5100000000388718</v>
      </c>
      <c r="C34" s="313">
        <f>IFERROR(B31/F31,"")</f>
        <v>0.39198997777777778</v>
      </c>
      <c r="D34" s="314"/>
      <c r="E34" s="314" t="s">
        <v>226</v>
      </c>
      <c r="F34" s="315" t="s">
        <v>322</v>
      </c>
      <c r="G34" s="316" t="s">
        <v>323</v>
      </c>
    </row>
    <row r="35" spans="1:7" x14ac:dyDescent="0.45">
      <c r="A35" s="397"/>
      <c r="B35" s="397" t="s">
        <v>226</v>
      </c>
      <c r="C35" s="317" t="s">
        <v>324</v>
      </c>
      <c r="D35" s="311" t="s">
        <v>325</v>
      </c>
      <c r="E35" s="311" t="s">
        <v>326</v>
      </c>
      <c r="F35" s="318" t="s">
        <v>226</v>
      </c>
      <c r="G35" s="319"/>
    </row>
    <row r="36" spans="1:7" x14ac:dyDescent="0.2">
      <c r="A36" s="295" t="s">
        <v>24</v>
      </c>
      <c r="B36" s="295">
        <f>B31</f>
        <v>176395490</v>
      </c>
      <c r="C36" s="314">
        <v>0</v>
      </c>
      <c r="D36" s="314" t="s">
        <v>226</v>
      </c>
      <c r="E36" s="314">
        <v>0</v>
      </c>
      <c r="F36" s="320">
        <f>B36/G33</f>
        <v>7055819.5999999996</v>
      </c>
      <c r="G36" s="321">
        <f>F31/G33</f>
        <v>18000000</v>
      </c>
    </row>
    <row r="37" spans="1:7" x14ac:dyDescent="0.45">
      <c r="A37" s="322"/>
      <c r="B37" s="322"/>
      <c r="C37" s="322"/>
      <c r="D37" s="322"/>
      <c r="E37" s="322"/>
      <c r="F37" s="322"/>
      <c r="G37" s="322"/>
    </row>
  </sheetData>
  <mergeCells count="12">
    <mergeCell ref="A33:B33"/>
    <mergeCell ref="A1:E1"/>
    <mergeCell ref="C4:E4"/>
    <mergeCell ref="A2:D2"/>
    <mergeCell ref="G2:I2"/>
    <mergeCell ref="A31:A32"/>
    <mergeCell ref="B31:B32"/>
    <mergeCell ref="E31:E32"/>
    <mergeCell ref="F31:F32"/>
    <mergeCell ref="G31:G32"/>
    <mergeCell ref="C31:C32"/>
    <mergeCell ref="D31:D32"/>
  </mergeCells>
  <phoneticPr fontId="2"/>
  <dataValidations count="1">
    <dataValidation type="list" allowBlank="1" showInputMessage="1" showErrorMessage="1" sqref="C7" xr:uid="{DE90C65D-C4D0-42FE-AF2C-8CB09F77C1B0}">
      <formula1>$P$36:$P$44</formula1>
    </dataValidation>
  </dataValidations>
  <pageMargins left="0.7" right="0.7" top="0.75" bottom="0.75" header="0.3" footer="0.3"/>
  <pageSetup paperSize="8" scale="9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2045-E753-404A-9435-D06C27ECC293}">
  <sheetPr codeName="Sheet10">
    <pageSetUpPr fitToPage="1"/>
  </sheetPr>
  <dimension ref="A1:R29"/>
  <sheetViews>
    <sheetView view="pageBreakPreview" zoomScale="80" zoomScaleNormal="100" zoomScaleSheetLayoutView="80" workbookViewId="0">
      <selection activeCell="B9" sqref="B9"/>
    </sheetView>
  </sheetViews>
  <sheetFormatPr defaultColWidth="8.69921875" defaultRowHeight="18" x14ac:dyDescent="0.45"/>
  <cols>
    <col min="1" max="1" width="31.5" style="380" bestFit="1" customWidth="1"/>
    <col min="2" max="2" width="16.19921875" style="380" customWidth="1"/>
    <col min="3" max="3" width="12.59765625" style="380" customWidth="1"/>
    <col min="4" max="4" width="29.59765625" style="380" bestFit="1" customWidth="1"/>
    <col min="5" max="5" width="16.796875" style="380" customWidth="1"/>
    <col min="6" max="7" width="8.69921875" style="380"/>
    <col min="8" max="8" width="14.19921875" style="380" bestFit="1" customWidth="1"/>
    <col min="9" max="9" width="14.8984375" style="380" bestFit="1" customWidth="1"/>
    <col min="10" max="10" width="11.19921875" style="380" bestFit="1" customWidth="1"/>
    <col min="11" max="11" width="8.69921875" style="380"/>
    <col min="12" max="12" width="10.19921875" style="380" bestFit="1" customWidth="1"/>
    <col min="13" max="16384" width="8.69921875" style="380"/>
  </cols>
  <sheetData>
    <row r="1" spans="1:18" ht="18.600000000000001" thickBot="1" x14ac:dyDescent="0.5">
      <c r="A1" s="673" t="s">
        <v>327</v>
      </c>
      <c r="B1" s="674"/>
      <c r="D1" s="673" t="s">
        <v>436</v>
      </c>
      <c r="E1" s="674"/>
    </row>
    <row r="2" spans="1:18" ht="18.600000000000001" thickBot="1" x14ac:dyDescent="0.5">
      <c r="A2" s="381" t="s">
        <v>328</v>
      </c>
      <c r="B2" s="382">
        <f>⑦原価詳細!F31</f>
        <v>450000000</v>
      </c>
      <c r="C2" s="383"/>
      <c r="D2" s="381" t="s">
        <v>328</v>
      </c>
      <c r="E2" s="382">
        <f>スタート!C6*1000000</f>
        <v>355000000</v>
      </c>
      <c r="H2" s="380" t="s">
        <v>329</v>
      </c>
      <c r="I2" s="380" t="s">
        <v>330</v>
      </c>
      <c r="J2" s="380" t="s">
        <v>331</v>
      </c>
      <c r="K2" s="380" t="s">
        <v>332</v>
      </c>
      <c r="L2" s="380" t="s">
        <v>333</v>
      </c>
      <c r="N2" s="380" t="s">
        <v>329</v>
      </c>
      <c r="O2" s="380" t="s">
        <v>330</v>
      </c>
      <c r="P2" s="380" t="s">
        <v>331</v>
      </c>
      <c r="Q2" s="380" t="s">
        <v>332</v>
      </c>
      <c r="R2" s="380" t="s">
        <v>333</v>
      </c>
    </row>
    <row r="3" spans="1:18" ht="18.600000000000001" thickBot="1" x14ac:dyDescent="0.5">
      <c r="A3" s="381" t="s">
        <v>334</v>
      </c>
      <c r="B3" s="382">
        <f>'⑥製造（経費)'!I2*1000000</f>
        <v>273599999.99999994</v>
      </c>
      <c r="C3" s="383"/>
      <c r="D3" s="381" t="s">
        <v>334</v>
      </c>
      <c r="E3" s="382">
        <f>スタート!G102*1000000</f>
        <v>224900000</v>
      </c>
      <c r="H3" s="380">
        <v>0</v>
      </c>
      <c r="I3" s="384">
        <f>B4</f>
        <v>130400000</v>
      </c>
      <c r="J3" s="385">
        <f>H3-I3</f>
        <v>-130400000</v>
      </c>
      <c r="K3" s="380" t="e">
        <f>IF(J3&gt;0, J3, NA())</f>
        <v>#N/A</v>
      </c>
      <c r="L3" s="380">
        <f>IF(J3&lt;0, J3, NA())</f>
        <v>-130400000</v>
      </c>
      <c r="N3" s="380">
        <v>0</v>
      </c>
      <c r="O3" s="384">
        <f>E4</f>
        <v>103800000</v>
      </c>
      <c r="P3" s="385">
        <f>N3-O3</f>
        <v>-103800000</v>
      </c>
      <c r="Q3" s="380" t="e">
        <f>IF(P3&gt;0, P3, NA())</f>
        <v>#N/A</v>
      </c>
      <c r="R3" s="380">
        <f>IF(P3&lt;0, P3, NA())</f>
        <v>-103800000</v>
      </c>
    </row>
    <row r="4" spans="1:18" ht="18.600000000000001" thickBot="1" x14ac:dyDescent="0.5">
      <c r="A4" s="381" t="s">
        <v>335</v>
      </c>
      <c r="B4" s="382">
        <f>④経費!I2*1000000</f>
        <v>130400000</v>
      </c>
      <c r="C4" s="383"/>
      <c r="D4" s="381" t="s">
        <v>335</v>
      </c>
      <c r="E4" s="382">
        <f>スタート!G103*1000000</f>
        <v>103800000</v>
      </c>
      <c r="H4" s="380">
        <f>B2/6</f>
        <v>75000000</v>
      </c>
      <c r="I4" s="384">
        <f>(B4+(B3/B2)*H4)</f>
        <v>176000000</v>
      </c>
      <c r="J4" s="385">
        <f t="shared" ref="J4:J9" si="0">H4-I4</f>
        <v>-101000000</v>
      </c>
      <c r="K4" s="380" t="e">
        <f t="shared" ref="K4:K9" si="1">IF(J4&gt;0, J4, NA())</f>
        <v>#N/A</v>
      </c>
      <c r="L4" s="380">
        <f t="shared" ref="L4:L9" si="2">IF(J4&lt;0, J4, NA())</f>
        <v>-101000000</v>
      </c>
      <c r="N4" s="380">
        <f>E2/6</f>
        <v>59166666.666666664</v>
      </c>
      <c r="O4" s="384">
        <f>(E4+(E3/E2)*N4)</f>
        <v>141283333.33333331</v>
      </c>
      <c r="P4" s="385">
        <f t="shared" ref="P4:P9" si="3">N4-O4</f>
        <v>-82116666.666666657</v>
      </c>
      <c r="Q4" s="380" t="e">
        <f t="shared" ref="Q4:Q9" si="4">IF(P4&gt;0, P4, NA())</f>
        <v>#N/A</v>
      </c>
      <c r="R4" s="380">
        <f t="shared" ref="R4:R9" si="5">IF(P4&lt;0, P4, NA())</f>
        <v>-82116666.666666657</v>
      </c>
    </row>
    <row r="5" spans="1:18" x14ac:dyDescent="0.45">
      <c r="A5" s="386" t="s">
        <v>336</v>
      </c>
      <c r="B5" s="387">
        <f>B3/B2</f>
        <v>0.60799999999999987</v>
      </c>
      <c r="C5" s="387"/>
      <c r="D5" s="386" t="s">
        <v>336</v>
      </c>
      <c r="E5" s="387">
        <f>E3/E2</f>
        <v>0.63352112676056338</v>
      </c>
      <c r="H5" s="380">
        <f>B2/3</f>
        <v>150000000</v>
      </c>
      <c r="I5" s="384">
        <f>(B4+(B3/B2)*H5)</f>
        <v>221600000</v>
      </c>
      <c r="J5" s="385">
        <f t="shared" si="0"/>
        <v>-71600000</v>
      </c>
      <c r="K5" s="380" t="e">
        <f t="shared" si="1"/>
        <v>#N/A</v>
      </c>
      <c r="L5" s="380">
        <f t="shared" si="2"/>
        <v>-71600000</v>
      </c>
      <c r="N5" s="380">
        <f>E2/3</f>
        <v>118333333.33333333</v>
      </c>
      <c r="O5" s="384">
        <f>(E4+(E3/E2)*N5)</f>
        <v>178766666.66666666</v>
      </c>
      <c r="P5" s="385">
        <f t="shared" si="3"/>
        <v>-60433333.333333328</v>
      </c>
      <c r="Q5" s="380" t="e">
        <f t="shared" si="4"/>
        <v>#N/A</v>
      </c>
      <c r="R5" s="380">
        <f t="shared" si="5"/>
        <v>-60433333.333333328</v>
      </c>
    </row>
    <row r="6" spans="1:18" ht="30" customHeight="1" x14ac:dyDescent="0.55000000000000004">
      <c r="A6" s="675" t="s">
        <v>337</v>
      </c>
      <c r="B6" s="676">
        <f>B4/(1-B3/B2)</f>
        <v>332653061.22448969</v>
      </c>
      <c r="C6" s="388"/>
      <c r="D6" s="675" t="s">
        <v>337</v>
      </c>
      <c r="E6" s="677">
        <f>E4/(1-E3/E2)</f>
        <v>283235972.3289777</v>
      </c>
      <c r="H6" s="380">
        <f>B2/2</f>
        <v>225000000</v>
      </c>
      <c r="I6" s="384">
        <f>(B4+(B3/B2)*H6)</f>
        <v>267199999.99999997</v>
      </c>
      <c r="J6" s="385">
        <f t="shared" si="0"/>
        <v>-42199999.99999997</v>
      </c>
      <c r="K6" s="380" t="e">
        <f t="shared" si="1"/>
        <v>#N/A</v>
      </c>
      <c r="L6" s="380">
        <f t="shared" si="2"/>
        <v>-42199999.99999997</v>
      </c>
      <c r="N6" s="380">
        <f>E2/2</f>
        <v>177500000</v>
      </c>
      <c r="O6" s="384">
        <f>(E4+(E3/E2)*N6)</f>
        <v>216250000</v>
      </c>
      <c r="P6" s="385">
        <f t="shared" si="3"/>
        <v>-38750000</v>
      </c>
      <c r="Q6" s="380" t="e">
        <f t="shared" si="4"/>
        <v>#N/A</v>
      </c>
      <c r="R6" s="380">
        <f t="shared" si="5"/>
        <v>-38750000</v>
      </c>
    </row>
    <row r="7" spans="1:18" x14ac:dyDescent="0.45">
      <c r="H7" s="380">
        <f>2*B2/3</f>
        <v>300000000</v>
      </c>
      <c r="I7" s="384">
        <f>(B4+(B3/B2)*H7)</f>
        <v>312800000</v>
      </c>
      <c r="J7" s="385">
        <f t="shared" si="0"/>
        <v>-12800000</v>
      </c>
      <c r="K7" s="380" t="e">
        <f t="shared" si="1"/>
        <v>#N/A</v>
      </c>
      <c r="L7" s="380">
        <f t="shared" si="2"/>
        <v>-12800000</v>
      </c>
      <c r="N7" s="380">
        <f>2*E2/3</f>
        <v>236666666.66666666</v>
      </c>
      <c r="O7" s="384">
        <f>(E4+(E3/E2)*N7)</f>
        <v>253733333.33333331</v>
      </c>
      <c r="P7" s="385">
        <f t="shared" si="3"/>
        <v>-17066666.666666657</v>
      </c>
      <c r="Q7" s="380" t="e">
        <f t="shared" si="4"/>
        <v>#N/A</v>
      </c>
      <c r="R7" s="380">
        <f t="shared" si="5"/>
        <v>-17066666.666666657</v>
      </c>
    </row>
    <row r="8" spans="1:18" x14ac:dyDescent="0.45">
      <c r="H8" s="380">
        <f>5*B2/6</f>
        <v>375000000</v>
      </c>
      <c r="I8" s="384">
        <f>(B4+(B3/B2)*H8)</f>
        <v>358399999.99999994</v>
      </c>
      <c r="J8" s="385">
        <f t="shared" si="0"/>
        <v>16600000.00000006</v>
      </c>
      <c r="K8" s="380">
        <f t="shared" si="1"/>
        <v>16600000.00000006</v>
      </c>
      <c r="L8" s="380" t="e">
        <f t="shared" si="2"/>
        <v>#N/A</v>
      </c>
      <c r="N8" s="380">
        <f>5*E2/6</f>
        <v>295833333.33333331</v>
      </c>
      <c r="O8" s="384">
        <f>(E4+(E3/E2)*N8)</f>
        <v>291216666.66666663</v>
      </c>
      <c r="P8" s="385">
        <f t="shared" si="3"/>
        <v>4616666.6666666865</v>
      </c>
      <c r="Q8" s="380">
        <f t="shared" si="4"/>
        <v>4616666.6666666865</v>
      </c>
      <c r="R8" s="380" t="e">
        <f t="shared" si="5"/>
        <v>#N/A</v>
      </c>
    </row>
    <row r="9" spans="1:18" x14ac:dyDescent="0.45">
      <c r="H9" s="380">
        <f>B2</f>
        <v>450000000</v>
      </c>
      <c r="I9" s="384">
        <f>(B4+(B3/B2)*H9)</f>
        <v>403999999.99999994</v>
      </c>
      <c r="J9" s="385">
        <f t="shared" si="0"/>
        <v>46000000.00000006</v>
      </c>
      <c r="K9" s="380">
        <f t="shared" si="1"/>
        <v>46000000.00000006</v>
      </c>
      <c r="L9" s="380" t="e">
        <f t="shared" si="2"/>
        <v>#N/A</v>
      </c>
      <c r="N9" s="380">
        <f>E2</f>
        <v>355000000</v>
      </c>
      <c r="O9" s="384">
        <f>(E4+(E3/E2)*N9)</f>
        <v>328700000</v>
      </c>
      <c r="P9" s="385">
        <f t="shared" si="3"/>
        <v>26300000</v>
      </c>
      <c r="Q9" s="380">
        <f t="shared" si="4"/>
        <v>26300000</v>
      </c>
      <c r="R9" s="380" t="e">
        <f t="shared" si="5"/>
        <v>#N/A</v>
      </c>
    </row>
    <row r="10" spans="1:18" x14ac:dyDescent="0.45">
      <c r="H10" s="389"/>
      <c r="I10" s="384"/>
    </row>
    <row r="11" spans="1:18" x14ac:dyDescent="0.45">
      <c r="H11" s="389"/>
    </row>
    <row r="12" spans="1:18" x14ac:dyDescent="0.45">
      <c r="H12" s="389"/>
    </row>
    <row r="13" spans="1:18" x14ac:dyDescent="0.45">
      <c r="H13" s="389"/>
    </row>
    <row r="25" spans="1:9" x14ac:dyDescent="0.45">
      <c r="I25"/>
    </row>
    <row r="29" spans="1:9" x14ac:dyDescent="0.45">
      <c r="A29" t="s">
        <v>3</v>
      </c>
    </row>
  </sheetData>
  <phoneticPr fontId="2"/>
  <pageMargins left="0.7" right="0.7" top="0.75" bottom="0.75" header="0.3" footer="0.3"/>
  <pageSetup paperSize="8" scale="73"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47D3-A037-408C-8AC3-9767AF9CB5C7}">
  <sheetPr codeName="Sheet11">
    <pageSetUpPr fitToPage="1"/>
  </sheetPr>
  <dimension ref="B1:S65"/>
  <sheetViews>
    <sheetView view="pageBreakPreview" topLeftCell="A4" zoomScale="60" zoomScaleNormal="90" workbookViewId="0">
      <selection activeCell="C19" sqref="C19"/>
    </sheetView>
  </sheetViews>
  <sheetFormatPr defaultRowHeight="18" x14ac:dyDescent="0.45"/>
  <cols>
    <col min="1" max="1" width="4.5" customWidth="1"/>
    <col min="2" max="2" width="13.09765625" customWidth="1"/>
    <col min="3" max="3" width="15.19921875" customWidth="1"/>
    <col min="4" max="4" width="16.3984375" customWidth="1"/>
    <col min="5" max="5" width="4.5" customWidth="1"/>
    <col min="6" max="6" width="15.19921875" customWidth="1"/>
    <col min="8" max="8" width="15.19921875" customWidth="1"/>
    <col min="9" max="10" width="2.19921875" customWidth="1"/>
    <col min="11" max="11" width="16.19921875" customWidth="1"/>
    <col min="12" max="13" width="10.8984375" customWidth="1"/>
    <col min="14" max="14" width="1.3984375" customWidth="1"/>
    <col min="15" max="15" width="1.69921875" hidden="1" customWidth="1"/>
    <col min="16" max="16" width="12.5" customWidth="1"/>
    <col min="17" max="18" width="11.09765625" customWidth="1"/>
  </cols>
  <sheetData>
    <row r="1" spans="2:19" ht="18.600000000000001" thickBot="1" x14ac:dyDescent="0.5">
      <c r="B1" s="547" t="str">
        <f>スタート!C1</f>
        <v>ひながた</v>
      </c>
      <c r="C1" s="548"/>
      <c r="D1" s="548"/>
      <c r="E1" s="548"/>
      <c r="F1" s="548"/>
      <c r="G1" s="548"/>
      <c r="H1" s="549"/>
    </row>
    <row r="2" spans="2:19" ht="38.4" customHeight="1" thickBot="1" x14ac:dyDescent="0.5">
      <c r="B2" s="216">
        <f>スタート!G1</f>
        <v>4</v>
      </c>
      <c r="C2" s="165" t="s">
        <v>338</v>
      </c>
      <c r="D2" s="378">
        <v>45536</v>
      </c>
      <c r="E2" s="166" t="s">
        <v>339</v>
      </c>
      <c r="F2" s="379"/>
      <c r="G2" s="379"/>
      <c r="H2" s="379"/>
      <c r="K2" s="200" t="s">
        <v>340</v>
      </c>
      <c r="L2" s="217">
        <f>C6/C5</f>
        <v>1.267605633802817</v>
      </c>
      <c r="S2" t="s">
        <v>3</v>
      </c>
    </row>
    <row r="3" spans="2:19" ht="31.95" customHeight="1" thickTop="1" thickBot="1" x14ac:dyDescent="0.5">
      <c r="B3" s="184" t="s">
        <v>341</v>
      </c>
      <c r="C3" s="550">
        <f>'②⑧MQ（未来）'!B3*1000</f>
        <v>450000</v>
      </c>
      <c r="D3" s="551"/>
      <c r="F3" s="552" t="s">
        <v>342</v>
      </c>
      <c r="G3" s="553"/>
      <c r="H3" s="554"/>
      <c r="K3" s="552" t="s">
        <v>434</v>
      </c>
      <c r="L3" s="553"/>
      <c r="M3" s="553"/>
      <c r="N3" s="553"/>
      <c r="O3" s="553"/>
      <c r="P3" s="553"/>
      <c r="Q3" s="553"/>
      <c r="R3" s="554"/>
    </row>
    <row r="4" spans="2:19" ht="24" customHeight="1" x14ac:dyDescent="0.25">
      <c r="B4" s="220"/>
      <c r="C4" s="221" t="s">
        <v>343</v>
      </c>
      <c r="D4" s="222" t="s">
        <v>344</v>
      </c>
      <c r="F4" s="147" t="s">
        <v>266</v>
      </c>
      <c r="G4" s="167" t="s">
        <v>226</v>
      </c>
      <c r="H4" s="219"/>
      <c r="K4" s="161" t="s">
        <v>266</v>
      </c>
      <c r="L4" s="218" t="s">
        <v>226</v>
      </c>
      <c r="M4" s="162" t="s">
        <v>226</v>
      </c>
      <c r="N4" s="163"/>
      <c r="P4" s="142" t="s">
        <v>264</v>
      </c>
      <c r="Q4" s="164" t="s">
        <v>226</v>
      </c>
      <c r="R4" s="198" t="s">
        <v>226</v>
      </c>
    </row>
    <row r="5" spans="2:19" ht="24" customHeight="1" x14ac:dyDescent="0.25">
      <c r="B5" s="179" t="s">
        <v>345</v>
      </c>
      <c r="C5" s="189">
        <f>'MQ（現状）'!B3</f>
        <v>355</v>
      </c>
      <c r="D5" s="660"/>
      <c r="F5" s="209" t="s">
        <v>267</v>
      </c>
      <c r="G5" s="207" t="s">
        <v>346</v>
      </c>
      <c r="H5" s="210" t="s">
        <v>344</v>
      </c>
      <c r="K5" s="206" t="s">
        <v>267</v>
      </c>
      <c r="L5" s="207" t="s">
        <v>346</v>
      </c>
      <c r="M5" s="208" t="s">
        <v>344</v>
      </c>
      <c r="N5" s="163"/>
      <c r="P5" s="203" t="s">
        <v>267</v>
      </c>
      <c r="Q5" s="204" t="s">
        <v>347</v>
      </c>
      <c r="R5" s="205" t="s">
        <v>344</v>
      </c>
    </row>
    <row r="6" spans="2:19" ht="24" customHeight="1" x14ac:dyDescent="0.25">
      <c r="B6" s="180" t="s">
        <v>348</v>
      </c>
      <c r="C6" s="189">
        <f>'②⑧MQ（未来）'!B3</f>
        <v>450</v>
      </c>
      <c r="D6" s="225"/>
      <c r="F6" s="181" t="str">
        <f>④経費!K5</f>
        <v>事業戦略費</v>
      </c>
      <c r="G6" s="186">
        <f>④経費!L5</f>
        <v>0</v>
      </c>
      <c r="H6" s="230"/>
      <c r="K6" s="157" t="str">
        <f>'⑥製造（経費)'!K5</f>
        <v>期首商品棚卸高</v>
      </c>
      <c r="L6" s="158">
        <f>'⑥製造（経費)'!L5</f>
        <v>0</v>
      </c>
      <c r="M6" s="240"/>
      <c r="N6" s="163"/>
      <c r="P6" s="156" t="str">
        <f>'⑥製造（経費)'!B5</f>
        <v>電力費</v>
      </c>
      <c r="Q6" s="160">
        <f>'⑥製造（経費)'!C5</f>
        <v>0</v>
      </c>
      <c r="R6" s="240"/>
    </row>
    <row r="7" spans="2:19" ht="24" customHeight="1" x14ac:dyDescent="0.25">
      <c r="B7" s="179" t="s">
        <v>349</v>
      </c>
      <c r="C7" s="189">
        <f>'②⑧MQ（未来）'!F13</f>
        <v>176.40000000000003</v>
      </c>
      <c r="D7" s="226"/>
      <c r="F7" s="181" t="str">
        <f>④経費!K6</f>
        <v>社長戦略費Ａ</v>
      </c>
      <c r="G7" s="186">
        <f>④経費!L6</f>
        <v>0</v>
      </c>
      <c r="H7" s="230"/>
      <c r="K7" s="157" t="str">
        <f>'⑥製造（経費)'!K6</f>
        <v>期首製品棚卸高</v>
      </c>
      <c r="L7" s="158">
        <f>'⑥製造（経費)'!L6</f>
        <v>0.2</v>
      </c>
      <c r="M7" s="241"/>
      <c r="N7" s="169"/>
      <c r="P7" s="156" t="str">
        <f>'⑥製造（経費)'!B6</f>
        <v>動力費</v>
      </c>
      <c r="Q7" s="160">
        <f>'⑥製造（経費)'!C6</f>
        <v>0</v>
      </c>
      <c r="R7" s="240"/>
    </row>
    <row r="8" spans="2:19" ht="24" customHeight="1" x14ac:dyDescent="0.25">
      <c r="B8" s="179" t="s">
        <v>350</v>
      </c>
      <c r="C8" s="190">
        <f>IFERROR('②⑧MQ（未来）'!G16,"")</f>
        <v>0.39200000000000007</v>
      </c>
      <c r="D8" s="226"/>
      <c r="F8" s="181" t="str">
        <f>④経費!K7</f>
        <v>社長戦略費Ｂ</v>
      </c>
      <c r="G8" s="186">
        <f>④経費!L7</f>
        <v>0</v>
      </c>
      <c r="H8" s="230"/>
      <c r="K8" s="157" t="str">
        <f>'⑥製造（経費)'!K7</f>
        <v>商品仕入高</v>
      </c>
      <c r="L8" s="158">
        <f>'⑥製造（経費)'!L7</f>
        <v>0</v>
      </c>
      <c r="M8" s="241"/>
      <c r="N8" s="169"/>
      <c r="P8" s="156" t="str">
        <f>'⑥製造（経費)'!B7</f>
        <v>ガス光熱費</v>
      </c>
      <c r="Q8" s="160">
        <f>'⑥製造（経費)'!C7</f>
        <v>0</v>
      </c>
      <c r="R8" s="241"/>
    </row>
    <row r="9" spans="2:19" ht="24" customHeight="1" x14ac:dyDescent="0.65">
      <c r="B9" s="179" t="s">
        <v>430</v>
      </c>
      <c r="C9" s="189">
        <f>L21+L35+L46+Q44</f>
        <v>273.59999999999997</v>
      </c>
      <c r="D9" s="226"/>
      <c r="F9" s="181" t="str">
        <f>④経費!K8</f>
        <v>開拓手数料(外交員)</v>
      </c>
      <c r="G9" s="186">
        <f>④経費!L8</f>
        <v>0</v>
      </c>
      <c r="H9" s="231"/>
      <c r="K9" s="157" t="str">
        <f>'⑥製造（経費)'!K8</f>
        <v>製品仕入高</v>
      </c>
      <c r="L9" s="158">
        <f>'⑥製造（経費)'!L8</f>
        <v>0</v>
      </c>
      <c r="M9" s="241"/>
      <c r="N9" s="169"/>
      <c r="P9" s="156" t="str">
        <f>'⑥製造（経費)'!B8</f>
        <v>燃料費</v>
      </c>
      <c r="Q9" s="160">
        <f>'⑥製造（経費)'!C8</f>
        <v>0</v>
      </c>
      <c r="R9" s="242"/>
    </row>
    <row r="10" spans="2:19" ht="24" customHeight="1" x14ac:dyDescent="0.25">
      <c r="B10" s="179" t="s">
        <v>431</v>
      </c>
      <c r="C10" s="189">
        <f>C11+C12</f>
        <v>130.4</v>
      </c>
      <c r="D10" s="226"/>
      <c r="F10" s="181" t="str">
        <f>④経費!K9</f>
        <v>消耗資材費</v>
      </c>
      <c r="G10" s="186">
        <f>④経費!L9</f>
        <v>4</v>
      </c>
      <c r="H10" s="231"/>
      <c r="K10" s="157" t="str">
        <f>'⑥製造（経費)'!K9</f>
        <v>期末商品棚卸高</v>
      </c>
      <c r="L10" s="158">
        <f>'⑥製造（経費)'!L9</f>
        <v>0</v>
      </c>
      <c r="M10" s="241"/>
      <c r="N10" s="169"/>
      <c r="P10" s="156" t="str">
        <f>'⑥製造（経費)'!B9</f>
        <v>上水道費</v>
      </c>
      <c r="Q10" s="160">
        <f>'⑥製造（経費)'!C9</f>
        <v>0</v>
      </c>
      <c r="R10" s="240"/>
    </row>
    <row r="11" spans="2:19" ht="24" customHeight="1" x14ac:dyDescent="0.25">
      <c r="B11" s="179" t="s">
        <v>432</v>
      </c>
      <c r="C11" s="191">
        <f>C61+G39+G17</f>
        <v>124.4</v>
      </c>
      <c r="D11" s="227"/>
      <c r="F11" s="181" t="str">
        <f>④経費!K10</f>
        <v>ロイヤリティー</v>
      </c>
      <c r="G11" s="186">
        <f>④経費!L10</f>
        <v>0</v>
      </c>
      <c r="H11" s="231"/>
      <c r="K11" s="157" t="str">
        <f>'⑥製造（経費)'!K10</f>
        <v>期末製品棚卸高</v>
      </c>
      <c r="L11" s="158">
        <f>'⑥製造（経費)'!L10</f>
        <v>-5</v>
      </c>
      <c r="M11" s="241"/>
      <c r="N11" s="169"/>
      <c r="P11" s="156" t="str">
        <f>'⑥製造（経費)'!B10</f>
        <v>下水道費</v>
      </c>
      <c r="Q11" s="160">
        <f>'⑥製造（経費)'!C10</f>
        <v>0</v>
      </c>
      <c r="R11" s="240"/>
    </row>
    <row r="12" spans="2:19" ht="24" customHeight="1" x14ac:dyDescent="0.25">
      <c r="B12" s="179" t="s">
        <v>433</v>
      </c>
      <c r="C12" s="189">
        <f>G50</f>
        <v>6</v>
      </c>
      <c r="D12" s="228"/>
      <c r="F12" s="181" t="str">
        <f>④経費!K11</f>
        <v>外注加工費</v>
      </c>
      <c r="G12" s="186">
        <f>④経費!L11</f>
        <v>0</v>
      </c>
      <c r="H12" s="231"/>
      <c r="K12" s="157" t="str">
        <f>'⑥製造（経費)'!K11</f>
        <v>期首原材料棚卸高</v>
      </c>
      <c r="L12" s="158">
        <f>'⑥製造（経費)'!L11</f>
        <v>0</v>
      </c>
      <c r="M12" s="240"/>
      <c r="N12" s="163"/>
      <c r="P12" s="156" t="str">
        <f>'⑥製造（経費)'!B11</f>
        <v>車輌費</v>
      </c>
      <c r="Q12" s="160">
        <f>'⑥製造（経費)'!C11</f>
        <v>6.9</v>
      </c>
      <c r="R12" s="241"/>
    </row>
    <row r="13" spans="2:19" ht="24" customHeight="1" x14ac:dyDescent="0.65">
      <c r="B13" s="179" t="s">
        <v>351</v>
      </c>
      <c r="C13" s="189">
        <f>C6-C9-C10</f>
        <v>46.000000000000028</v>
      </c>
      <c r="D13" s="226"/>
      <c r="F13" s="181" t="str">
        <f>④経費!K12</f>
        <v>運賃荷造費</v>
      </c>
      <c r="G13" s="186">
        <f>④経費!L12</f>
        <v>0</v>
      </c>
      <c r="H13" s="231"/>
      <c r="K13" s="157" t="str">
        <f>'⑥製造（経費)'!K12</f>
        <v>原材料仕入高１</v>
      </c>
      <c r="L13" s="158">
        <f>'⑥製造（経費)'!L12</f>
        <v>58</v>
      </c>
      <c r="M13" s="240"/>
      <c r="N13" s="163"/>
      <c r="P13" s="156" t="str">
        <f>'⑥製造（経費)'!B12</f>
        <v>家賃地代</v>
      </c>
      <c r="Q13" s="160">
        <f>'⑥製造（経費)'!C12</f>
        <v>2</v>
      </c>
      <c r="R13" s="242"/>
    </row>
    <row r="14" spans="2:19" ht="24" customHeight="1" x14ac:dyDescent="0.25">
      <c r="B14" s="179" t="s">
        <v>352</v>
      </c>
      <c r="C14" s="189">
        <f>①利益!B4</f>
        <v>10</v>
      </c>
      <c r="D14" s="229"/>
      <c r="F14" s="181" t="str">
        <f>④経費!K13</f>
        <v>予備</v>
      </c>
      <c r="G14" s="186">
        <f>④経費!L13</f>
        <v>0</v>
      </c>
      <c r="H14" s="231"/>
      <c r="K14" s="157" t="str">
        <f>'⑥製造（経費)'!K13</f>
        <v>原材料仕入高２</v>
      </c>
      <c r="L14" s="158">
        <f>'⑥製造（経費)'!L13</f>
        <v>0</v>
      </c>
      <c r="M14" s="241"/>
      <c r="N14" s="169"/>
      <c r="P14" s="156" t="str">
        <f>'⑥製造（経費)'!B13</f>
        <v>賃貸料</v>
      </c>
      <c r="Q14" s="160">
        <f>'⑥製造（経費)'!C13</f>
        <v>0</v>
      </c>
      <c r="R14" s="241"/>
    </row>
    <row r="15" spans="2:19" ht="24" customHeight="1" x14ac:dyDescent="0.25">
      <c r="B15" s="179" t="s">
        <v>353</v>
      </c>
      <c r="C15" s="189">
        <f>①利益!B5</f>
        <v>0</v>
      </c>
      <c r="D15" s="226"/>
      <c r="F15" s="181" t="str">
        <f>④経費!K14</f>
        <v>予備</v>
      </c>
      <c r="G15" s="186">
        <f>④経費!L14</f>
        <v>0</v>
      </c>
      <c r="H15" s="230"/>
      <c r="K15" s="157" t="str">
        <f>'⑥製造（経費)'!K14</f>
        <v>原材料仕入高３</v>
      </c>
      <c r="L15" s="158">
        <f>'⑥製造（経費)'!L14</f>
        <v>0</v>
      </c>
      <c r="M15" s="241"/>
      <c r="N15" s="169"/>
      <c r="P15" s="156" t="str">
        <f>'⑥製造（経費)'!B14</f>
        <v>研究開発費</v>
      </c>
      <c r="Q15" s="160">
        <f>'⑥製造（経費)'!C14</f>
        <v>0</v>
      </c>
      <c r="R15" s="241"/>
    </row>
    <row r="16" spans="2:19" ht="24" customHeight="1" x14ac:dyDescent="0.25">
      <c r="B16" s="179" t="s">
        <v>354</v>
      </c>
      <c r="C16" s="189">
        <f>C13+C14-C15</f>
        <v>56.000000000000028</v>
      </c>
      <c r="D16" s="226"/>
      <c r="F16" s="181" t="str">
        <f>④経費!K15</f>
        <v>予備</v>
      </c>
      <c r="G16" s="186">
        <f>④経費!L15</f>
        <v>0</v>
      </c>
      <c r="H16" s="232"/>
      <c r="K16" s="157" t="str">
        <f>'⑥製造（経費)'!K15</f>
        <v>仕掛品</v>
      </c>
      <c r="L16" s="158">
        <f>'⑥製造（経費)'!L15</f>
        <v>0</v>
      </c>
      <c r="M16" s="241"/>
      <c r="N16" s="169"/>
      <c r="P16" s="156" t="str">
        <f>'⑥製造（経費)'!B15</f>
        <v>調査研究費</v>
      </c>
      <c r="Q16" s="160">
        <f>'⑥製造（経費)'!C15</f>
        <v>0</v>
      </c>
      <c r="R16" s="240"/>
    </row>
    <row r="17" spans="2:18" ht="24" customHeight="1" thickBot="1" x14ac:dyDescent="0.3">
      <c r="B17" s="179" t="s">
        <v>355</v>
      </c>
      <c r="C17" s="189">
        <f>①利益!I3</f>
        <v>10</v>
      </c>
      <c r="D17" s="226"/>
      <c r="F17" s="178" t="s">
        <v>256</v>
      </c>
      <c r="G17" s="146">
        <f>SUM(G6:G16)</f>
        <v>4</v>
      </c>
      <c r="H17" s="194">
        <f>SUM(H6:H16)</f>
        <v>0</v>
      </c>
      <c r="K17" s="157" t="str">
        <f>'⑥製造（経費)'!K16</f>
        <v>期末原材料棚卸高</v>
      </c>
      <c r="L17" s="158">
        <f>'⑥製造（経費)'!L16</f>
        <v>0</v>
      </c>
      <c r="M17" s="241"/>
      <c r="N17" s="169"/>
      <c r="P17" s="156" t="str">
        <f>'⑥製造（経費)'!B16</f>
        <v>租税公課</v>
      </c>
      <c r="Q17" s="160">
        <f>'⑥製造（経費)'!C16</f>
        <v>0</v>
      </c>
      <c r="R17" s="240"/>
    </row>
    <row r="18" spans="2:18" ht="24" customHeight="1" thickBot="1" x14ac:dyDescent="0.3">
      <c r="B18" s="179" t="s">
        <v>356</v>
      </c>
      <c r="C18" s="189">
        <f>①利益!I4</f>
        <v>0</v>
      </c>
      <c r="D18" s="226"/>
      <c r="F18" s="552" t="s">
        <v>435</v>
      </c>
      <c r="G18" s="553"/>
      <c r="H18" s="554"/>
      <c r="K18" s="157" t="str">
        <f>'⑥製造（経費)'!K17</f>
        <v>在庫</v>
      </c>
      <c r="L18" s="158">
        <f>'⑥製造（経費)'!L17</f>
        <v>0</v>
      </c>
      <c r="M18" s="241"/>
      <c r="N18" s="170"/>
      <c r="P18" s="156" t="str">
        <f>'⑥製造（経費)'!B17</f>
        <v>接待交際費</v>
      </c>
      <c r="Q18" s="160">
        <f>'⑥製造（経費)'!C17</f>
        <v>0</v>
      </c>
      <c r="R18" s="240"/>
    </row>
    <row r="19" spans="2:18" ht="24" customHeight="1" x14ac:dyDescent="0.25">
      <c r="B19" s="179" t="s">
        <v>357</v>
      </c>
      <c r="C19" s="189">
        <f>C16+C17-C18</f>
        <v>66.000000000000028</v>
      </c>
      <c r="D19" s="224"/>
      <c r="F19" s="209" t="s">
        <v>267</v>
      </c>
      <c r="G19" s="207" t="s">
        <v>347</v>
      </c>
      <c r="H19" s="207" t="s">
        <v>358</v>
      </c>
      <c r="K19" s="157" t="str">
        <f>'⑥製造（経費)'!K18</f>
        <v>外注</v>
      </c>
      <c r="L19" s="158">
        <f>'⑥製造（経費)'!L18</f>
        <v>140</v>
      </c>
      <c r="M19" s="241"/>
      <c r="N19" s="171"/>
      <c r="P19" s="156" t="str">
        <f>'⑥製造（経費)'!B18</f>
        <v>支払手数料</v>
      </c>
      <c r="Q19" s="160">
        <f>'⑥製造（経費)'!C18</f>
        <v>0</v>
      </c>
      <c r="R19" s="240"/>
    </row>
    <row r="20" spans="2:18" ht="24" customHeight="1" thickBot="1" x14ac:dyDescent="0.3">
      <c r="B20" s="185" t="s">
        <v>359</v>
      </c>
      <c r="C20" s="192">
        <f>C19</f>
        <v>66.000000000000028</v>
      </c>
      <c r="D20" s="192">
        <f>D19</f>
        <v>0</v>
      </c>
      <c r="F20" s="181" t="str">
        <f>④経費!H5</f>
        <v>社員給料</v>
      </c>
      <c r="G20" s="188">
        <f>④経費!I5</f>
        <v>32.700000000000003</v>
      </c>
      <c r="H20" s="236"/>
      <c r="K20" s="157" t="str">
        <f>'⑥製造（経費)'!K19</f>
        <v>外注加工費</v>
      </c>
      <c r="L20" s="158">
        <f>'⑥製造（経費)'!L19</f>
        <v>0</v>
      </c>
      <c r="M20" s="241"/>
      <c r="N20" s="172"/>
      <c r="P20" s="156" t="str">
        <f>'⑥製造（経費)'!B19</f>
        <v>顧問料</v>
      </c>
      <c r="Q20" s="160">
        <f>'⑥製造（経費)'!C19</f>
        <v>0</v>
      </c>
      <c r="R20" s="240"/>
    </row>
    <row r="21" spans="2:18" ht="24" customHeight="1" x14ac:dyDescent="0.25">
      <c r="B21" s="223" t="s">
        <v>264</v>
      </c>
      <c r="C21" s="177" t="s">
        <v>226</v>
      </c>
      <c r="D21" s="226"/>
      <c r="F21" s="181" t="str">
        <f>④経費!H6</f>
        <v>雑給料</v>
      </c>
      <c r="G21" s="188">
        <f>④経費!I6</f>
        <v>1</v>
      </c>
      <c r="H21" s="231"/>
      <c r="J21" s="671"/>
      <c r="K21" s="178" t="s">
        <v>256</v>
      </c>
      <c r="L21" s="146">
        <f>SUM(L6:L20)</f>
        <v>193.2</v>
      </c>
      <c r="M21" s="194">
        <f>SUM(M10:M20)</f>
        <v>0</v>
      </c>
      <c r="N21" s="172"/>
      <c r="P21" s="156" t="str">
        <f>'⑥製造（経費)'!B20</f>
        <v>リース料</v>
      </c>
      <c r="Q21" s="160">
        <f>'⑥製造（経費)'!C20</f>
        <v>0</v>
      </c>
      <c r="R21" s="241"/>
    </row>
    <row r="22" spans="2:18" ht="24" customHeight="1" x14ac:dyDescent="0.25">
      <c r="B22" s="144" t="s">
        <v>267</v>
      </c>
      <c r="C22" s="168" t="s">
        <v>343</v>
      </c>
      <c r="D22" s="233"/>
      <c r="F22" s="181" t="str">
        <f>④経費!H7</f>
        <v>派遣社員費</v>
      </c>
      <c r="G22" s="188">
        <f>④経費!I7</f>
        <v>0</v>
      </c>
      <c r="H22" s="231"/>
      <c r="K22" s="153" t="s">
        <v>265</v>
      </c>
      <c r="L22" s="201" t="s">
        <v>226</v>
      </c>
      <c r="M22" s="202" t="s">
        <v>226</v>
      </c>
      <c r="P22" s="156" t="str">
        <f>'⑥製造（経費)'!B21</f>
        <v>通信交通費</v>
      </c>
      <c r="Q22" s="160">
        <f>'⑥製造（経費)'!C21</f>
        <v>0</v>
      </c>
      <c r="R22" s="243"/>
    </row>
    <row r="23" spans="2:18" ht="24" customHeight="1" x14ac:dyDescent="0.25">
      <c r="B23" s="156" t="str">
        <f>④経費!B5</f>
        <v>電力費</v>
      </c>
      <c r="C23" s="187">
        <f>④経費!C5</f>
        <v>0</v>
      </c>
      <c r="D23" s="226"/>
      <c r="F23" s="181" t="str">
        <f>④経費!H8</f>
        <v>退職金</v>
      </c>
      <c r="G23" s="188">
        <f>④経費!I8</f>
        <v>0</v>
      </c>
      <c r="H23" s="231"/>
      <c r="K23" s="206" t="s">
        <v>267</v>
      </c>
      <c r="L23" s="207" t="s">
        <v>347</v>
      </c>
      <c r="M23" s="208" t="s">
        <v>231</v>
      </c>
      <c r="P23" s="156" t="str">
        <f>'⑥製造（経費)'!B22</f>
        <v>出張費</v>
      </c>
      <c r="Q23" s="160">
        <f>'⑥製造（経費)'!C22</f>
        <v>0</v>
      </c>
      <c r="R23" s="244"/>
    </row>
    <row r="24" spans="2:18" ht="24" customHeight="1" x14ac:dyDescent="0.25">
      <c r="B24" s="156" t="str">
        <f>④経費!B6</f>
        <v>動力費</v>
      </c>
      <c r="C24" s="187">
        <f>④経費!C6</f>
        <v>0</v>
      </c>
      <c r="D24" s="224"/>
      <c r="F24" s="181" t="str">
        <f>④経費!H9</f>
        <v>賞与</v>
      </c>
      <c r="G24" s="188">
        <f>④経費!I9</f>
        <v>4</v>
      </c>
      <c r="H24" s="231"/>
      <c r="K24" s="157" t="str">
        <f>'⑥製造（経費)'!H5</f>
        <v>社員給料</v>
      </c>
      <c r="L24" s="158">
        <f>'⑥製造（経費)'!I5</f>
        <v>35</v>
      </c>
      <c r="M24" s="239"/>
      <c r="P24" s="156" t="str">
        <f>'⑥製造（経費)'!B23</f>
        <v>消耗品費</v>
      </c>
      <c r="Q24" s="160">
        <f>'⑥製造（経費)'!C23</f>
        <v>0</v>
      </c>
      <c r="R24" s="240"/>
    </row>
    <row r="25" spans="2:18" ht="24" customHeight="1" x14ac:dyDescent="0.25">
      <c r="B25" s="156" t="str">
        <f>④経費!B7</f>
        <v>ガス光熱費</v>
      </c>
      <c r="C25" s="187">
        <f>④経費!C7</f>
        <v>0</v>
      </c>
      <c r="D25" s="226"/>
      <c r="F25" s="181" t="str">
        <f>④経費!H10</f>
        <v>通勤手当</v>
      </c>
      <c r="G25" s="188">
        <f>④経費!I10</f>
        <v>0</v>
      </c>
      <c r="H25" s="231"/>
      <c r="K25" s="157" t="str">
        <f>'⑥製造（経費)'!H6</f>
        <v>雑給料</v>
      </c>
      <c r="L25" s="158">
        <f>'⑥製造（経費)'!I6</f>
        <v>0</v>
      </c>
      <c r="M25" s="239"/>
      <c r="P25" s="156" t="str">
        <f>'⑥製造（経費)'!B24</f>
        <v>事務用品費</v>
      </c>
      <c r="Q25" s="160">
        <f>'⑥製造（経費)'!C24</f>
        <v>0</v>
      </c>
      <c r="R25" s="240"/>
    </row>
    <row r="26" spans="2:18" ht="24" customHeight="1" x14ac:dyDescent="0.25">
      <c r="B26" s="156" t="str">
        <f>④経費!B8</f>
        <v>燃料費</v>
      </c>
      <c r="C26" s="187">
        <f>④経費!C8</f>
        <v>0</v>
      </c>
      <c r="D26" s="224"/>
      <c r="F26" s="181" t="str">
        <f>④経費!H11</f>
        <v>役員報酬</v>
      </c>
      <c r="G26" s="188">
        <f>④経費!I11</f>
        <v>15</v>
      </c>
      <c r="H26" s="231"/>
      <c r="K26" s="157" t="str">
        <f>'⑥製造（経費)'!H7</f>
        <v>派遣社員費</v>
      </c>
      <c r="L26" s="158">
        <f>'⑥製造（経費)'!I7</f>
        <v>0</v>
      </c>
      <c r="M26" s="238"/>
      <c r="P26" s="156" t="str">
        <f>'⑥製造（経費)'!B25</f>
        <v>その他経費</v>
      </c>
      <c r="Q26" s="160">
        <f>'⑥製造（経費)'!C25</f>
        <v>3.5</v>
      </c>
      <c r="R26" s="240"/>
    </row>
    <row r="27" spans="2:18" ht="24" customHeight="1" x14ac:dyDescent="0.65">
      <c r="B27" s="156" t="str">
        <f>④経費!B9</f>
        <v>上水道費</v>
      </c>
      <c r="C27" s="187">
        <f>④経費!C9</f>
        <v>0</v>
      </c>
      <c r="D27" s="224"/>
      <c r="F27" s="181" t="str">
        <f>④経費!H12</f>
        <v>諸費用</v>
      </c>
      <c r="G27" s="188">
        <f>④経費!I12</f>
        <v>0</v>
      </c>
      <c r="H27" s="231"/>
      <c r="K27" s="157" t="str">
        <f>'⑥製造（経費)'!H8</f>
        <v>賞与</v>
      </c>
      <c r="L27" s="158">
        <f>'⑥製造（経費)'!I8</f>
        <v>4</v>
      </c>
      <c r="M27" s="238"/>
      <c r="P27" s="156" t="str">
        <f>'⑥製造（経費)'!B26</f>
        <v>雑費</v>
      </c>
      <c r="Q27" s="160">
        <f>'⑥製造（経費)'!C26</f>
        <v>4</v>
      </c>
      <c r="R27" s="245"/>
    </row>
    <row r="28" spans="2:18" ht="24" customHeight="1" x14ac:dyDescent="0.25">
      <c r="B28" s="156" t="str">
        <f>④経費!B10</f>
        <v>下水道費</v>
      </c>
      <c r="C28" s="187">
        <f>④経費!C10</f>
        <v>0</v>
      </c>
      <c r="D28" s="224"/>
      <c r="F28" s="181" t="str">
        <f>④経費!H13</f>
        <v>募集費</v>
      </c>
      <c r="G28" s="188">
        <f>④経費!I13</f>
        <v>0</v>
      </c>
      <c r="H28" s="231"/>
      <c r="K28" s="157" t="str">
        <f>'⑥製造（経費)'!H9</f>
        <v>福利厚生費</v>
      </c>
      <c r="L28" s="158">
        <f>'⑥製造（経費)'!I9</f>
        <v>6</v>
      </c>
      <c r="M28" s="238"/>
      <c r="P28" s="156" t="str">
        <f>'⑥製造（経費)'!B27</f>
        <v>装飾費</v>
      </c>
      <c r="Q28" s="160">
        <f>'⑥製造（経費)'!C27</f>
        <v>0</v>
      </c>
      <c r="R28" s="240"/>
    </row>
    <row r="29" spans="2:18" ht="24" customHeight="1" x14ac:dyDescent="0.25">
      <c r="B29" s="156" t="str">
        <f>④経費!B11</f>
        <v>車輌費</v>
      </c>
      <c r="C29" s="187">
        <f>④経費!C11</f>
        <v>2.5</v>
      </c>
      <c r="D29" s="224"/>
      <c r="F29" s="181" t="str">
        <f>④経費!H14</f>
        <v>教育研修</v>
      </c>
      <c r="G29" s="188">
        <f>④経費!I14</f>
        <v>0</v>
      </c>
      <c r="H29" s="231"/>
      <c r="K29" s="157" t="str">
        <f>'⑥製造（経費)'!H10</f>
        <v>法定福利費</v>
      </c>
      <c r="L29" s="158">
        <f>'⑥製造（経費)'!I10</f>
        <v>13</v>
      </c>
      <c r="M29" s="238"/>
      <c r="P29" s="156" t="str">
        <f>'⑥製造（経費)'!B28</f>
        <v>衛生費</v>
      </c>
      <c r="Q29" s="160">
        <f>'⑥製造（経費)'!C28</f>
        <v>0</v>
      </c>
      <c r="R29" s="240"/>
    </row>
    <row r="30" spans="2:18" ht="24" customHeight="1" x14ac:dyDescent="0.25">
      <c r="B30" s="156" t="str">
        <f>④経費!B12</f>
        <v>家賃地代</v>
      </c>
      <c r="C30" s="187">
        <f>④経費!C12</f>
        <v>8</v>
      </c>
      <c r="D30" s="234"/>
      <c r="F30" s="181" t="str">
        <f>④経費!H15</f>
        <v>研修費</v>
      </c>
      <c r="G30" s="188">
        <f>④経費!I15</f>
        <v>0</v>
      </c>
      <c r="H30" s="231"/>
      <c r="K30" s="157" t="str">
        <f>'⑥製造（経費)'!H11</f>
        <v>通勤手当</v>
      </c>
      <c r="L30" s="158">
        <f>'⑥製造（経費)'!I11</f>
        <v>0</v>
      </c>
      <c r="M30" s="238"/>
      <c r="P30" s="156" t="str">
        <f>'⑥製造（経費)'!B29</f>
        <v>運賃</v>
      </c>
      <c r="Q30" s="160">
        <f>'⑥製造（経費)'!C29</f>
        <v>0</v>
      </c>
      <c r="R30" s="240"/>
    </row>
    <row r="31" spans="2:18" ht="24" customHeight="1" x14ac:dyDescent="0.25">
      <c r="B31" s="156" t="str">
        <f>④経費!B13</f>
        <v>賃貸料</v>
      </c>
      <c r="C31" s="187">
        <f>④経費!C13</f>
        <v>4.3</v>
      </c>
      <c r="D31" s="226"/>
      <c r="F31" s="181" t="str">
        <f>④経費!H16</f>
        <v>会議費</v>
      </c>
      <c r="G31" s="188">
        <f>④経費!I16</f>
        <v>0</v>
      </c>
      <c r="H31" s="231"/>
      <c r="K31" s="157" t="str">
        <f>'⑥製造（経費)'!H12</f>
        <v>予備</v>
      </c>
      <c r="L31" s="158">
        <f>'⑥製造（経費)'!I12</f>
        <v>0</v>
      </c>
      <c r="M31" s="238"/>
      <c r="P31" s="156" t="str">
        <f>'⑥製造（経費)'!B30</f>
        <v>荷造包装費</v>
      </c>
      <c r="Q31" s="160">
        <f>'⑥製造（経費)'!C30</f>
        <v>0</v>
      </c>
      <c r="R31" s="240"/>
    </row>
    <row r="32" spans="2:18" ht="24" customHeight="1" x14ac:dyDescent="0.25">
      <c r="B32" s="156" t="str">
        <f>④経費!B14</f>
        <v>研究開発費</v>
      </c>
      <c r="C32" s="187">
        <f>④経費!C14</f>
        <v>0</v>
      </c>
      <c r="D32" s="235"/>
      <c r="F32" s="181" t="str">
        <f>④経費!H17</f>
        <v>福利厚生費</v>
      </c>
      <c r="G32" s="188">
        <f>④経費!I17</f>
        <v>6</v>
      </c>
      <c r="H32" s="231"/>
      <c r="K32" s="157" t="str">
        <f>'⑥製造（経費)'!H13</f>
        <v>予備</v>
      </c>
      <c r="L32" s="158">
        <f>'⑥製造（経費)'!I13</f>
        <v>0</v>
      </c>
      <c r="M32" s="238"/>
      <c r="P32" s="156" t="str">
        <f>'⑥製造（経費)'!B31</f>
        <v>水道光熱費</v>
      </c>
      <c r="Q32" s="160">
        <f>'⑥製造（経費)'!C31</f>
        <v>0</v>
      </c>
      <c r="R32" s="240"/>
    </row>
    <row r="33" spans="2:18" ht="24" customHeight="1" x14ac:dyDescent="0.25">
      <c r="B33" s="156" t="str">
        <f>④経費!B15</f>
        <v>調査研究費</v>
      </c>
      <c r="C33" s="187">
        <f>④経費!C15</f>
        <v>0</v>
      </c>
      <c r="D33" s="235"/>
      <c r="F33" s="181" t="str">
        <f>④経費!H18</f>
        <v>法定福利費</v>
      </c>
      <c r="G33" s="188">
        <f>④経費!I18</f>
        <v>12</v>
      </c>
      <c r="H33" s="231"/>
      <c r="K33" s="157" t="str">
        <f>'⑥製造（経費)'!H14</f>
        <v>予備</v>
      </c>
      <c r="L33" s="158">
        <f>'⑥製造（経費)'!I14</f>
        <v>0</v>
      </c>
      <c r="M33" s="238"/>
      <c r="P33" s="156" t="str">
        <f>'⑥製造（経費)'!B32</f>
        <v>旅費交通費</v>
      </c>
      <c r="Q33" s="160">
        <f>'⑥製造（経費)'!C32</f>
        <v>0</v>
      </c>
      <c r="R33" s="240"/>
    </row>
    <row r="34" spans="2:18" ht="24" customHeight="1" x14ac:dyDescent="0.25">
      <c r="B34" s="156" t="str">
        <f>④経費!B16</f>
        <v>租税公課</v>
      </c>
      <c r="C34" s="187">
        <f>④経費!C16</f>
        <v>2</v>
      </c>
      <c r="D34" s="235"/>
      <c r="F34" s="181" t="str">
        <f>④経費!H19</f>
        <v>予備</v>
      </c>
      <c r="G34" s="188">
        <f>④経費!I19</f>
        <v>0</v>
      </c>
      <c r="H34" s="231"/>
      <c r="K34" s="157" t="str">
        <f>'⑥製造（経費)'!H15</f>
        <v>その他</v>
      </c>
      <c r="L34" s="158">
        <f>'⑥製造（経費)'!I15</f>
        <v>0</v>
      </c>
      <c r="M34" s="238"/>
      <c r="P34" s="156" t="str">
        <f>'⑥製造（経費)'!B33</f>
        <v>諸会費</v>
      </c>
      <c r="Q34" s="160">
        <f>'⑥製造（経費)'!C33</f>
        <v>0</v>
      </c>
      <c r="R34" s="240"/>
    </row>
    <row r="35" spans="2:18" ht="24" customHeight="1" x14ac:dyDescent="0.25">
      <c r="B35" s="156" t="str">
        <f>④経費!B17</f>
        <v>接待交際費</v>
      </c>
      <c r="C35" s="187">
        <f>④経費!C17</f>
        <v>5</v>
      </c>
      <c r="D35" s="235"/>
      <c r="F35" s="181" t="str">
        <f>④経費!H20</f>
        <v>予備</v>
      </c>
      <c r="G35" s="188">
        <f>④経費!I20</f>
        <v>0</v>
      </c>
      <c r="H35" s="231"/>
      <c r="K35" s="152" t="s">
        <v>256</v>
      </c>
      <c r="L35" s="146">
        <f>SUM(L24:L34)</f>
        <v>58</v>
      </c>
      <c r="M35" s="196">
        <f>SUM(M24:M34)</f>
        <v>0</v>
      </c>
      <c r="P35" s="156" t="str">
        <f>'⑥製造（経費)'!B34</f>
        <v>管理諸費</v>
      </c>
      <c r="Q35" s="160">
        <f>'⑥製造（経費)'!C34</f>
        <v>0</v>
      </c>
      <c r="R35" s="240"/>
    </row>
    <row r="36" spans="2:18" ht="24" customHeight="1" x14ac:dyDescent="0.25">
      <c r="B36" s="156" t="str">
        <f>④経費!B18</f>
        <v>支払手数料</v>
      </c>
      <c r="C36" s="187">
        <f>④経費!C18</f>
        <v>5.6</v>
      </c>
      <c r="D36" s="235"/>
      <c r="F36" s="181" t="str">
        <f>④経費!H21</f>
        <v>予備</v>
      </c>
      <c r="G36" s="188">
        <f>④経費!I21</f>
        <v>0</v>
      </c>
      <c r="H36" s="230"/>
      <c r="K36" s="213" t="s">
        <v>63</v>
      </c>
      <c r="L36" s="214" t="s">
        <v>343</v>
      </c>
      <c r="M36" s="215" t="s">
        <v>226</v>
      </c>
      <c r="P36" s="156" t="str">
        <f>'⑥製造（経費)'!B35</f>
        <v>保守管理費</v>
      </c>
      <c r="Q36" s="160">
        <f>'⑥製造（経費)'!C35</f>
        <v>0</v>
      </c>
      <c r="R36" s="240"/>
    </row>
    <row r="37" spans="2:18" ht="24" customHeight="1" x14ac:dyDescent="0.25">
      <c r="B37" s="156" t="str">
        <f>④経費!B19</f>
        <v>顧問料</v>
      </c>
      <c r="C37" s="187">
        <f>④経費!C19</f>
        <v>0</v>
      </c>
      <c r="D37" s="235"/>
      <c r="F37" s="181" t="str">
        <f>④経費!H22</f>
        <v>予備</v>
      </c>
      <c r="G37" s="188">
        <f>④経費!I22</f>
        <v>0</v>
      </c>
      <c r="H37" s="237"/>
      <c r="K37" s="156" t="str">
        <f>'⑥製造（経費)'!E4</f>
        <v>販促企画費</v>
      </c>
      <c r="L37" s="160">
        <f>'⑥製造（経費)'!F4</f>
        <v>6</v>
      </c>
      <c r="M37" s="238"/>
      <c r="P37" s="156" t="str">
        <f>'⑥製造（経費)'!B36</f>
        <v>図書費</v>
      </c>
      <c r="Q37" s="160">
        <f>'⑥製造（経費)'!C36</f>
        <v>0</v>
      </c>
      <c r="R37" s="240"/>
    </row>
    <row r="38" spans="2:18" ht="24" customHeight="1" x14ac:dyDescent="0.25">
      <c r="B38" s="156" t="str">
        <f>④経費!B20</f>
        <v>リース料</v>
      </c>
      <c r="C38" s="187">
        <f>④経費!C20</f>
        <v>0</v>
      </c>
      <c r="D38" s="235"/>
      <c r="E38" s="661"/>
      <c r="F38" s="181" t="str">
        <f>④経費!H23</f>
        <v>予備</v>
      </c>
      <c r="G38" s="188">
        <f>④経費!I23</f>
        <v>0</v>
      </c>
      <c r="H38" s="230"/>
      <c r="K38" s="156" t="str">
        <f>'⑥製造（経費)'!E5</f>
        <v>消耗資材費</v>
      </c>
      <c r="L38" s="160">
        <f>'⑥製造（経費)'!F5</f>
        <v>0</v>
      </c>
      <c r="M38" s="238"/>
      <c r="P38" s="156" t="str">
        <f>'⑥製造（経費)'!B37</f>
        <v>修繕費</v>
      </c>
      <c r="Q38" s="160">
        <f>'⑥製造（経費)'!C37</f>
        <v>0</v>
      </c>
      <c r="R38" s="240"/>
    </row>
    <row r="39" spans="2:18" ht="24" customHeight="1" x14ac:dyDescent="0.25">
      <c r="B39" s="156" t="str">
        <f>④経費!B21</f>
        <v>通信交通費</v>
      </c>
      <c r="C39" s="187">
        <f>④経費!C21</f>
        <v>1.4</v>
      </c>
      <c r="D39" s="235"/>
      <c r="F39" s="662" t="s">
        <v>256</v>
      </c>
      <c r="G39" s="663">
        <f>SUM(G20:G38)</f>
        <v>70.7</v>
      </c>
      <c r="H39" s="664">
        <f>SUM(H30:H38)</f>
        <v>0</v>
      </c>
      <c r="K39" s="156" t="str">
        <f>'⑥製造（経費)'!E6</f>
        <v>広告宣伝費</v>
      </c>
      <c r="L39" s="160">
        <f>'⑥製造（経費)'!F6</f>
        <v>0</v>
      </c>
      <c r="M39" s="238"/>
      <c r="P39" s="156" t="str">
        <f>'⑥製造（経費)'!B38</f>
        <v>修繕維持費</v>
      </c>
      <c r="Q39" s="160">
        <f>'⑥製造（経費)'!C38</f>
        <v>0</v>
      </c>
      <c r="R39" s="241"/>
    </row>
    <row r="40" spans="2:18" ht="24" customHeight="1" x14ac:dyDescent="0.25">
      <c r="B40" s="156" t="str">
        <f>④経費!B22</f>
        <v>出張費</v>
      </c>
      <c r="C40" s="187">
        <f>④経費!C22</f>
        <v>0</v>
      </c>
      <c r="D40" s="235"/>
      <c r="F40" s="211" t="s">
        <v>63</v>
      </c>
      <c r="G40" s="212" t="s">
        <v>343</v>
      </c>
      <c r="H40" s="668" t="s">
        <v>344</v>
      </c>
      <c r="K40" s="156" t="str">
        <f>'⑥製造（経費)'!E7</f>
        <v>募集費</v>
      </c>
      <c r="L40" s="160">
        <f>'⑥製造（経費)'!F7</f>
        <v>0</v>
      </c>
      <c r="M40" s="238"/>
      <c r="P40" s="156" t="str">
        <f>'⑥製造（経費)'!B39</f>
        <v>保険料</v>
      </c>
      <c r="Q40" s="160">
        <f>'⑥製造（経費)'!C39</f>
        <v>0</v>
      </c>
      <c r="R40" s="238"/>
    </row>
    <row r="41" spans="2:18" ht="24" customHeight="1" x14ac:dyDescent="0.25">
      <c r="B41" s="156" t="str">
        <f>④経費!B23</f>
        <v>消耗品費</v>
      </c>
      <c r="C41" s="187">
        <f>④経費!C23</f>
        <v>2.2999999999999998</v>
      </c>
      <c r="D41" s="235"/>
      <c r="F41" s="665" t="str">
        <f>④経費!E4</f>
        <v>テナント料</v>
      </c>
      <c r="G41" s="666">
        <f>④経費!F12</f>
        <v>0</v>
      </c>
      <c r="H41" s="667"/>
      <c r="K41" s="156" t="str">
        <f>'⑥製造（経費)'!E8</f>
        <v>教育研修</v>
      </c>
      <c r="L41" s="160">
        <f>'⑥製造（経費)'!F8</f>
        <v>0</v>
      </c>
      <c r="M41" s="238"/>
      <c r="P41" s="156" t="str">
        <f>'⑥製造（経費)'!B40</f>
        <v>備品費</v>
      </c>
      <c r="Q41" s="160">
        <f>'⑥製造（経費)'!C40</f>
        <v>0</v>
      </c>
      <c r="R41" s="238"/>
    </row>
    <row r="42" spans="2:18" ht="24" customHeight="1" x14ac:dyDescent="0.25">
      <c r="B42" s="156" t="str">
        <f>④経費!B24</f>
        <v>事務用品費</v>
      </c>
      <c r="C42" s="187">
        <f>④経費!C24</f>
        <v>1.5</v>
      </c>
      <c r="D42" s="235"/>
      <c r="F42" s="159" t="str">
        <f>④経費!E5</f>
        <v>試供品DM費</v>
      </c>
      <c r="G42" s="195">
        <f>④経費!F13</f>
        <v>6</v>
      </c>
      <c r="H42" s="231"/>
      <c r="K42" s="156" t="str">
        <f>'⑥製造（経費)'!E9</f>
        <v>予備</v>
      </c>
      <c r="L42" s="160">
        <f>'⑥製造（経費)'!F9</f>
        <v>0</v>
      </c>
      <c r="M42" s="238"/>
      <c r="P42" s="156" t="str">
        <f>'⑥製造（経費)'!B41</f>
        <v>寄付金</v>
      </c>
      <c r="Q42" s="160">
        <f>'⑥製造（経費)'!C41</f>
        <v>0</v>
      </c>
      <c r="R42" s="238"/>
    </row>
    <row r="43" spans="2:18" ht="24" customHeight="1" x14ac:dyDescent="0.25">
      <c r="B43" s="156" t="str">
        <f>④経費!B25</f>
        <v>その他経費</v>
      </c>
      <c r="C43" s="187">
        <f>④経費!C25</f>
        <v>3.5</v>
      </c>
      <c r="D43" s="235"/>
      <c r="F43" s="159" t="str">
        <f>④経費!E6</f>
        <v>販売企画費</v>
      </c>
      <c r="G43" s="195">
        <v>0</v>
      </c>
      <c r="H43" s="231"/>
      <c r="K43" s="156" t="str">
        <f>'⑥製造（経費)'!E10</f>
        <v>予備</v>
      </c>
      <c r="L43" s="160">
        <f>'⑥製造（経費)'!F10</f>
        <v>0</v>
      </c>
      <c r="M43" s="238"/>
      <c r="P43" s="156" t="str">
        <f>'⑥製造（経費)'!B42</f>
        <v>減価償却費</v>
      </c>
      <c r="Q43" s="160">
        <f>'⑥製造（経費)'!C42</f>
        <v>0</v>
      </c>
      <c r="R43" s="238"/>
    </row>
    <row r="44" spans="2:18" ht="24" customHeight="1" thickBot="1" x14ac:dyDescent="0.3">
      <c r="B44" s="156" t="str">
        <f>④経費!B26</f>
        <v>雑費</v>
      </c>
      <c r="C44" s="187">
        <f>④経費!C26</f>
        <v>3</v>
      </c>
      <c r="D44" s="235"/>
      <c r="F44" s="159" t="str">
        <f>④経費!E7</f>
        <v>試供品DM費</v>
      </c>
      <c r="G44" s="195">
        <f>④経費!F15</f>
        <v>0</v>
      </c>
      <c r="H44" s="230"/>
      <c r="K44" s="156" t="str">
        <f>'⑥製造（経費)'!E11</f>
        <v>予備</v>
      </c>
      <c r="L44" s="160">
        <f>'⑥製造（経費)'!F11</f>
        <v>0</v>
      </c>
      <c r="M44" s="238"/>
      <c r="P44" s="182" t="s">
        <v>280</v>
      </c>
      <c r="Q44" s="183">
        <f>SUM(Q6:Q43)</f>
        <v>16.399999999999999</v>
      </c>
      <c r="R44" s="199">
        <f>SUM(R6:R43)</f>
        <v>0</v>
      </c>
    </row>
    <row r="45" spans="2:18" ht="24" customHeight="1" x14ac:dyDescent="0.25">
      <c r="B45" s="156" t="str">
        <f>④経費!B27</f>
        <v>装飾費</v>
      </c>
      <c r="C45" s="187">
        <f>④経費!C27</f>
        <v>0</v>
      </c>
      <c r="D45" s="235"/>
      <c r="F45" s="159" t="str">
        <f>④経費!E8</f>
        <v>販売促進費</v>
      </c>
      <c r="G45" s="195">
        <f>④経費!F16</f>
        <v>0</v>
      </c>
      <c r="H45" s="237"/>
      <c r="K45" s="156" t="str">
        <f>'⑥製造（経費)'!E12</f>
        <v>予備</v>
      </c>
      <c r="L45" s="160">
        <f>'⑥製造（経費)'!F12</f>
        <v>0</v>
      </c>
      <c r="M45" s="238"/>
      <c r="P45" s="176"/>
      <c r="Q45" s="163"/>
    </row>
    <row r="46" spans="2:18" ht="24" customHeight="1" thickBot="1" x14ac:dyDescent="0.3">
      <c r="B46" s="156" t="str">
        <f>④経費!B28</f>
        <v>衛生費</v>
      </c>
      <c r="C46" s="187">
        <f>④経費!C28</f>
        <v>0</v>
      </c>
      <c r="D46" s="235"/>
      <c r="F46" s="159" t="str">
        <f>④経費!E9</f>
        <v>広告宣伝費</v>
      </c>
      <c r="G46" s="195">
        <f>④経費!F17</f>
        <v>0</v>
      </c>
      <c r="H46" s="230"/>
      <c r="K46" s="154" t="s">
        <v>256</v>
      </c>
      <c r="L46" s="155">
        <f>SUM(L37:L45)</f>
        <v>6</v>
      </c>
      <c r="M46" s="197">
        <f>SUM(M37:M45)</f>
        <v>0</v>
      </c>
      <c r="P46" s="176"/>
      <c r="Q46" s="163"/>
    </row>
    <row r="47" spans="2:18" ht="24" customHeight="1" x14ac:dyDescent="0.25">
      <c r="B47" s="156" t="str">
        <f>④経費!B29</f>
        <v>運賃</v>
      </c>
      <c r="C47" s="187">
        <f>④経費!C29</f>
        <v>0</v>
      </c>
      <c r="D47" s="235"/>
      <c r="F47" s="159" t="str">
        <f>④経費!E10</f>
        <v>予備</v>
      </c>
      <c r="G47" s="195">
        <f>④経費!F18</f>
        <v>0</v>
      </c>
      <c r="H47" s="231"/>
      <c r="P47" s="176"/>
      <c r="Q47" s="163"/>
    </row>
    <row r="48" spans="2:18" ht="24" customHeight="1" x14ac:dyDescent="0.25">
      <c r="B48" s="156" t="str">
        <f>④経費!B30</f>
        <v>荷造包装費</v>
      </c>
      <c r="C48" s="187">
        <f>④経費!C30</f>
        <v>0</v>
      </c>
      <c r="D48" s="235"/>
      <c r="F48" s="159" t="str">
        <f>④経費!E11</f>
        <v>予備</v>
      </c>
      <c r="G48" s="195">
        <f>④経費!F19</f>
        <v>0</v>
      </c>
      <c r="H48" s="231"/>
      <c r="P48" s="176"/>
      <c r="Q48" s="163"/>
    </row>
    <row r="49" spans="2:17" ht="24" customHeight="1" x14ac:dyDescent="0.25">
      <c r="B49" s="156" t="str">
        <f>④経費!B31</f>
        <v>水道光熱費</v>
      </c>
      <c r="C49" s="187">
        <f>④経費!C31</f>
        <v>1.7</v>
      </c>
      <c r="D49" s="235"/>
      <c r="F49" s="159" t="str">
        <f>④経費!E12</f>
        <v>予備</v>
      </c>
      <c r="G49" s="195">
        <f>④経費!F20</f>
        <v>0</v>
      </c>
      <c r="H49" s="231"/>
      <c r="P49" s="176"/>
      <c r="Q49" s="163"/>
    </row>
    <row r="50" spans="2:17" ht="24" customHeight="1" x14ac:dyDescent="0.25">
      <c r="B50" s="156" t="str">
        <f>④経費!B32</f>
        <v>旅費交通費</v>
      </c>
      <c r="C50" s="187">
        <f>④経費!C32</f>
        <v>3</v>
      </c>
      <c r="D50" s="235"/>
      <c r="F50" s="139" t="s">
        <v>256</v>
      </c>
      <c r="G50" s="146">
        <f>SUM(G41:G49)</f>
        <v>6</v>
      </c>
      <c r="H50" s="194">
        <f>SUM(H41:H49)</f>
        <v>0</v>
      </c>
      <c r="P50" s="176"/>
      <c r="Q50" s="163"/>
    </row>
    <row r="51" spans="2:17" ht="24" customHeight="1" x14ac:dyDescent="0.25">
      <c r="B51" s="156" t="str">
        <f>④経費!B33</f>
        <v>諸会費</v>
      </c>
      <c r="C51" s="187">
        <f>④経費!C33</f>
        <v>1.5</v>
      </c>
      <c r="D51" s="235"/>
      <c r="F51" s="669"/>
      <c r="G51" s="670"/>
      <c r="H51" s="670"/>
      <c r="P51" s="176"/>
      <c r="Q51" s="163"/>
    </row>
    <row r="52" spans="2:17" ht="24" customHeight="1" x14ac:dyDescent="0.25">
      <c r="B52" s="156" t="str">
        <f>④経費!B34</f>
        <v>管理諸費</v>
      </c>
      <c r="C52" s="187">
        <f>④経費!C34</f>
        <v>0</v>
      </c>
      <c r="D52" s="235"/>
      <c r="P52" s="176"/>
      <c r="Q52" s="163"/>
    </row>
    <row r="53" spans="2:17" ht="24" customHeight="1" x14ac:dyDescent="0.25">
      <c r="B53" s="156" t="str">
        <f>④経費!B35</f>
        <v>保守管理費</v>
      </c>
      <c r="C53" s="187">
        <f>④経費!C35</f>
        <v>0</v>
      </c>
      <c r="D53" s="235"/>
      <c r="P53" s="176"/>
      <c r="Q53" s="163"/>
    </row>
    <row r="54" spans="2:17" ht="24" customHeight="1" x14ac:dyDescent="0.25">
      <c r="B54" s="156" t="str">
        <f>④経費!B36</f>
        <v>図書費</v>
      </c>
      <c r="C54" s="187">
        <f>④経費!C36</f>
        <v>0.4</v>
      </c>
      <c r="D54" s="235"/>
      <c r="P54" s="176"/>
      <c r="Q54" s="163"/>
    </row>
    <row r="55" spans="2:17" ht="24" customHeight="1" x14ac:dyDescent="0.25">
      <c r="B55" s="156" t="str">
        <f>④経費!B37</f>
        <v>修繕費</v>
      </c>
      <c r="C55" s="187">
        <f>④経費!C37</f>
        <v>1</v>
      </c>
      <c r="D55" s="235"/>
      <c r="P55" s="176"/>
      <c r="Q55" s="163"/>
    </row>
    <row r="56" spans="2:17" ht="24" customHeight="1" x14ac:dyDescent="0.25">
      <c r="B56" s="156" t="str">
        <f>④経費!B38</f>
        <v>修繕維持費</v>
      </c>
      <c r="C56" s="187">
        <f>④経費!C38</f>
        <v>0</v>
      </c>
      <c r="D56" s="235"/>
      <c r="P56" s="176"/>
      <c r="Q56" s="163"/>
    </row>
    <row r="57" spans="2:17" ht="24" customHeight="1" x14ac:dyDescent="0.25">
      <c r="B57" s="156" t="str">
        <f>④経費!B39</f>
        <v>保険料</v>
      </c>
      <c r="C57" s="187">
        <f>④経費!C39</f>
        <v>3</v>
      </c>
      <c r="D57" s="235"/>
      <c r="P57" s="176"/>
      <c r="Q57" s="163"/>
    </row>
    <row r="58" spans="2:17" ht="24" customHeight="1" x14ac:dyDescent="0.25">
      <c r="B58" s="156" t="str">
        <f>④経費!B40</f>
        <v>備品費</v>
      </c>
      <c r="C58" s="187">
        <f>④経費!C40</f>
        <v>0</v>
      </c>
      <c r="D58" s="235"/>
      <c r="P58" s="176"/>
      <c r="Q58" s="163"/>
    </row>
    <row r="59" spans="2:17" ht="24" customHeight="1" x14ac:dyDescent="0.25">
      <c r="B59" s="156" t="str">
        <f>④経費!B41</f>
        <v>寄付金</v>
      </c>
      <c r="C59" s="187">
        <f>④経費!C41</f>
        <v>0</v>
      </c>
      <c r="D59" s="235"/>
      <c r="P59" s="176"/>
      <c r="Q59" s="163"/>
    </row>
    <row r="60" spans="2:17" ht="24" customHeight="1" x14ac:dyDescent="0.25">
      <c r="B60" s="156" t="str">
        <f>④経費!B42</f>
        <v>減価償却費</v>
      </c>
      <c r="C60" s="187">
        <f>④経費!C42</f>
        <v>0</v>
      </c>
      <c r="D60" s="235"/>
      <c r="P60" s="176"/>
      <c r="Q60" s="163"/>
    </row>
    <row r="61" spans="2:17" ht="24" customHeight="1" thickBot="1" x14ac:dyDescent="0.25">
      <c r="B61" s="182" t="s">
        <v>280</v>
      </c>
      <c r="C61" s="183">
        <f>SUM(C23:C60)</f>
        <v>49.699999999999996</v>
      </c>
      <c r="D61" s="193">
        <f>SUM(D23:D60)</f>
        <v>0</v>
      </c>
      <c r="P61" s="176"/>
      <c r="Q61" s="163"/>
    </row>
    <row r="62" spans="2:17" x14ac:dyDescent="0.2">
      <c r="P62" s="176"/>
      <c r="Q62" s="163"/>
    </row>
    <row r="63" spans="2:17" x14ac:dyDescent="0.2">
      <c r="P63" s="176"/>
      <c r="Q63" s="163"/>
    </row>
    <row r="64" spans="2:17" x14ac:dyDescent="0.2">
      <c r="P64" s="176"/>
      <c r="Q64" s="163"/>
    </row>
    <row r="65" spans="16:17" x14ac:dyDescent="0.2">
      <c r="P65" s="176"/>
      <c r="Q65" s="163"/>
    </row>
  </sheetData>
  <mergeCells count="5">
    <mergeCell ref="B1:H1"/>
    <mergeCell ref="C3:D3"/>
    <mergeCell ref="F3:H3"/>
    <mergeCell ref="K3:R3"/>
    <mergeCell ref="F18:H18"/>
  </mergeCells>
  <phoneticPr fontId="2"/>
  <pageMargins left="0.7" right="0.7" top="0.75" bottom="0.75" header="0.3" footer="0.3"/>
  <pageSetup paperSize="8" scale="70" orientation="portrait" r:id="rId1"/>
  <colBreaks count="1" manualBreakCount="1">
    <brk id="9" max="1048575" man="1"/>
  </colBreaks>
  <ignoredErrors>
    <ignoredError sqref="K6" unlocked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FAE6-C279-47D5-949B-C0E7757DFC83}">
  <sheetPr codeName="Sheet12">
    <pageSetUpPr fitToPage="1"/>
  </sheetPr>
  <dimension ref="A1:AB141"/>
  <sheetViews>
    <sheetView view="pageBreakPreview" topLeftCell="A16" zoomScale="90" zoomScaleNormal="70" zoomScaleSheetLayoutView="90" workbookViewId="0">
      <selection activeCell="D3" sqref="D3"/>
    </sheetView>
  </sheetViews>
  <sheetFormatPr defaultColWidth="8.09765625" defaultRowHeight="13.2" x14ac:dyDescent="0.2"/>
  <cols>
    <col min="1" max="1" width="11.19921875" style="419" customWidth="1"/>
    <col min="2" max="2" width="14.69921875" style="419" customWidth="1"/>
    <col min="3" max="3" width="5.3984375" style="436" bestFit="1" customWidth="1"/>
    <col min="4" max="27" width="7.8984375" style="419" customWidth="1"/>
    <col min="28" max="16384" width="8.09765625" style="419"/>
  </cols>
  <sheetData>
    <row r="1" spans="1:28" s="407" customFormat="1" ht="18" x14ac:dyDescent="0.45">
      <c r="A1" s="418" t="s">
        <v>299</v>
      </c>
      <c r="B1" s="418" t="s">
        <v>360</v>
      </c>
      <c r="C1" s="418" t="s">
        <v>226</v>
      </c>
      <c r="D1" s="555">
        <f>進捗実績値入力シート!D2</f>
        <v>45536</v>
      </c>
      <c r="E1" s="556"/>
      <c r="F1" s="555" t="str">
        <f>TEXT(EDATE($D$1,1),"m")&amp;"月"</f>
        <v>10月</v>
      </c>
      <c r="G1" s="556" t="s">
        <v>226</v>
      </c>
      <c r="H1" s="555" t="str">
        <f>TEXT(EDATE($D$1,2),"m")&amp;"月"</f>
        <v>11月</v>
      </c>
      <c r="I1" s="556" t="s">
        <v>226</v>
      </c>
      <c r="J1" s="555" t="str">
        <f>TEXT(EDATE($D$1,3),"m")&amp;"月"</f>
        <v>12月</v>
      </c>
      <c r="K1" s="556" t="s">
        <v>226</v>
      </c>
      <c r="L1" s="555" t="str">
        <f>TEXT(EDATE($D$1,4),"m")&amp;"月"</f>
        <v>1月</v>
      </c>
      <c r="M1" s="556" t="s">
        <v>226</v>
      </c>
      <c r="N1" s="555" t="str">
        <f>TEXT(EDATE($D$1,5),"m")&amp;"月"</f>
        <v>2月</v>
      </c>
      <c r="O1" s="556" t="s">
        <v>226</v>
      </c>
      <c r="P1" s="555" t="str">
        <f>TEXT(EDATE($D$1,6),"m")&amp;"月"</f>
        <v>3月</v>
      </c>
      <c r="Q1" s="556" t="s">
        <v>226</v>
      </c>
      <c r="R1" s="555" t="str">
        <f>TEXT(EDATE($D$1,7),"m")&amp;"月"</f>
        <v>4月</v>
      </c>
      <c r="S1" s="556" t="s">
        <v>226</v>
      </c>
      <c r="T1" s="555" t="str">
        <f>TEXT(EDATE($D$1,8),"m")&amp;"月"</f>
        <v>5月</v>
      </c>
      <c r="U1" s="556" t="s">
        <v>226</v>
      </c>
      <c r="V1" s="555" t="str">
        <f>TEXT(EDATE($D$1,9),"m")&amp;"月"</f>
        <v>6月</v>
      </c>
      <c r="W1" s="556" t="s">
        <v>226</v>
      </c>
      <c r="X1" s="555" t="str">
        <f>TEXT(EDATE($D$1,10),"m")&amp;"月"</f>
        <v>7月</v>
      </c>
      <c r="Y1" s="556" t="s">
        <v>226</v>
      </c>
      <c r="Z1" s="555" t="str">
        <f>TEXT(EDATE($D$1,11),"m")&amp;"月"</f>
        <v>8月</v>
      </c>
      <c r="AA1" s="556" t="s">
        <v>226</v>
      </c>
      <c r="AB1" s="419"/>
    </row>
    <row r="2" spans="1:28" s="407" customFormat="1" ht="18" customHeight="1" thickBot="1" x14ac:dyDescent="0.5">
      <c r="A2" s="420" t="s">
        <v>226</v>
      </c>
      <c r="B2" s="421">
        <f>⑦原価詳細!G2</f>
        <v>450000000</v>
      </c>
      <c r="C2" s="420" t="s">
        <v>226</v>
      </c>
      <c r="D2" s="422" t="s">
        <v>361</v>
      </c>
      <c r="E2" s="423" t="s">
        <v>362</v>
      </c>
      <c r="F2" s="424" t="s">
        <v>361</v>
      </c>
      <c r="G2" s="424" t="s">
        <v>362</v>
      </c>
      <c r="H2" s="424" t="s">
        <v>361</v>
      </c>
      <c r="I2" s="424" t="s">
        <v>362</v>
      </c>
      <c r="J2" s="424" t="s">
        <v>361</v>
      </c>
      <c r="K2" s="424" t="s">
        <v>362</v>
      </c>
      <c r="L2" s="424" t="s">
        <v>361</v>
      </c>
      <c r="M2" s="424" t="s">
        <v>362</v>
      </c>
      <c r="N2" s="424" t="s">
        <v>361</v>
      </c>
      <c r="O2" s="424" t="s">
        <v>362</v>
      </c>
      <c r="P2" s="424" t="s">
        <v>361</v>
      </c>
      <c r="Q2" s="424" t="s">
        <v>362</v>
      </c>
      <c r="R2" s="424" t="s">
        <v>361</v>
      </c>
      <c r="S2" s="424" t="s">
        <v>362</v>
      </c>
      <c r="T2" s="425" t="s">
        <v>361</v>
      </c>
      <c r="U2" s="424" t="s">
        <v>362</v>
      </c>
      <c r="V2" s="424" t="s">
        <v>361</v>
      </c>
      <c r="W2" s="424" t="s">
        <v>362</v>
      </c>
      <c r="X2" s="424" t="s">
        <v>361</v>
      </c>
      <c r="Y2" s="424" t="s">
        <v>362</v>
      </c>
      <c r="Z2" s="424" t="s">
        <v>361</v>
      </c>
      <c r="AA2" s="426" t="s">
        <v>362</v>
      </c>
      <c r="AB2" t="s">
        <v>3</v>
      </c>
    </row>
    <row r="3" spans="1:28" s="407" customFormat="1" ht="18" customHeight="1" x14ac:dyDescent="0.45">
      <c r="A3" s="437" t="str">
        <f>⑦原価詳細!A8</f>
        <v>塗装工事</v>
      </c>
      <c r="B3" s="427">
        <f>⑦原価詳細!F8/1000000</f>
        <v>350</v>
      </c>
      <c r="C3" s="428" t="s">
        <v>343</v>
      </c>
      <c r="D3" s="408"/>
      <c r="E3" s="409">
        <f>D3</f>
        <v>0</v>
      </c>
      <c r="F3" s="410"/>
      <c r="G3" s="409">
        <f>E3+F3</f>
        <v>0</v>
      </c>
      <c r="H3" s="410"/>
      <c r="I3" s="409">
        <f>G3+H3</f>
        <v>0</v>
      </c>
      <c r="J3" s="410"/>
      <c r="K3" s="409">
        <f>I3+J3</f>
        <v>0</v>
      </c>
      <c r="L3" s="410"/>
      <c r="M3" s="409">
        <f>K3+L3</f>
        <v>0</v>
      </c>
      <c r="N3" s="410"/>
      <c r="O3" s="409">
        <f>M3+N3</f>
        <v>0</v>
      </c>
      <c r="P3" s="410"/>
      <c r="Q3" s="409">
        <f>O3+P3</f>
        <v>0</v>
      </c>
      <c r="R3" s="410"/>
      <c r="S3" s="409">
        <f>Q3+R3</f>
        <v>0</v>
      </c>
      <c r="T3" s="411"/>
      <c r="U3" s="409">
        <f>S3+T3</f>
        <v>0</v>
      </c>
      <c r="V3" s="410"/>
      <c r="W3" s="409">
        <f>U3+V3</f>
        <v>0</v>
      </c>
      <c r="X3" s="410"/>
      <c r="Y3" s="409">
        <f>W3+X3</f>
        <v>0</v>
      </c>
      <c r="Z3" s="410"/>
      <c r="AA3" s="412">
        <f>Y3+Z3</f>
        <v>0</v>
      </c>
    </row>
    <row r="4" spans="1:28" s="407" customFormat="1" ht="18" customHeight="1" thickBot="1" x14ac:dyDescent="0.5">
      <c r="A4" s="429" t="s">
        <v>226</v>
      </c>
      <c r="B4" s="430">
        <f>B3-D3-F3-H3-J3-L3-N3-P3-R3-T3-V3-X3-Z3</f>
        <v>350</v>
      </c>
      <c r="C4" s="431" t="s">
        <v>315</v>
      </c>
      <c r="D4" s="413"/>
      <c r="E4" s="414">
        <f>D4</f>
        <v>0</v>
      </c>
      <c r="F4" s="415"/>
      <c r="G4" s="414">
        <f t="shared" ref="G4:G5" si="0">E4+F4</f>
        <v>0</v>
      </c>
      <c r="H4" s="415"/>
      <c r="I4" s="414">
        <f t="shared" ref="I4:I5" si="1">G4+H4</f>
        <v>0</v>
      </c>
      <c r="J4" s="415"/>
      <c r="K4" s="417">
        <f>I4+J4</f>
        <v>0</v>
      </c>
      <c r="L4" s="415"/>
      <c r="M4" s="414">
        <f t="shared" ref="M4:M5" si="2">K4+L4</f>
        <v>0</v>
      </c>
      <c r="N4" s="415"/>
      <c r="O4" s="414">
        <f t="shared" ref="O4:O5" si="3">M4+N4</f>
        <v>0</v>
      </c>
      <c r="P4" s="415"/>
      <c r="Q4" s="414">
        <f t="shared" ref="Q4:Q5" si="4">O4+P4</f>
        <v>0</v>
      </c>
      <c r="R4" s="415"/>
      <c r="S4" s="414">
        <f t="shared" ref="S4:S5" si="5">Q4+R4</f>
        <v>0</v>
      </c>
      <c r="T4" s="415"/>
      <c r="U4" s="414">
        <f t="shared" ref="U4:U5" si="6">S4+T4</f>
        <v>0</v>
      </c>
      <c r="V4" s="415"/>
      <c r="W4" s="414">
        <f t="shared" ref="W4:W5" si="7">U4+V4</f>
        <v>0</v>
      </c>
      <c r="X4" s="415"/>
      <c r="Y4" s="414">
        <f t="shared" ref="Y4:Y5" si="8">W4+X4</f>
        <v>0</v>
      </c>
      <c r="Z4" s="415"/>
      <c r="AA4" s="416">
        <f t="shared" ref="AA4:AA5" si="9">Y4+Z4</f>
        <v>0</v>
      </c>
    </row>
    <row r="5" spans="1:28" s="407" customFormat="1" ht="18" customHeight="1" x14ac:dyDescent="0.45">
      <c r="A5" s="437" t="str">
        <f>⑦原価詳細!A9</f>
        <v>リフォーム工事</v>
      </c>
      <c r="B5" s="427">
        <f>⑦原価詳細!F9/1000000</f>
        <v>49.3</v>
      </c>
      <c r="C5" s="428" t="s">
        <v>343</v>
      </c>
      <c r="D5" s="408"/>
      <c r="E5" s="409">
        <f t="shared" ref="E5:E46" si="10">D5</f>
        <v>0</v>
      </c>
      <c r="F5" s="410"/>
      <c r="G5" s="409">
        <f t="shared" si="0"/>
        <v>0</v>
      </c>
      <c r="H5" s="410"/>
      <c r="I5" s="409">
        <f t="shared" si="1"/>
        <v>0</v>
      </c>
      <c r="J5" s="410"/>
      <c r="K5" s="409">
        <f t="shared" ref="K5:K46" si="11">I5+J5</f>
        <v>0</v>
      </c>
      <c r="L5" s="410"/>
      <c r="M5" s="409">
        <f t="shared" si="2"/>
        <v>0</v>
      </c>
      <c r="N5" s="410"/>
      <c r="O5" s="409">
        <f t="shared" si="3"/>
        <v>0</v>
      </c>
      <c r="P5" s="410"/>
      <c r="Q5" s="409">
        <f t="shared" si="4"/>
        <v>0</v>
      </c>
      <c r="R5" s="410"/>
      <c r="S5" s="409">
        <f t="shared" si="5"/>
        <v>0</v>
      </c>
      <c r="T5" s="411"/>
      <c r="U5" s="409">
        <f t="shared" si="6"/>
        <v>0</v>
      </c>
      <c r="V5" s="410"/>
      <c r="W5" s="409">
        <f t="shared" si="7"/>
        <v>0</v>
      </c>
      <c r="X5" s="410"/>
      <c r="Y5" s="409">
        <f t="shared" si="8"/>
        <v>0</v>
      </c>
      <c r="Z5" s="410"/>
      <c r="AA5" s="412">
        <f t="shared" si="9"/>
        <v>0</v>
      </c>
    </row>
    <row r="6" spans="1:28" s="407" customFormat="1" ht="18" customHeight="1" thickBot="1" x14ac:dyDescent="0.5">
      <c r="A6" s="429" t="s">
        <v>226</v>
      </c>
      <c r="B6" s="430">
        <f>B5-D5-F5-H5-J5-L5-N5-P5-R5-T5-V5-X5-Z5</f>
        <v>49.3</v>
      </c>
      <c r="C6" s="431" t="s">
        <v>315</v>
      </c>
      <c r="D6" s="413"/>
      <c r="E6" s="414">
        <f t="shared" si="10"/>
        <v>0</v>
      </c>
      <c r="F6" s="415"/>
      <c r="G6" s="414">
        <f t="shared" ref="G6:G46" si="12">E6+F6</f>
        <v>0</v>
      </c>
      <c r="H6" s="415"/>
      <c r="I6" s="414">
        <f t="shared" ref="I6:I46" si="13">G6+H6</f>
        <v>0</v>
      </c>
      <c r="J6" s="415"/>
      <c r="K6" s="417">
        <f t="shared" si="11"/>
        <v>0</v>
      </c>
      <c r="L6" s="415"/>
      <c r="M6" s="414">
        <f t="shared" ref="M6:M46" si="14">K6+L6</f>
        <v>0</v>
      </c>
      <c r="N6" s="415"/>
      <c r="O6" s="414">
        <f t="shared" ref="O6:O46" si="15">M6+N6</f>
        <v>0</v>
      </c>
      <c r="P6" s="415"/>
      <c r="Q6" s="414">
        <f t="shared" ref="Q6:Q46" si="16">O6+P6</f>
        <v>0</v>
      </c>
      <c r="R6" s="415"/>
      <c r="S6" s="414">
        <f t="shared" ref="S6:S46" si="17">Q6+R6</f>
        <v>0</v>
      </c>
      <c r="T6" s="415"/>
      <c r="U6" s="414">
        <f t="shared" ref="U6:U46" si="18">S6+T6</f>
        <v>0</v>
      </c>
      <c r="V6" s="415"/>
      <c r="W6" s="414">
        <f t="shared" ref="W6:W46" si="19">U6+V6</f>
        <v>0</v>
      </c>
      <c r="X6" s="415"/>
      <c r="Y6" s="414">
        <f t="shared" ref="Y6:Y46" si="20">W6+X6</f>
        <v>0</v>
      </c>
      <c r="Z6" s="415"/>
      <c r="AA6" s="416">
        <f t="shared" ref="AA6:AA46" si="21">Y6+Z6</f>
        <v>0</v>
      </c>
    </row>
    <row r="7" spans="1:28" s="407" customFormat="1" ht="18" customHeight="1" x14ac:dyDescent="0.45">
      <c r="A7" s="437" t="str">
        <f>⑦原価詳細!A10</f>
        <v>小工事</v>
      </c>
      <c r="B7" s="427">
        <f>⑦原価詳細!F10/1000000</f>
        <v>5.75</v>
      </c>
      <c r="C7" s="428" t="s">
        <v>343</v>
      </c>
      <c r="D7" s="408"/>
      <c r="E7" s="409">
        <f t="shared" si="10"/>
        <v>0</v>
      </c>
      <c r="F7" s="410"/>
      <c r="G7" s="409">
        <f t="shared" si="12"/>
        <v>0</v>
      </c>
      <c r="H7" s="410"/>
      <c r="I7" s="409">
        <f t="shared" si="13"/>
        <v>0</v>
      </c>
      <c r="J7" s="410"/>
      <c r="K7" s="409">
        <f t="shared" si="11"/>
        <v>0</v>
      </c>
      <c r="L7" s="410"/>
      <c r="M7" s="409">
        <f t="shared" si="14"/>
        <v>0</v>
      </c>
      <c r="N7" s="410"/>
      <c r="O7" s="409">
        <f t="shared" si="15"/>
        <v>0</v>
      </c>
      <c r="P7" s="410"/>
      <c r="Q7" s="409">
        <f t="shared" si="16"/>
        <v>0</v>
      </c>
      <c r="R7" s="410"/>
      <c r="S7" s="409">
        <f t="shared" si="17"/>
        <v>0</v>
      </c>
      <c r="T7" s="411"/>
      <c r="U7" s="409">
        <f t="shared" si="18"/>
        <v>0</v>
      </c>
      <c r="V7" s="410"/>
      <c r="W7" s="409">
        <f t="shared" si="19"/>
        <v>0</v>
      </c>
      <c r="X7" s="410"/>
      <c r="Y7" s="409">
        <f t="shared" si="20"/>
        <v>0</v>
      </c>
      <c r="Z7" s="410"/>
      <c r="AA7" s="412">
        <f t="shared" si="21"/>
        <v>0</v>
      </c>
    </row>
    <row r="8" spans="1:28" s="407" customFormat="1" ht="18" customHeight="1" thickBot="1" x14ac:dyDescent="0.5">
      <c r="A8" s="429" t="s">
        <v>226</v>
      </c>
      <c r="B8" s="430">
        <f>B7-D7-F7-H7-J7-L7-N7-P7-R7-T7-V7-X7-Z7</f>
        <v>5.75</v>
      </c>
      <c r="C8" s="431" t="s">
        <v>315</v>
      </c>
      <c r="D8" s="413"/>
      <c r="E8" s="414">
        <f t="shared" si="10"/>
        <v>0</v>
      </c>
      <c r="F8" s="415"/>
      <c r="G8" s="414">
        <f t="shared" si="12"/>
        <v>0</v>
      </c>
      <c r="H8" s="415"/>
      <c r="I8" s="414">
        <f t="shared" si="13"/>
        <v>0</v>
      </c>
      <c r="J8" s="415"/>
      <c r="K8" s="417">
        <f t="shared" si="11"/>
        <v>0</v>
      </c>
      <c r="L8" s="415"/>
      <c r="M8" s="414">
        <f t="shared" si="14"/>
        <v>0</v>
      </c>
      <c r="N8" s="415"/>
      <c r="O8" s="414">
        <f t="shared" si="15"/>
        <v>0</v>
      </c>
      <c r="P8" s="415"/>
      <c r="Q8" s="414">
        <f t="shared" si="16"/>
        <v>0</v>
      </c>
      <c r="R8" s="415"/>
      <c r="S8" s="414">
        <f t="shared" si="17"/>
        <v>0</v>
      </c>
      <c r="T8" s="415"/>
      <c r="U8" s="414">
        <f t="shared" si="18"/>
        <v>0</v>
      </c>
      <c r="V8" s="415"/>
      <c r="W8" s="414">
        <f t="shared" si="19"/>
        <v>0</v>
      </c>
      <c r="X8" s="415"/>
      <c r="Y8" s="414">
        <f t="shared" si="20"/>
        <v>0</v>
      </c>
      <c r="Z8" s="415"/>
      <c r="AA8" s="416">
        <f t="shared" si="21"/>
        <v>0</v>
      </c>
    </row>
    <row r="9" spans="1:28" s="407" customFormat="1" ht="18" customHeight="1" x14ac:dyDescent="0.45">
      <c r="A9" s="437" t="str">
        <f>⑦原価詳細!A11</f>
        <v>板金工事</v>
      </c>
      <c r="B9" s="427">
        <f>⑦原価詳細!F11/1000000</f>
        <v>44.95</v>
      </c>
      <c r="C9" s="428" t="s">
        <v>343</v>
      </c>
      <c r="D9" s="408"/>
      <c r="E9" s="409">
        <f t="shared" si="10"/>
        <v>0</v>
      </c>
      <c r="F9" s="410"/>
      <c r="G9" s="409">
        <f t="shared" si="12"/>
        <v>0</v>
      </c>
      <c r="H9" s="410"/>
      <c r="I9" s="409">
        <f t="shared" si="13"/>
        <v>0</v>
      </c>
      <c r="J9" s="410"/>
      <c r="K9" s="409">
        <f t="shared" si="11"/>
        <v>0</v>
      </c>
      <c r="L9" s="410"/>
      <c r="M9" s="409">
        <f t="shared" si="14"/>
        <v>0</v>
      </c>
      <c r="N9" s="410"/>
      <c r="O9" s="409">
        <f t="shared" si="15"/>
        <v>0</v>
      </c>
      <c r="P9" s="410"/>
      <c r="Q9" s="409">
        <f t="shared" si="16"/>
        <v>0</v>
      </c>
      <c r="R9" s="410"/>
      <c r="S9" s="409">
        <f t="shared" si="17"/>
        <v>0</v>
      </c>
      <c r="T9" s="411"/>
      <c r="U9" s="409">
        <f t="shared" si="18"/>
        <v>0</v>
      </c>
      <c r="V9" s="410"/>
      <c r="W9" s="409">
        <f t="shared" si="19"/>
        <v>0</v>
      </c>
      <c r="X9" s="410"/>
      <c r="Y9" s="409">
        <f t="shared" si="20"/>
        <v>0</v>
      </c>
      <c r="Z9" s="410"/>
      <c r="AA9" s="412">
        <f t="shared" si="21"/>
        <v>0</v>
      </c>
    </row>
    <row r="10" spans="1:28" s="407" customFormat="1" ht="18" customHeight="1" thickBot="1" x14ac:dyDescent="0.5">
      <c r="A10" s="429" t="s">
        <v>226</v>
      </c>
      <c r="B10" s="430">
        <f>B9-D9-F9-H9-J9-L9-N9-P9-R9-T9-V9-X9-Z9</f>
        <v>44.95</v>
      </c>
      <c r="C10" s="431" t="s">
        <v>315</v>
      </c>
      <c r="D10" s="413"/>
      <c r="E10" s="414">
        <f t="shared" si="10"/>
        <v>0</v>
      </c>
      <c r="F10" s="415"/>
      <c r="G10" s="414">
        <f t="shared" si="12"/>
        <v>0</v>
      </c>
      <c r="H10" s="415"/>
      <c r="I10" s="414">
        <f t="shared" si="13"/>
        <v>0</v>
      </c>
      <c r="J10" s="415"/>
      <c r="K10" s="417">
        <f t="shared" si="11"/>
        <v>0</v>
      </c>
      <c r="L10" s="415"/>
      <c r="M10" s="414">
        <f t="shared" si="14"/>
        <v>0</v>
      </c>
      <c r="N10" s="415"/>
      <c r="O10" s="414">
        <f t="shared" si="15"/>
        <v>0</v>
      </c>
      <c r="P10" s="415"/>
      <c r="Q10" s="414">
        <f t="shared" si="16"/>
        <v>0</v>
      </c>
      <c r="R10" s="415"/>
      <c r="S10" s="414">
        <f t="shared" si="17"/>
        <v>0</v>
      </c>
      <c r="T10" s="415"/>
      <c r="U10" s="414">
        <f t="shared" si="18"/>
        <v>0</v>
      </c>
      <c r="V10" s="415"/>
      <c r="W10" s="414">
        <f t="shared" si="19"/>
        <v>0</v>
      </c>
      <c r="X10" s="415"/>
      <c r="Y10" s="414">
        <f t="shared" si="20"/>
        <v>0</v>
      </c>
      <c r="Z10" s="415"/>
      <c r="AA10" s="416">
        <f t="shared" si="21"/>
        <v>0</v>
      </c>
    </row>
    <row r="11" spans="1:28" s="407" customFormat="1" ht="18" customHeight="1" x14ac:dyDescent="0.45">
      <c r="A11" s="437" t="str">
        <f>⑦原価詳細!A12</f>
        <v>○○</v>
      </c>
      <c r="B11" s="427">
        <f>⑦原価詳細!F12/1000000</f>
        <v>0</v>
      </c>
      <c r="C11" s="428" t="s">
        <v>343</v>
      </c>
      <c r="D11" s="408"/>
      <c r="E11" s="409">
        <f t="shared" si="10"/>
        <v>0</v>
      </c>
      <c r="F11" s="410"/>
      <c r="G11" s="409">
        <f t="shared" si="12"/>
        <v>0</v>
      </c>
      <c r="H11" s="410"/>
      <c r="I11" s="409">
        <f t="shared" si="13"/>
        <v>0</v>
      </c>
      <c r="J11" s="410"/>
      <c r="K11" s="409">
        <f t="shared" si="11"/>
        <v>0</v>
      </c>
      <c r="L11" s="410"/>
      <c r="M11" s="409">
        <f t="shared" si="14"/>
        <v>0</v>
      </c>
      <c r="N11" s="410"/>
      <c r="O11" s="409">
        <f t="shared" si="15"/>
        <v>0</v>
      </c>
      <c r="P11" s="410"/>
      <c r="Q11" s="409">
        <f t="shared" si="16"/>
        <v>0</v>
      </c>
      <c r="R11" s="410"/>
      <c r="S11" s="409">
        <f t="shared" si="17"/>
        <v>0</v>
      </c>
      <c r="T11" s="411"/>
      <c r="U11" s="409">
        <f t="shared" si="18"/>
        <v>0</v>
      </c>
      <c r="V11" s="410"/>
      <c r="W11" s="409">
        <f t="shared" si="19"/>
        <v>0</v>
      </c>
      <c r="X11" s="410"/>
      <c r="Y11" s="409">
        <f t="shared" si="20"/>
        <v>0</v>
      </c>
      <c r="Z11" s="410"/>
      <c r="AA11" s="412">
        <f t="shared" si="21"/>
        <v>0</v>
      </c>
    </row>
    <row r="12" spans="1:28" s="407" customFormat="1" ht="18" customHeight="1" thickBot="1" x14ac:dyDescent="0.5">
      <c r="A12" s="429" t="s">
        <v>226</v>
      </c>
      <c r="B12" s="430">
        <f>B11-D11-F11-H11-J11-L11-N11-P11-R11-T11-V11-X11-Z11</f>
        <v>0</v>
      </c>
      <c r="C12" s="431" t="s">
        <v>315</v>
      </c>
      <c r="D12" s="413"/>
      <c r="E12" s="414">
        <f t="shared" si="10"/>
        <v>0</v>
      </c>
      <c r="F12" s="415"/>
      <c r="G12" s="414">
        <f t="shared" si="12"/>
        <v>0</v>
      </c>
      <c r="H12" s="415"/>
      <c r="I12" s="414">
        <f t="shared" si="13"/>
        <v>0</v>
      </c>
      <c r="J12" s="415"/>
      <c r="K12" s="417">
        <f t="shared" si="11"/>
        <v>0</v>
      </c>
      <c r="L12" s="415"/>
      <c r="M12" s="414">
        <f t="shared" si="14"/>
        <v>0</v>
      </c>
      <c r="N12" s="415"/>
      <c r="O12" s="414">
        <f t="shared" si="15"/>
        <v>0</v>
      </c>
      <c r="P12" s="415"/>
      <c r="Q12" s="414">
        <f t="shared" si="16"/>
        <v>0</v>
      </c>
      <c r="R12" s="415"/>
      <c r="S12" s="414">
        <f t="shared" si="17"/>
        <v>0</v>
      </c>
      <c r="T12" s="415"/>
      <c r="U12" s="414">
        <f t="shared" si="18"/>
        <v>0</v>
      </c>
      <c r="V12" s="415"/>
      <c r="W12" s="414">
        <f t="shared" si="19"/>
        <v>0</v>
      </c>
      <c r="X12" s="415"/>
      <c r="Y12" s="414">
        <f t="shared" si="20"/>
        <v>0</v>
      </c>
      <c r="Z12" s="415"/>
      <c r="AA12" s="416">
        <f t="shared" si="21"/>
        <v>0</v>
      </c>
    </row>
    <row r="13" spans="1:28" s="407" customFormat="1" ht="18" customHeight="1" x14ac:dyDescent="0.45">
      <c r="A13" s="437" t="str">
        <f>⑦原価詳細!A13</f>
        <v>○○</v>
      </c>
      <c r="B13" s="427">
        <f>⑦原価詳細!F13/1000000</f>
        <v>0</v>
      </c>
      <c r="C13" s="428" t="s">
        <v>343</v>
      </c>
      <c r="D13" s="408"/>
      <c r="E13" s="409">
        <f t="shared" si="10"/>
        <v>0</v>
      </c>
      <c r="F13" s="410"/>
      <c r="G13" s="409">
        <f t="shared" si="12"/>
        <v>0</v>
      </c>
      <c r="H13" s="410"/>
      <c r="I13" s="409">
        <f t="shared" si="13"/>
        <v>0</v>
      </c>
      <c r="J13" s="410"/>
      <c r="K13" s="409">
        <f t="shared" si="11"/>
        <v>0</v>
      </c>
      <c r="L13" s="410"/>
      <c r="M13" s="409">
        <f t="shared" si="14"/>
        <v>0</v>
      </c>
      <c r="N13" s="410"/>
      <c r="O13" s="409">
        <f t="shared" si="15"/>
        <v>0</v>
      </c>
      <c r="P13" s="410"/>
      <c r="Q13" s="409">
        <f t="shared" si="16"/>
        <v>0</v>
      </c>
      <c r="R13" s="410"/>
      <c r="S13" s="409">
        <f t="shared" si="17"/>
        <v>0</v>
      </c>
      <c r="T13" s="411"/>
      <c r="U13" s="409">
        <f t="shared" si="18"/>
        <v>0</v>
      </c>
      <c r="V13" s="410"/>
      <c r="W13" s="409">
        <f t="shared" si="19"/>
        <v>0</v>
      </c>
      <c r="X13" s="410"/>
      <c r="Y13" s="409">
        <f t="shared" si="20"/>
        <v>0</v>
      </c>
      <c r="Z13" s="410"/>
      <c r="AA13" s="412">
        <f t="shared" si="21"/>
        <v>0</v>
      </c>
    </row>
    <row r="14" spans="1:28" s="407" customFormat="1" ht="18" customHeight="1" thickBot="1" x14ac:dyDescent="0.5">
      <c r="A14" s="429" t="s">
        <v>226</v>
      </c>
      <c r="B14" s="430">
        <f>B13-D13-F13-H13-J13-L13-N13-P13-R13-T13-V13-X13-Z13</f>
        <v>0</v>
      </c>
      <c r="C14" s="431" t="s">
        <v>315</v>
      </c>
      <c r="D14" s="413"/>
      <c r="E14" s="414">
        <f t="shared" si="10"/>
        <v>0</v>
      </c>
      <c r="F14" s="415"/>
      <c r="G14" s="414">
        <f t="shared" si="12"/>
        <v>0</v>
      </c>
      <c r="H14" s="415"/>
      <c r="I14" s="414">
        <f t="shared" si="13"/>
        <v>0</v>
      </c>
      <c r="J14" s="415"/>
      <c r="K14" s="417">
        <f t="shared" si="11"/>
        <v>0</v>
      </c>
      <c r="L14" s="415"/>
      <c r="M14" s="414">
        <f t="shared" si="14"/>
        <v>0</v>
      </c>
      <c r="N14" s="415"/>
      <c r="O14" s="414">
        <f t="shared" si="15"/>
        <v>0</v>
      </c>
      <c r="P14" s="415"/>
      <c r="Q14" s="414">
        <f t="shared" si="16"/>
        <v>0</v>
      </c>
      <c r="R14" s="415"/>
      <c r="S14" s="414">
        <f t="shared" si="17"/>
        <v>0</v>
      </c>
      <c r="T14" s="415"/>
      <c r="U14" s="414">
        <f t="shared" si="18"/>
        <v>0</v>
      </c>
      <c r="V14" s="415"/>
      <c r="W14" s="414">
        <f t="shared" si="19"/>
        <v>0</v>
      </c>
      <c r="X14" s="415"/>
      <c r="Y14" s="414">
        <f t="shared" si="20"/>
        <v>0</v>
      </c>
      <c r="Z14" s="415"/>
      <c r="AA14" s="416">
        <f t="shared" si="21"/>
        <v>0</v>
      </c>
    </row>
    <row r="15" spans="1:28" s="407" customFormat="1" ht="18" customHeight="1" x14ac:dyDescent="0.45">
      <c r="A15" s="437" t="str">
        <f>⑦原価詳細!A14</f>
        <v>○○</v>
      </c>
      <c r="B15" s="427">
        <f>⑦原価詳細!F14/1000000</f>
        <v>0</v>
      </c>
      <c r="C15" s="428" t="s">
        <v>343</v>
      </c>
      <c r="D15" s="408"/>
      <c r="E15" s="409">
        <f t="shared" si="10"/>
        <v>0</v>
      </c>
      <c r="F15" s="410"/>
      <c r="G15" s="409">
        <f t="shared" si="12"/>
        <v>0</v>
      </c>
      <c r="H15" s="410"/>
      <c r="I15" s="409">
        <f t="shared" si="13"/>
        <v>0</v>
      </c>
      <c r="J15" s="410"/>
      <c r="K15" s="409">
        <f t="shared" si="11"/>
        <v>0</v>
      </c>
      <c r="L15" s="410"/>
      <c r="M15" s="409">
        <f t="shared" si="14"/>
        <v>0</v>
      </c>
      <c r="N15" s="410"/>
      <c r="O15" s="409">
        <f t="shared" si="15"/>
        <v>0</v>
      </c>
      <c r="P15" s="410"/>
      <c r="Q15" s="409">
        <f t="shared" si="16"/>
        <v>0</v>
      </c>
      <c r="R15" s="410"/>
      <c r="S15" s="409">
        <f t="shared" si="17"/>
        <v>0</v>
      </c>
      <c r="T15" s="411"/>
      <c r="U15" s="409">
        <f t="shared" si="18"/>
        <v>0</v>
      </c>
      <c r="V15" s="410"/>
      <c r="W15" s="409">
        <f t="shared" si="19"/>
        <v>0</v>
      </c>
      <c r="X15" s="410"/>
      <c r="Y15" s="409">
        <f t="shared" si="20"/>
        <v>0</v>
      </c>
      <c r="Z15" s="410"/>
      <c r="AA15" s="412">
        <f t="shared" si="21"/>
        <v>0</v>
      </c>
    </row>
    <row r="16" spans="1:28" s="407" customFormat="1" ht="18" customHeight="1" thickBot="1" x14ac:dyDescent="0.5">
      <c r="A16" s="429" t="s">
        <v>226</v>
      </c>
      <c r="B16" s="430">
        <f>B15-D15-F15-H15-J15-L15-N15-P15-R15-T15-V15-X15-Z15</f>
        <v>0</v>
      </c>
      <c r="C16" s="431" t="s">
        <v>315</v>
      </c>
      <c r="D16" s="413"/>
      <c r="E16" s="414">
        <f t="shared" si="10"/>
        <v>0</v>
      </c>
      <c r="F16" s="415"/>
      <c r="G16" s="414">
        <f t="shared" si="12"/>
        <v>0</v>
      </c>
      <c r="H16" s="415"/>
      <c r="I16" s="414">
        <f t="shared" si="13"/>
        <v>0</v>
      </c>
      <c r="J16" s="415"/>
      <c r="K16" s="417">
        <f t="shared" si="11"/>
        <v>0</v>
      </c>
      <c r="L16" s="415"/>
      <c r="M16" s="414">
        <f t="shared" si="14"/>
        <v>0</v>
      </c>
      <c r="N16" s="415"/>
      <c r="O16" s="414">
        <f t="shared" si="15"/>
        <v>0</v>
      </c>
      <c r="P16" s="415"/>
      <c r="Q16" s="414">
        <f t="shared" si="16"/>
        <v>0</v>
      </c>
      <c r="R16" s="415"/>
      <c r="S16" s="414">
        <f t="shared" si="17"/>
        <v>0</v>
      </c>
      <c r="T16" s="415"/>
      <c r="U16" s="414">
        <f t="shared" si="18"/>
        <v>0</v>
      </c>
      <c r="V16" s="415"/>
      <c r="W16" s="414">
        <f t="shared" si="19"/>
        <v>0</v>
      </c>
      <c r="X16" s="415"/>
      <c r="Y16" s="414">
        <f t="shared" si="20"/>
        <v>0</v>
      </c>
      <c r="Z16" s="415"/>
      <c r="AA16" s="416">
        <f t="shared" si="21"/>
        <v>0</v>
      </c>
    </row>
    <row r="17" spans="1:27" s="407" customFormat="1" ht="18" customHeight="1" x14ac:dyDescent="0.45">
      <c r="A17" s="437" t="str">
        <f>⑦原価詳細!A15</f>
        <v>○○</v>
      </c>
      <c r="B17" s="427">
        <f>⑦原価詳細!F15/1000000</f>
        <v>0</v>
      </c>
      <c r="C17" s="428" t="s">
        <v>343</v>
      </c>
      <c r="D17" s="408"/>
      <c r="E17" s="409">
        <f t="shared" si="10"/>
        <v>0</v>
      </c>
      <c r="F17" s="410"/>
      <c r="G17" s="409">
        <f t="shared" si="12"/>
        <v>0</v>
      </c>
      <c r="H17" s="410"/>
      <c r="I17" s="409">
        <f t="shared" si="13"/>
        <v>0</v>
      </c>
      <c r="J17" s="410"/>
      <c r="K17" s="409">
        <f t="shared" si="11"/>
        <v>0</v>
      </c>
      <c r="L17" s="410"/>
      <c r="M17" s="409">
        <f t="shared" si="14"/>
        <v>0</v>
      </c>
      <c r="N17" s="410"/>
      <c r="O17" s="409">
        <f t="shared" si="15"/>
        <v>0</v>
      </c>
      <c r="P17" s="410"/>
      <c r="Q17" s="409">
        <f t="shared" si="16"/>
        <v>0</v>
      </c>
      <c r="R17" s="410"/>
      <c r="S17" s="409">
        <f t="shared" si="17"/>
        <v>0</v>
      </c>
      <c r="T17" s="411"/>
      <c r="U17" s="409">
        <f t="shared" si="18"/>
        <v>0</v>
      </c>
      <c r="V17" s="410"/>
      <c r="W17" s="409">
        <f t="shared" si="19"/>
        <v>0</v>
      </c>
      <c r="X17" s="410"/>
      <c r="Y17" s="409">
        <f t="shared" si="20"/>
        <v>0</v>
      </c>
      <c r="Z17" s="410"/>
      <c r="AA17" s="412">
        <f t="shared" si="21"/>
        <v>0</v>
      </c>
    </row>
    <row r="18" spans="1:27" s="407" customFormat="1" ht="18" customHeight="1" thickBot="1" x14ac:dyDescent="0.5">
      <c r="A18" s="429" t="s">
        <v>226</v>
      </c>
      <c r="B18" s="430">
        <f>B17-D17-F17-H17-J17-L17-N17-P17-R17-T17-V17-X17-Z17</f>
        <v>0</v>
      </c>
      <c r="C18" s="431" t="s">
        <v>315</v>
      </c>
      <c r="D18" s="413"/>
      <c r="E18" s="414">
        <f t="shared" si="10"/>
        <v>0</v>
      </c>
      <c r="F18" s="415"/>
      <c r="G18" s="414">
        <f t="shared" si="12"/>
        <v>0</v>
      </c>
      <c r="H18" s="415"/>
      <c r="I18" s="414">
        <f t="shared" si="13"/>
        <v>0</v>
      </c>
      <c r="J18" s="415"/>
      <c r="K18" s="417">
        <f t="shared" si="11"/>
        <v>0</v>
      </c>
      <c r="L18" s="415"/>
      <c r="M18" s="414">
        <f t="shared" si="14"/>
        <v>0</v>
      </c>
      <c r="N18" s="415"/>
      <c r="O18" s="414">
        <f t="shared" si="15"/>
        <v>0</v>
      </c>
      <c r="P18" s="415"/>
      <c r="Q18" s="414">
        <f t="shared" si="16"/>
        <v>0</v>
      </c>
      <c r="R18" s="415"/>
      <c r="S18" s="414">
        <f t="shared" si="17"/>
        <v>0</v>
      </c>
      <c r="T18" s="415"/>
      <c r="U18" s="414">
        <f t="shared" si="18"/>
        <v>0</v>
      </c>
      <c r="V18" s="415"/>
      <c r="W18" s="414">
        <f t="shared" si="19"/>
        <v>0</v>
      </c>
      <c r="X18" s="415"/>
      <c r="Y18" s="414">
        <f t="shared" si="20"/>
        <v>0</v>
      </c>
      <c r="Z18" s="415"/>
      <c r="AA18" s="416">
        <f t="shared" si="21"/>
        <v>0</v>
      </c>
    </row>
    <row r="19" spans="1:27" s="407" customFormat="1" ht="18" customHeight="1" x14ac:dyDescent="0.45">
      <c r="A19" s="437" t="str">
        <f>⑦原価詳細!A16</f>
        <v>〇〇</v>
      </c>
      <c r="B19" s="427">
        <f>⑦原価詳細!F16/1000000</f>
        <v>0</v>
      </c>
      <c r="C19" s="428" t="s">
        <v>343</v>
      </c>
      <c r="D19" s="408"/>
      <c r="E19" s="409">
        <f t="shared" si="10"/>
        <v>0</v>
      </c>
      <c r="F19" s="410"/>
      <c r="G19" s="409">
        <f t="shared" si="12"/>
        <v>0</v>
      </c>
      <c r="H19" s="410"/>
      <c r="I19" s="409">
        <f t="shared" si="13"/>
        <v>0</v>
      </c>
      <c r="J19" s="410"/>
      <c r="K19" s="409">
        <f t="shared" si="11"/>
        <v>0</v>
      </c>
      <c r="L19" s="410"/>
      <c r="M19" s="409">
        <f t="shared" si="14"/>
        <v>0</v>
      </c>
      <c r="N19" s="410"/>
      <c r="O19" s="409">
        <f t="shared" si="15"/>
        <v>0</v>
      </c>
      <c r="P19" s="410"/>
      <c r="Q19" s="409">
        <f t="shared" si="16"/>
        <v>0</v>
      </c>
      <c r="R19" s="410"/>
      <c r="S19" s="409">
        <f t="shared" si="17"/>
        <v>0</v>
      </c>
      <c r="T19" s="411"/>
      <c r="U19" s="409">
        <f t="shared" si="18"/>
        <v>0</v>
      </c>
      <c r="V19" s="410"/>
      <c r="W19" s="409">
        <f t="shared" si="19"/>
        <v>0</v>
      </c>
      <c r="X19" s="410"/>
      <c r="Y19" s="409">
        <f t="shared" si="20"/>
        <v>0</v>
      </c>
      <c r="Z19" s="410"/>
      <c r="AA19" s="412">
        <f t="shared" si="21"/>
        <v>0</v>
      </c>
    </row>
    <row r="20" spans="1:27" s="407" customFormat="1" ht="18" customHeight="1" thickBot="1" x14ac:dyDescent="0.5">
      <c r="A20" s="429" t="s">
        <v>226</v>
      </c>
      <c r="B20" s="430">
        <f>B19-D19-F19-H19-J19-L19-N19-P19-R19-T19-V19-X19-Z19</f>
        <v>0</v>
      </c>
      <c r="C20" s="431" t="s">
        <v>315</v>
      </c>
      <c r="D20" s="413"/>
      <c r="E20" s="414">
        <f t="shared" si="10"/>
        <v>0</v>
      </c>
      <c r="F20" s="415"/>
      <c r="G20" s="414">
        <f t="shared" si="12"/>
        <v>0</v>
      </c>
      <c r="H20" s="415"/>
      <c r="I20" s="414">
        <f t="shared" si="13"/>
        <v>0</v>
      </c>
      <c r="J20" s="415"/>
      <c r="K20" s="417">
        <f t="shared" si="11"/>
        <v>0</v>
      </c>
      <c r="L20" s="415"/>
      <c r="M20" s="414">
        <f t="shared" si="14"/>
        <v>0</v>
      </c>
      <c r="N20" s="415"/>
      <c r="O20" s="414">
        <f t="shared" si="15"/>
        <v>0</v>
      </c>
      <c r="P20" s="415"/>
      <c r="Q20" s="414">
        <f t="shared" si="16"/>
        <v>0</v>
      </c>
      <c r="R20" s="415"/>
      <c r="S20" s="414">
        <f t="shared" si="17"/>
        <v>0</v>
      </c>
      <c r="T20" s="415"/>
      <c r="U20" s="414">
        <f t="shared" si="18"/>
        <v>0</v>
      </c>
      <c r="V20" s="415"/>
      <c r="W20" s="414">
        <f t="shared" si="19"/>
        <v>0</v>
      </c>
      <c r="X20" s="415"/>
      <c r="Y20" s="414">
        <f t="shared" si="20"/>
        <v>0</v>
      </c>
      <c r="Z20" s="415"/>
      <c r="AA20" s="416">
        <f t="shared" si="21"/>
        <v>0</v>
      </c>
    </row>
    <row r="21" spans="1:27" s="407" customFormat="1" ht="18" customHeight="1" x14ac:dyDescent="0.45">
      <c r="A21" s="437" t="str">
        <f>⑦原価詳細!A17</f>
        <v>○○</v>
      </c>
      <c r="B21" s="427">
        <f>⑦原価詳細!F17/1000000</f>
        <v>0</v>
      </c>
      <c r="C21" s="428" t="s">
        <v>343</v>
      </c>
      <c r="D21" s="408"/>
      <c r="E21" s="409">
        <f t="shared" si="10"/>
        <v>0</v>
      </c>
      <c r="F21" s="410"/>
      <c r="G21" s="409">
        <f t="shared" si="12"/>
        <v>0</v>
      </c>
      <c r="H21" s="410"/>
      <c r="I21" s="409">
        <f t="shared" si="13"/>
        <v>0</v>
      </c>
      <c r="J21" s="410"/>
      <c r="K21" s="409">
        <f t="shared" si="11"/>
        <v>0</v>
      </c>
      <c r="L21" s="410"/>
      <c r="M21" s="409">
        <f t="shared" si="14"/>
        <v>0</v>
      </c>
      <c r="N21" s="410"/>
      <c r="O21" s="409">
        <f t="shared" si="15"/>
        <v>0</v>
      </c>
      <c r="P21" s="410"/>
      <c r="Q21" s="409">
        <f t="shared" si="16"/>
        <v>0</v>
      </c>
      <c r="R21" s="410"/>
      <c r="S21" s="409">
        <f t="shared" si="17"/>
        <v>0</v>
      </c>
      <c r="T21" s="411"/>
      <c r="U21" s="409">
        <f t="shared" si="18"/>
        <v>0</v>
      </c>
      <c r="V21" s="410"/>
      <c r="W21" s="409">
        <f t="shared" si="19"/>
        <v>0</v>
      </c>
      <c r="X21" s="410"/>
      <c r="Y21" s="409">
        <f t="shared" si="20"/>
        <v>0</v>
      </c>
      <c r="Z21" s="410"/>
      <c r="AA21" s="412">
        <f t="shared" si="21"/>
        <v>0</v>
      </c>
    </row>
    <row r="22" spans="1:27" s="407" customFormat="1" ht="18" customHeight="1" thickBot="1" x14ac:dyDescent="0.5">
      <c r="A22" s="429" t="s">
        <v>226</v>
      </c>
      <c r="B22" s="430">
        <f>B21-D21-F21-H21-J21-L21-N21-P21-R21-T21-V21-X21-Z21</f>
        <v>0</v>
      </c>
      <c r="C22" s="431" t="s">
        <v>315</v>
      </c>
      <c r="D22" s="413"/>
      <c r="E22" s="414">
        <f t="shared" si="10"/>
        <v>0</v>
      </c>
      <c r="F22" s="415"/>
      <c r="G22" s="414">
        <f t="shared" si="12"/>
        <v>0</v>
      </c>
      <c r="H22" s="415"/>
      <c r="I22" s="414">
        <f t="shared" si="13"/>
        <v>0</v>
      </c>
      <c r="J22" s="415"/>
      <c r="K22" s="417">
        <f t="shared" si="11"/>
        <v>0</v>
      </c>
      <c r="L22" s="415"/>
      <c r="M22" s="414">
        <f t="shared" si="14"/>
        <v>0</v>
      </c>
      <c r="N22" s="415"/>
      <c r="O22" s="414">
        <f t="shared" si="15"/>
        <v>0</v>
      </c>
      <c r="P22" s="415"/>
      <c r="Q22" s="414">
        <f t="shared" si="16"/>
        <v>0</v>
      </c>
      <c r="R22" s="415"/>
      <c r="S22" s="414">
        <f t="shared" si="17"/>
        <v>0</v>
      </c>
      <c r="T22" s="415"/>
      <c r="U22" s="414">
        <f t="shared" si="18"/>
        <v>0</v>
      </c>
      <c r="V22" s="415"/>
      <c r="W22" s="414">
        <f t="shared" si="19"/>
        <v>0</v>
      </c>
      <c r="X22" s="415"/>
      <c r="Y22" s="414">
        <f t="shared" si="20"/>
        <v>0</v>
      </c>
      <c r="Z22" s="415"/>
      <c r="AA22" s="416">
        <f t="shared" si="21"/>
        <v>0</v>
      </c>
    </row>
    <row r="23" spans="1:27" s="407" customFormat="1" ht="18" customHeight="1" x14ac:dyDescent="0.45">
      <c r="A23" s="437" t="str">
        <f>⑦原価詳細!A18</f>
        <v>○○</v>
      </c>
      <c r="B23" s="427">
        <f>⑦原価詳細!F18/1000000</f>
        <v>0</v>
      </c>
      <c r="C23" s="428" t="s">
        <v>343</v>
      </c>
      <c r="D23" s="408"/>
      <c r="E23" s="409">
        <f t="shared" si="10"/>
        <v>0</v>
      </c>
      <c r="F23" s="410"/>
      <c r="G23" s="409">
        <f t="shared" si="12"/>
        <v>0</v>
      </c>
      <c r="H23" s="410"/>
      <c r="I23" s="409">
        <f t="shared" si="13"/>
        <v>0</v>
      </c>
      <c r="J23" s="410"/>
      <c r="K23" s="409">
        <f t="shared" si="11"/>
        <v>0</v>
      </c>
      <c r="L23" s="410"/>
      <c r="M23" s="409">
        <f t="shared" si="14"/>
        <v>0</v>
      </c>
      <c r="N23" s="410"/>
      <c r="O23" s="409">
        <f t="shared" si="15"/>
        <v>0</v>
      </c>
      <c r="P23" s="410"/>
      <c r="Q23" s="409">
        <f t="shared" si="16"/>
        <v>0</v>
      </c>
      <c r="R23" s="410"/>
      <c r="S23" s="409">
        <f t="shared" si="17"/>
        <v>0</v>
      </c>
      <c r="T23" s="411"/>
      <c r="U23" s="409">
        <f t="shared" si="18"/>
        <v>0</v>
      </c>
      <c r="V23" s="410"/>
      <c r="W23" s="409">
        <f t="shared" si="19"/>
        <v>0</v>
      </c>
      <c r="X23" s="410"/>
      <c r="Y23" s="409">
        <f t="shared" si="20"/>
        <v>0</v>
      </c>
      <c r="Z23" s="410"/>
      <c r="AA23" s="412">
        <f t="shared" si="21"/>
        <v>0</v>
      </c>
    </row>
    <row r="24" spans="1:27" s="407" customFormat="1" ht="18" customHeight="1" thickBot="1" x14ac:dyDescent="0.5">
      <c r="A24" s="429" t="s">
        <v>226</v>
      </c>
      <c r="B24" s="430">
        <f>B23-D23-F23-H23-J23-L23-N23-P23-R23-T23-V23-X23-Z23</f>
        <v>0</v>
      </c>
      <c r="C24" s="431" t="s">
        <v>315</v>
      </c>
      <c r="D24" s="413"/>
      <c r="E24" s="414">
        <f t="shared" si="10"/>
        <v>0</v>
      </c>
      <c r="F24" s="415"/>
      <c r="G24" s="414">
        <f t="shared" si="12"/>
        <v>0</v>
      </c>
      <c r="H24" s="415"/>
      <c r="I24" s="414">
        <f t="shared" si="13"/>
        <v>0</v>
      </c>
      <c r="J24" s="415"/>
      <c r="K24" s="417">
        <f t="shared" si="11"/>
        <v>0</v>
      </c>
      <c r="L24" s="415"/>
      <c r="M24" s="414">
        <f t="shared" si="14"/>
        <v>0</v>
      </c>
      <c r="N24" s="415"/>
      <c r="O24" s="414">
        <f t="shared" si="15"/>
        <v>0</v>
      </c>
      <c r="P24" s="415"/>
      <c r="Q24" s="414">
        <f t="shared" si="16"/>
        <v>0</v>
      </c>
      <c r="R24" s="415"/>
      <c r="S24" s="414">
        <f t="shared" si="17"/>
        <v>0</v>
      </c>
      <c r="T24" s="415"/>
      <c r="U24" s="414">
        <f t="shared" si="18"/>
        <v>0</v>
      </c>
      <c r="V24" s="415"/>
      <c r="W24" s="414">
        <f t="shared" si="19"/>
        <v>0</v>
      </c>
      <c r="X24" s="415"/>
      <c r="Y24" s="414">
        <f t="shared" si="20"/>
        <v>0</v>
      </c>
      <c r="Z24" s="415"/>
      <c r="AA24" s="416">
        <f t="shared" si="21"/>
        <v>0</v>
      </c>
    </row>
    <row r="25" spans="1:27" s="407" customFormat="1" ht="18" customHeight="1" x14ac:dyDescent="0.45">
      <c r="A25" s="437" t="str">
        <f>⑦原価詳細!A19</f>
        <v>○○</v>
      </c>
      <c r="B25" s="427">
        <f>⑦原価詳細!F19/1000000</f>
        <v>0</v>
      </c>
      <c r="C25" s="428" t="s">
        <v>343</v>
      </c>
      <c r="D25" s="408"/>
      <c r="E25" s="409">
        <f t="shared" si="10"/>
        <v>0</v>
      </c>
      <c r="F25" s="410"/>
      <c r="G25" s="409">
        <f t="shared" si="12"/>
        <v>0</v>
      </c>
      <c r="H25" s="410"/>
      <c r="I25" s="409">
        <f t="shared" si="13"/>
        <v>0</v>
      </c>
      <c r="J25" s="410"/>
      <c r="K25" s="409">
        <f t="shared" si="11"/>
        <v>0</v>
      </c>
      <c r="L25" s="410"/>
      <c r="M25" s="409">
        <f t="shared" si="14"/>
        <v>0</v>
      </c>
      <c r="N25" s="410"/>
      <c r="O25" s="409">
        <f t="shared" si="15"/>
        <v>0</v>
      </c>
      <c r="P25" s="410"/>
      <c r="Q25" s="409">
        <f t="shared" si="16"/>
        <v>0</v>
      </c>
      <c r="R25" s="410"/>
      <c r="S25" s="409">
        <f t="shared" si="17"/>
        <v>0</v>
      </c>
      <c r="T25" s="411"/>
      <c r="U25" s="409">
        <f t="shared" si="18"/>
        <v>0</v>
      </c>
      <c r="V25" s="410"/>
      <c r="W25" s="409">
        <f t="shared" si="19"/>
        <v>0</v>
      </c>
      <c r="X25" s="410"/>
      <c r="Y25" s="409">
        <f t="shared" si="20"/>
        <v>0</v>
      </c>
      <c r="Z25" s="410"/>
      <c r="AA25" s="412">
        <f t="shared" si="21"/>
        <v>0</v>
      </c>
    </row>
    <row r="26" spans="1:27" s="407" customFormat="1" ht="18" customHeight="1" thickBot="1" x14ac:dyDescent="0.5">
      <c r="A26" s="429" t="s">
        <v>226</v>
      </c>
      <c r="B26" s="430">
        <f>B25-D25-F25-H25-J25-L25-N25-P25-R25-T25-V25-X25-Z25</f>
        <v>0</v>
      </c>
      <c r="C26" s="431" t="s">
        <v>315</v>
      </c>
      <c r="D26" s="413"/>
      <c r="E26" s="414">
        <f t="shared" si="10"/>
        <v>0</v>
      </c>
      <c r="F26" s="415"/>
      <c r="G26" s="414">
        <f t="shared" si="12"/>
        <v>0</v>
      </c>
      <c r="H26" s="415"/>
      <c r="I26" s="414">
        <f t="shared" si="13"/>
        <v>0</v>
      </c>
      <c r="J26" s="415"/>
      <c r="K26" s="417">
        <f t="shared" si="11"/>
        <v>0</v>
      </c>
      <c r="L26" s="415"/>
      <c r="M26" s="414">
        <f t="shared" si="14"/>
        <v>0</v>
      </c>
      <c r="N26" s="415"/>
      <c r="O26" s="414">
        <f t="shared" si="15"/>
        <v>0</v>
      </c>
      <c r="P26" s="415"/>
      <c r="Q26" s="414">
        <f t="shared" si="16"/>
        <v>0</v>
      </c>
      <c r="R26" s="415"/>
      <c r="S26" s="414">
        <f t="shared" si="17"/>
        <v>0</v>
      </c>
      <c r="T26" s="415"/>
      <c r="U26" s="414">
        <f t="shared" si="18"/>
        <v>0</v>
      </c>
      <c r="V26" s="415"/>
      <c r="W26" s="414">
        <f t="shared" si="19"/>
        <v>0</v>
      </c>
      <c r="X26" s="415"/>
      <c r="Y26" s="414">
        <f t="shared" si="20"/>
        <v>0</v>
      </c>
      <c r="Z26" s="415"/>
      <c r="AA26" s="416">
        <f t="shared" si="21"/>
        <v>0</v>
      </c>
    </row>
    <row r="27" spans="1:27" s="407" customFormat="1" ht="18" customHeight="1" x14ac:dyDescent="0.45">
      <c r="A27" s="437" t="str">
        <f>⑦原価詳細!A20</f>
        <v>○○</v>
      </c>
      <c r="B27" s="427">
        <f>⑦原価詳細!F20/1000000</f>
        <v>0</v>
      </c>
      <c r="C27" s="428" t="s">
        <v>343</v>
      </c>
      <c r="D27" s="408"/>
      <c r="E27" s="409">
        <f t="shared" si="10"/>
        <v>0</v>
      </c>
      <c r="F27" s="410"/>
      <c r="G27" s="409">
        <f t="shared" si="12"/>
        <v>0</v>
      </c>
      <c r="H27" s="410"/>
      <c r="I27" s="409">
        <f t="shared" si="13"/>
        <v>0</v>
      </c>
      <c r="J27" s="410"/>
      <c r="K27" s="409">
        <f t="shared" si="11"/>
        <v>0</v>
      </c>
      <c r="L27" s="410"/>
      <c r="M27" s="409">
        <f t="shared" si="14"/>
        <v>0</v>
      </c>
      <c r="N27" s="410"/>
      <c r="O27" s="409">
        <f t="shared" si="15"/>
        <v>0</v>
      </c>
      <c r="P27" s="410"/>
      <c r="Q27" s="409">
        <f t="shared" si="16"/>
        <v>0</v>
      </c>
      <c r="R27" s="410"/>
      <c r="S27" s="409">
        <f t="shared" si="17"/>
        <v>0</v>
      </c>
      <c r="T27" s="411"/>
      <c r="U27" s="409">
        <f t="shared" si="18"/>
        <v>0</v>
      </c>
      <c r="V27" s="410"/>
      <c r="W27" s="409">
        <f t="shared" si="19"/>
        <v>0</v>
      </c>
      <c r="X27" s="410"/>
      <c r="Y27" s="409">
        <f t="shared" si="20"/>
        <v>0</v>
      </c>
      <c r="Z27" s="410"/>
      <c r="AA27" s="412">
        <f t="shared" si="21"/>
        <v>0</v>
      </c>
    </row>
    <row r="28" spans="1:27" s="407" customFormat="1" ht="18" customHeight="1" thickBot="1" x14ac:dyDescent="0.5">
      <c r="A28" s="429" t="s">
        <v>226</v>
      </c>
      <c r="B28" s="430">
        <f>B27-D27-F27-H27-J27-L27-N27-P27-R27-T27-V27-X27-Z27</f>
        <v>0</v>
      </c>
      <c r="C28" s="431" t="s">
        <v>315</v>
      </c>
      <c r="D28" s="413"/>
      <c r="E28" s="414">
        <f t="shared" si="10"/>
        <v>0</v>
      </c>
      <c r="F28" s="415"/>
      <c r="G28" s="414">
        <f t="shared" si="12"/>
        <v>0</v>
      </c>
      <c r="H28" s="415"/>
      <c r="I28" s="414">
        <f t="shared" si="13"/>
        <v>0</v>
      </c>
      <c r="J28" s="415"/>
      <c r="K28" s="417">
        <f t="shared" si="11"/>
        <v>0</v>
      </c>
      <c r="L28" s="415"/>
      <c r="M28" s="414">
        <f t="shared" si="14"/>
        <v>0</v>
      </c>
      <c r="N28" s="415"/>
      <c r="O28" s="414">
        <f t="shared" si="15"/>
        <v>0</v>
      </c>
      <c r="P28" s="415"/>
      <c r="Q28" s="414">
        <f t="shared" si="16"/>
        <v>0</v>
      </c>
      <c r="R28" s="415"/>
      <c r="S28" s="414">
        <f t="shared" si="17"/>
        <v>0</v>
      </c>
      <c r="T28" s="415"/>
      <c r="U28" s="414">
        <f t="shared" si="18"/>
        <v>0</v>
      </c>
      <c r="V28" s="415"/>
      <c r="W28" s="414">
        <f t="shared" si="19"/>
        <v>0</v>
      </c>
      <c r="X28" s="415"/>
      <c r="Y28" s="414">
        <f t="shared" si="20"/>
        <v>0</v>
      </c>
      <c r="Z28" s="415"/>
      <c r="AA28" s="416">
        <f t="shared" si="21"/>
        <v>0</v>
      </c>
    </row>
    <row r="29" spans="1:27" s="407" customFormat="1" ht="18" customHeight="1" x14ac:dyDescent="0.45">
      <c r="A29" s="437" t="str">
        <f>⑦原価詳細!A21</f>
        <v>○○</v>
      </c>
      <c r="B29" s="427">
        <f>⑦原価詳細!F21/1000000</f>
        <v>0</v>
      </c>
      <c r="C29" s="428" t="s">
        <v>343</v>
      </c>
      <c r="D29" s="408"/>
      <c r="E29" s="409">
        <f t="shared" si="10"/>
        <v>0</v>
      </c>
      <c r="F29" s="410"/>
      <c r="G29" s="409">
        <f t="shared" si="12"/>
        <v>0</v>
      </c>
      <c r="H29" s="410"/>
      <c r="I29" s="409">
        <f t="shared" si="13"/>
        <v>0</v>
      </c>
      <c r="J29" s="410"/>
      <c r="K29" s="409">
        <f t="shared" si="11"/>
        <v>0</v>
      </c>
      <c r="L29" s="410"/>
      <c r="M29" s="409">
        <f t="shared" si="14"/>
        <v>0</v>
      </c>
      <c r="N29" s="410"/>
      <c r="O29" s="409">
        <f t="shared" si="15"/>
        <v>0</v>
      </c>
      <c r="P29" s="410"/>
      <c r="Q29" s="409">
        <f t="shared" si="16"/>
        <v>0</v>
      </c>
      <c r="R29" s="410"/>
      <c r="S29" s="409">
        <f t="shared" si="17"/>
        <v>0</v>
      </c>
      <c r="T29" s="411"/>
      <c r="U29" s="409">
        <f t="shared" si="18"/>
        <v>0</v>
      </c>
      <c r="V29" s="410"/>
      <c r="W29" s="409">
        <f t="shared" si="19"/>
        <v>0</v>
      </c>
      <c r="X29" s="410"/>
      <c r="Y29" s="409">
        <f t="shared" si="20"/>
        <v>0</v>
      </c>
      <c r="Z29" s="410"/>
      <c r="AA29" s="412">
        <f t="shared" si="21"/>
        <v>0</v>
      </c>
    </row>
    <row r="30" spans="1:27" s="407" customFormat="1" ht="18" customHeight="1" thickBot="1" x14ac:dyDescent="0.5">
      <c r="A30" s="429" t="s">
        <v>226</v>
      </c>
      <c r="B30" s="430">
        <f>B29-D29-F29-H29-J29-L29-N29-P29-R29-T29-V29-X29-Z29</f>
        <v>0</v>
      </c>
      <c r="C30" s="431" t="s">
        <v>315</v>
      </c>
      <c r="D30" s="413"/>
      <c r="E30" s="414">
        <f t="shared" si="10"/>
        <v>0</v>
      </c>
      <c r="F30" s="415"/>
      <c r="G30" s="414">
        <f t="shared" si="12"/>
        <v>0</v>
      </c>
      <c r="H30" s="415"/>
      <c r="I30" s="414">
        <f t="shared" si="13"/>
        <v>0</v>
      </c>
      <c r="J30" s="415"/>
      <c r="K30" s="417">
        <f t="shared" si="11"/>
        <v>0</v>
      </c>
      <c r="L30" s="415"/>
      <c r="M30" s="414">
        <f t="shared" si="14"/>
        <v>0</v>
      </c>
      <c r="N30" s="415"/>
      <c r="O30" s="414">
        <f t="shared" si="15"/>
        <v>0</v>
      </c>
      <c r="P30" s="415"/>
      <c r="Q30" s="414">
        <f t="shared" si="16"/>
        <v>0</v>
      </c>
      <c r="R30" s="415"/>
      <c r="S30" s="414">
        <f t="shared" si="17"/>
        <v>0</v>
      </c>
      <c r="T30" s="415"/>
      <c r="U30" s="414">
        <f t="shared" si="18"/>
        <v>0</v>
      </c>
      <c r="V30" s="415"/>
      <c r="W30" s="414">
        <f t="shared" si="19"/>
        <v>0</v>
      </c>
      <c r="X30" s="415"/>
      <c r="Y30" s="414">
        <f t="shared" si="20"/>
        <v>0</v>
      </c>
      <c r="Z30" s="415"/>
      <c r="AA30" s="416">
        <f t="shared" si="21"/>
        <v>0</v>
      </c>
    </row>
    <row r="31" spans="1:27" s="407" customFormat="1" ht="18" customHeight="1" x14ac:dyDescent="0.45">
      <c r="A31" s="437" t="str">
        <f>⑦原価詳細!A22</f>
        <v>○○</v>
      </c>
      <c r="B31" s="427">
        <f>⑦原価詳細!F22/1000000</f>
        <v>0</v>
      </c>
      <c r="C31" s="428" t="s">
        <v>343</v>
      </c>
      <c r="D31" s="408"/>
      <c r="E31" s="409">
        <f t="shared" si="10"/>
        <v>0</v>
      </c>
      <c r="F31" s="410"/>
      <c r="G31" s="409">
        <f t="shared" si="12"/>
        <v>0</v>
      </c>
      <c r="H31" s="410"/>
      <c r="I31" s="409">
        <f t="shared" si="13"/>
        <v>0</v>
      </c>
      <c r="J31" s="410"/>
      <c r="K31" s="409">
        <f t="shared" si="11"/>
        <v>0</v>
      </c>
      <c r="L31" s="410"/>
      <c r="M31" s="409">
        <f t="shared" si="14"/>
        <v>0</v>
      </c>
      <c r="N31" s="410"/>
      <c r="O31" s="409">
        <f t="shared" si="15"/>
        <v>0</v>
      </c>
      <c r="P31" s="410"/>
      <c r="Q31" s="409">
        <f t="shared" si="16"/>
        <v>0</v>
      </c>
      <c r="R31" s="410"/>
      <c r="S31" s="409">
        <f t="shared" si="17"/>
        <v>0</v>
      </c>
      <c r="T31" s="411"/>
      <c r="U31" s="409">
        <f t="shared" si="18"/>
        <v>0</v>
      </c>
      <c r="V31" s="410"/>
      <c r="W31" s="409">
        <f t="shared" si="19"/>
        <v>0</v>
      </c>
      <c r="X31" s="410"/>
      <c r="Y31" s="409">
        <f t="shared" si="20"/>
        <v>0</v>
      </c>
      <c r="Z31" s="410"/>
      <c r="AA31" s="412">
        <f t="shared" si="21"/>
        <v>0</v>
      </c>
    </row>
    <row r="32" spans="1:27" s="407" customFormat="1" ht="18" customHeight="1" thickBot="1" x14ac:dyDescent="0.5">
      <c r="A32" s="429" t="s">
        <v>226</v>
      </c>
      <c r="B32" s="430">
        <f>B31-D31-F31-H31-J31-L31-N31-P31-R31-T31-V31-X31-Z31</f>
        <v>0</v>
      </c>
      <c r="C32" s="431" t="s">
        <v>315</v>
      </c>
      <c r="D32" s="413"/>
      <c r="E32" s="414">
        <f t="shared" si="10"/>
        <v>0</v>
      </c>
      <c r="F32" s="415"/>
      <c r="G32" s="414">
        <f t="shared" si="12"/>
        <v>0</v>
      </c>
      <c r="H32" s="415"/>
      <c r="I32" s="414">
        <f t="shared" si="13"/>
        <v>0</v>
      </c>
      <c r="J32" s="415"/>
      <c r="K32" s="417">
        <f t="shared" si="11"/>
        <v>0</v>
      </c>
      <c r="L32" s="415"/>
      <c r="M32" s="414">
        <f t="shared" si="14"/>
        <v>0</v>
      </c>
      <c r="N32" s="415"/>
      <c r="O32" s="414">
        <f t="shared" si="15"/>
        <v>0</v>
      </c>
      <c r="P32" s="415"/>
      <c r="Q32" s="414">
        <f t="shared" si="16"/>
        <v>0</v>
      </c>
      <c r="R32" s="415"/>
      <c r="S32" s="414">
        <f t="shared" si="17"/>
        <v>0</v>
      </c>
      <c r="T32" s="415"/>
      <c r="U32" s="414">
        <f t="shared" si="18"/>
        <v>0</v>
      </c>
      <c r="V32" s="415"/>
      <c r="W32" s="414">
        <f t="shared" si="19"/>
        <v>0</v>
      </c>
      <c r="X32" s="415"/>
      <c r="Y32" s="414">
        <f t="shared" si="20"/>
        <v>0</v>
      </c>
      <c r="Z32" s="415"/>
      <c r="AA32" s="416">
        <f t="shared" si="21"/>
        <v>0</v>
      </c>
    </row>
    <row r="33" spans="1:27" s="407" customFormat="1" ht="18" customHeight="1" x14ac:dyDescent="0.45">
      <c r="A33" s="437" t="str">
        <f>⑦原価詳細!A23</f>
        <v>○○</v>
      </c>
      <c r="B33" s="427">
        <f>⑦原価詳細!F23/1000000</f>
        <v>0</v>
      </c>
      <c r="C33" s="428" t="s">
        <v>343</v>
      </c>
      <c r="D33" s="408"/>
      <c r="E33" s="409">
        <f t="shared" si="10"/>
        <v>0</v>
      </c>
      <c r="F33" s="410"/>
      <c r="G33" s="409">
        <f t="shared" si="12"/>
        <v>0</v>
      </c>
      <c r="H33" s="410"/>
      <c r="I33" s="409">
        <f t="shared" si="13"/>
        <v>0</v>
      </c>
      <c r="J33" s="410"/>
      <c r="K33" s="409">
        <f t="shared" si="11"/>
        <v>0</v>
      </c>
      <c r="L33" s="410"/>
      <c r="M33" s="409">
        <f t="shared" si="14"/>
        <v>0</v>
      </c>
      <c r="N33" s="410"/>
      <c r="O33" s="409">
        <f t="shared" si="15"/>
        <v>0</v>
      </c>
      <c r="P33" s="410"/>
      <c r="Q33" s="409">
        <f t="shared" si="16"/>
        <v>0</v>
      </c>
      <c r="R33" s="410"/>
      <c r="S33" s="409">
        <f t="shared" si="17"/>
        <v>0</v>
      </c>
      <c r="T33" s="411"/>
      <c r="U33" s="409">
        <f t="shared" si="18"/>
        <v>0</v>
      </c>
      <c r="V33" s="410"/>
      <c r="W33" s="409">
        <f t="shared" si="19"/>
        <v>0</v>
      </c>
      <c r="X33" s="410"/>
      <c r="Y33" s="409">
        <f t="shared" si="20"/>
        <v>0</v>
      </c>
      <c r="Z33" s="410"/>
      <c r="AA33" s="412">
        <f t="shared" si="21"/>
        <v>0</v>
      </c>
    </row>
    <row r="34" spans="1:27" s="407" customFormat="1" ht="18" customHeight="1" thickBot="1" x14ac:dyDescent="0.5">
      <c r="A34" s="429" t="s">
        <v>226</v>
      </c>
      <c r="B34" s="430">
        <f>B33-D33-F33-H33-J33-L33-N33-P33-R33-T33-V33-X33-Z33</f>
        <v>0</v>
      </c>
      <c r="C34" s="431" t="s">
        <v>315</v>
      </c>
      <c r="D34" s="413"/>
      <c r="E34" s="414">
        <f t="shared" si="10"/>
        <v>0</v>
      </c>
      <c r="F34" s="415"/>
      <c r="G34" s="414">
        <f t="shared" si="12"/>
        <v>0</v>
      </c>
      <c r="H34" s="415"/>
      <c r="I34" s="414">
        <f t="shared" si="13"/>
        <v>0</v>
      </c>
      <c r="J34" s="415"/>
      <c r="K34" s="417">
        <f t="shared" si="11"/>
        <v>0</v>
      </c>
      <c r="L34" s="415"/>
      <c r="M34" s="414">
        <f t="shared" si="14"/>
        <v>0</v>
      </c>
      <c r="N34" s="415"/>
      <c r="O34" s="414">
        <f t="shared" si="15"/>
        <v>0</v>
      </c>
      <c r="P34" s="415"/>
      <c r="Q34" s="414">
        <f t="shared" si="16"/>
        <v>0</v>
      </c>
      <c r="R34" s="415"/>
      <c r="S34" s="414">
        <f t="shared" si="17"/>
        <v>0</v>
      </c>
      <c r="T34" s="415"/>
      <c r="U34" s="414">
        <f t="shared" si="18"/>
        <v>0</v>
      </c>
      <c r="V34" s="415"/>
      <c r="W34" s="414">
        <f t="shared" si="19"/>
        <v>0</v>
      </c>
      <c r="X34" s="415"/>
      <c r="Y34" s="414">
        <f t="shared" si="20"/>
        <v>0</v>
      </c>
      <c r="Z34" s="415"/>
      <c r="AA34" s="416">
        <f t="shared" si="21"/>
        <v>0</v>
      </c>
    </row>
    <row r="35" spans="1:27" s="407" customFormat="1" ht="18" customHeight="1" x14ac:dyDescent="0.45">
      <c r="A35" s="437" t="str">
        <f>⑦原価詳細!A24</f>
        <v>○○</v>
      </c>
      <c r="B35" s="427">
        <f>⑦原価詳細!F24/1000000</f>
        <v>0</v>
      </c>
      <c r="C35" s="428" t="s">
        <v>343</v>
      </c>
      <c r="D35" s="408"/>
      <c r="E35" s="409">
        <f t="shared" si="10"/>
        <v>0</v>
      </c>
      <c r="F35" s="410"/>
      <c r="G35" s="409">
        <f t="shared" si="12"/>
        <v>0</v>
      </c>
      <c r="H35" s="410"/>
      <c r="I35" s="409">
        <f t="shared" si="13"/>
        <v>0</v>
      </c>
      <c r="J35" s="410"/>
      <c r="K35" s="409">
        <f t="shared" si="11"/>
        <v>0</v>
      </c>
      <c r="L35" s="410"/>
      <c r="M35" s="409">
        <f t="shared" si="14"/>
        <v>0</v>
      </c>
      <c r="N35" s="410"/>
      <c r="O35" s="409">
        <f t="shared" si="15"/>
        <v>0</v>
      </c>
      <c r="P35" s="410"/>
      <c r="Q35" s="409">
        <f t="shared" si="16"/>
        <v>0</v>
      </c>
      <c r="R35" s="410"/>
      <c r="S35" s="409">
        <f t="shared" si="17"/>
        <v>0</v>
      </c>
      <c r="T35" s="411"/>
      <c r="U35" s="409">
        <f t="shared" si="18"/>
        <v>0</v>
      </c>
      <c r="V35" s="410"/>
      <c r="W35" s="409">
        <f t="shared" si="19"/>
        <v>0</v>
      </c>
      <c r="X35" s="410"/>
      <c r="Y35" s="409">
        <f t="shared" si="20"/>
        <v>0</v>
      </c>
      <c r="Z35" s="410"/>
      <c r="AA35" s="412">
        <f t="shared" si="21"/>
        <v>0</v>
      </c>
    </row>
    <row r="36" spans="1:27" s="407" customFormat="1" ht="18" customHeight="1" thickBot="1" x14ac:dyDescent="0.5">
      <c r="A36" s="429" t="s">
        <v>226</v>
      </c>
      <c r="B36" s="430">
        <f>B35-D35-F35-H35-J35-L35-N35-P35-R35-T35-V35-X35-Z35</f>
        <v>0</v>
      </c>
      <c r="C36" s="431" t="s">
        <v>315</v>
      </c>
      <c r="D36" s="413"/>
      <c r="E36" s="414">
        <f t="shared" si="10"/>
        <v>0</v>
      </c>
      <c r="F36" s="415"/>
      <c r="G36" s="414">
        <f t="shared" si="12"/>
        <v>0</v>
      </c>
      <c r="H36" s="415"/>
      <c r="I36" s="414">
        <f t="shared" si="13"/>
        <v>0</v>
      </c>
      <c r="J36" s="415"/>
      <c r="K36" s="417">
        <f t="shared" si="11"/>
        <v>0</v>
      </c>
      <c r="L36" s="415"/>
      <c r="M36" s="414">
        <f t="shared" si="14"/>
        <v>0</v>
      </c>
      <c r="N36" s="415"/>
      <c r="O36" s="414">
        <f t="shared" si="15"/>
        <v>0</v>
      </c>
      <c r="P36" s="415"/>
      <c r="Q36" s="414">
        <f t="shared" si="16"/>
        <v>0</v>
      </c>
      <c r="R36" s="415"/>
      <c r="S36" s="414">
        <f t="shared" si="17"/>
        <v>0</v>
      </c>
      <c r="T36" s="415"/>
      <c r="U36" s="414">
        <f t="shared" si="18"/>
        <v>0</v>
      </c>
      <c r="V36" s="415"/>
      <c r="W36" s="414">
        <f t="shared" si="19"/>
        <v>0</v>
      </c>
      <c r="X36" s="415"/>
      <c r="Y36" s="414">
        <f t="shared" si="20"/>
        <v>0</v>
      </c>
      <c r="Z36" s="415"/>
      <c r="AA36" s="416">
        <f t="shared" si="21"/>
        <v>0</v>
      </c>
    </row>
    <row r="37" spans="1:27" s="407" customFormat="1" ht="18" customHeight="1" x14ac:dyDescent="0.45">
      <c r="A37" s="437" t="str">
        <f>⑦原価詳細!A25</f>
        <v>○○</v>
      </c>
      <c r="B37" s="427">
        <f>⑦原価詳細!F25/1000000</f>
        <v>0</v>
      </c>
      <c r="C37" s="428" t="s">
        <v>343</v>
      </c>
      <c r="D37" s="408"/>
      <c r="E37" s="409">
        <f t="shared" si="10"/>
        <v>0</v>
      </c>
      <c r="F37" s="410"/>
      <c r="G37" s="409">
        <f t="shared" si="12"/>
        <v>0</v>
      </c>
      <c r="H37" s="410"/>
      <c r="I37" s="409">
        <f t="shared" si="13"/>
        <v>0</v>
      </c>
      <c r="J37" s="410"/>
      <c r="K37" s="409">
        <f t="shared" si="11"/>
        <v>0</v>
      </c>
      <c r="L37" s="410"/>
      <c r="M37" s="409">
        <f t="shared" si="14"/>
        <v>0</v>
      </c>
      <c r="N37" s="410"/>
      <c r="O37" s="409">
        <f t="shared" si="15"/>
        <v>0</v>
      </c>
      <c r="P37" s="410"/>
      <c r="Q37" s="409">
        <f t="shared" si="16"/>
        <v>0</v>
      </c>
      <c r="R37" s="410"/>
      <c r="S37" s="409">
        <f t="shared" si="17"/>
        <v>0</v>
      </c>
      <c r="T37" s="411"/>
      <c r="U37" s="409">
        <f t="shared" si="18"/>
        <v>0</v>
      </c>
      <c r="V37" s="410"/>
      <c r="W37" s="409">
        <f t="shared" si="19"/>
        <v>0</v>
      </c>
      <c r="X37" s="410"/>
      <c r="Y37" s="409">
        <f t="shared" si="20"/>
        <v>0</v>
      </c>
      <c r="Z37" s="410"/>
      <c r="AA37" s="412">
        <f t="shared" si="21"/>
        <v>0</v>
      </c>
    </row>
    <row r="38" spans="1:27" s="407" customFormat="1" ht="18" customHeight="1" thickBot="1" x14ac:dyDescent="0.5">
      <c r="A38" s="429" t="s">
        <v>226</v>
      </c>
      <c r="B38" s="430">
        <f>B37-D37-F37-H37-J37-L37-N37-P37-R37-T37-V37-X37-Z37</f>
        <v>0</v>
      </c>
      <c r="C38" s="431" t="s">
        <v>315</v>
      </c>
      <c r="D38" s="413"/>
      <c r="E38" s="414">
        <f t="shared" si="10"/>
        <v>0</v>
      </c>
      <c r="F38" s="415"/>
      <c r="G38" s="414">
        <f t="shared" si="12"/>
        <v>0</v>
      </c>
      <c r="H38" s="415"/>
      <c r="I38" s="414">
        <f t="shared" si="13"/>
        <v>0</v>
      </c>
      <c r="J38" s="415"/>
      <c r="K38" s="417">
        <f t="shared" si="11"/>
        <v>0</v>
      </c>
      <c r="L38" s="415"/>
      <c r="M38" s="414">
        <f t="shared" si="14"/>
        <v>0</v>
      </c>
      <c r="N38" s="415"/>
      <c r="O38" s="414">
        <f t="shared" si="15"/>
        <v>0</v>
      </c>
      <c r="P38" s="415"/>
      <c r="Q38" s="414">
        <f t="shared" si="16"/>
        <v>0</v>
      </c>
      <c r="R38" s="415"/>
      <c r="S38" s="414">
        <f t="shared" si="17"/>
        <v>0</v>
      </c>
      <c r="T38" s="415"/>
      <c r="U38" s="414">
        <f t="shared" si="18"/>
        <v>0</v>
      </c>
      <c r="V38" s="415"/>
      <c r="W38" s="414">
        <f t="shared" si="19"/>
        <v>0</v>
      </c>
      <c r="X38" s="415"/>
      <c r="Y38" s="414">
        <f t="shared" si="20"/>
        <v>0</v>
      </c>
      <c r="Z38" s="415"/>
      <c r="AA38" s="416">
        <f t="shared" si="21"/>
        <v>0</v>
      </c>
    </row>
    <row r="39" spans="1:27" s="407" customFormat="1" ht="18" customHeight="1" x14ac:dyDescent="0.45">
      <c r="A39" s="437" t="str">
        <f>⑦原価詳細!A26</f>
        <v>○○</v>
      </c>
      <c r="B39" s="427">
        <f>⑦原価詳細!F26/1000000</f>
        <v>0</v>
      </c>
      <c r="C39" s="428" t="s">
        <v>343</v>
      </c>
      <c r="D39" s="408"/>
      <c r="E39" s="409">
        <f t="shared" si="10"/>
        <v>0</v>
      </c>
      <c r="F39" s="410"/>
      <c r="G39" s="409">
        <f t="shared" si="12"/>
        <v>0</v>
      </c>
      <c r="H39" s="410"/>
      <c r="I39" s="409">
        <f t="shared" si="13"/>
        <v>0</v>
      </c>
      <c r="J39" s="410"/>
      <c r="K39" s="409">
        <f t="shared" si="11"/>
        <v>0</v>
      </c>
      <c r="L39" s="410"/>
      <c r="M39" s="409">
        <f t="shared" si="14"/>
        <v>0</v>
      </c>
      <c r="N39" s="410"/>
      <c r="O39" s="409">
        <f t="shared" si="15"/>
        <v>0</v>
      </c>
      <c r="P39" s="410"/>
      <c r="Q39" s="409">
        <f t="shared" si="16"/>
        <v>0</v>
      </c>
      <c r="R39" s="410"/>
      <c r="S39" s="409">
        <f t="shared" si="17"/>
        <v>0</v>
      </c>
      <c r="T39" s="411"/>
      <c r="U39" s="409">
        <f t="shared" si="18"/>
        <v>0</v>
      </c>
      <c r="V39" s="410"/>
      <c r="W39" s="409">
        <f t="shared" si="19"/>
        <v>0</v>
      </c>
      <c r="X39" s="410"/>
      <c r="Y39" s="409">
        <f t="shared" si="20"/>
        <v>0</v>
      </c>
      <c r="Z39" s="410"/>
      <c r="AA39" s="412">
        <f t="shared" si="21"/>
        <v>0</v>
      </c>
    </row>
    <row r="40" spans="1:27" s="407" customFormat="1" ht="18" customHeight="1" thickBot="1" x14ac:dyDescent="0.5">
      <c r="A40" s="429" t="s">
        <v>226</v>
      </c>
      <c r="B40" s="430">
        <f>B39-D39-F39-H39-J39-L39-N39-P39-R39-T39-V39-X39-Z39</f>
        <v>0</v>
      </c>
      <c r="C40" s="431" t="s">
        <v>315</v>
      </c>
      <c r="D40" s="413"/>
      <c r="E40" s="414">
        <f t="shared" si="10"/>
        <v>0</v>
      </c>
      <c r="F40" s="415"/>
      <c r="G40" s="414">
        <f t="shared" si="12"/>
        <v>0</v>
      </c>
      <c r="H40" s="415"/>
      <c r="I40" s="414">
        <f t="shared" si="13"/>
        <v>0</v>
      </c>
      <c r="J40" s="415"/>
      <c r="K40" s="417">
        <f t="shared" si="11"/>
        <v>0</v>
      </c>
      <c r="L40" s="415"/>
      <c r="M40" s="414">
        <f t="shared" si="14"/>
        <v>0</v>
      </c>
      <c r="N40" s="415"/>
      <c r="O40" s="414">
        <f t="shared" si="15"/>
        <v>0</v>
      </c>
      <c r="P40" s="415"/>
      <c r="Q40" s="414">
        <f t="shared" si="16"/>
        <v>0</v>
      </c>
      <c r="R40" s="415"/>
      <c r="S40" s="414">
        <f t="shared" si="17"/>
        <v>0</v>
      </c>
      <c r="T40" s="415"/>
      <c r="U40" s="414">
        <f t="shared" si="18"/>
        <v>0</v>
      </c>
      <c r="V40" s="415"/>
      <c r="W40" s="414">
        <f t="shared" si="19"/>
        <v>0</v>
      </c>
      <c r="X40" s="415"/>
      <c r="Y40" s="414">
        <f t="shared" si="20"/>
        <v>0</v>
      </c>
      <c r="Z40" s="415"/>
      <c r="AA40" s="416">
        <f t="shared" si="21"/>
        <v>0</v>
      </c>
    </row>
    <row r="41" spans="1:27" s="407" customFormat="1" ht="18" customHeight="1" x14ac:dyDescent="0.45">
      <c r="A41" s="437" t="str">
        <f>⑦原価詳細!A27</f>
        <v>○○</v>
      </c>
      <c r="B41" s="427">
        <f>⑦原価詳細!F27/1000000</f>
        <v>0</v>
      </c>
      <c r="C41" s="428" t="s">
        <v>343</v>
      </c>
      <c r="D41" s="408"/>
      <c r="E41" s="409">
        <f t="shared" si="10"/>
        <v>0</v>
      </c>
      <c r="F41" s="410"/>
      <c r="G41" s="409">
        <f t="shared" si="12"/>
        <v>0</v>
      </c>
      <c r="H41" s="410"/>
      <c r="I41" s="409">
        <f t="shared" si="13"/>
        <v>0</v>
      </c>
      <c r="J41" s="410"/>
      <c r="K41" s="409">
        <f t="shared" si="11"/>
        <v>0</v>
      </c>
      <c r="L41" s="410"/>
      <c r="M41" s="409">
        <f t="shared" si="14"/>
        <v>0</v>
      </c>
      <c r="N41" s="410"/>
      <c r="O41" s="409">
        <f t="shared" si="15"/>
        <v>0</v>
      </c>
      <c r="P41" s="410"/>
      <c r="Q41" s="409">
        <f t="shared" si="16"/>
        <v>0</v>
      </c>
      <c r="R41" s="410"/>
      <c r="S41" s="409">
        <f t="shared" si="17"/>
        <v>0</v>
      </c>
      <c r="T41" s="411"/>
      <c r="U41" s="409">
        <f t="shared" si="18"/>
        <v>0</v>
      </c>
      <c r="V41" s="410"/>
      <c r="W41" s="409">
        <f t="shared" si="19"/>
        <v>0</v>
      </c>
      <c r="X41" s="410"/>
      <c r="Y41" s="409">
        <f t="shared" si="20"/>
        <v>0</v>
      </c>
      <c r="Z41" s="410"/>
      <c r="AA41" s="412">
        <f t="shared" si="21"/>
        <v>0</v>
      </c>
    </row>
    <row r="42" spans="1:27" s="407" customFormat="1" ht="18" customHeight="1" thickBot="1" x14ac:dyDescent="0.5">
      <c r="A42" s="429" t="s">
        <v>226</v>
      </c>
      <c r="B42" s="430">
        <f>B41-D41-F41-H41-J41-L41-N41-P41-R41-T41-V41-X41-Z41</f>
        <v>0</v>
      </c>
      <c r="C42" s="431" t="s">
        <v>315</v>
      </c>
      <c r="D42" s="413"/>
      <c r="E42" s="414">
        <f t="shared" si="10"/>
        <v>0</v>
      </c>
      <c r="F42" s="415"/>
      <c r="G42" s="414">
        <f t="shared" si="12"/>
        <v>0</v>
      </c>
      <c r="H42" s="415"/>
      <c r="I42" s="414">
        <f t="shared" si="13"/>
        <v>0</v>
      </c>
      <c r="J42" s="415"/>
      <c r="K42" s="417">
        <f t="shared" si="11"/>
        <v>0</v>
      </c>
      <c r="L42" s="415"/>
      <c r="M42" s="414">
        <f t="shared" si="14"/>
        <v>0</v>
      </c>
      <c r="N42" s="415"/>
      <c r="O42" s="414">
        <f t="shared" si="15"/>
        <v>0</v>
      </c>
      <c r="P42" s="415"/>
      <c r="Q42" s="414">
        <f t="shared" si="16"/>
        <v>0</v>
      </c>
      <c r="R42" s="415"/>
      <c r="S42" s="414">
        <f t="shared" si="17"/>
        <v>0</v>
      </c>
      <c r="T42" s="415"/>
      <c r="U42" s="414">
        <f t="shared" si="18"/>
        <v>0</v>
      </c>
      <c r="V42" s="415"/>
      <c r="W42" s="414">
        <f t="shared" si="19"/>
        <v>0</v>
      </c>
      <c r="X42" s="415"/>
      <c r="Y42" s="414">
        <f t="shared" si="20"/>
        <v>0</v>
      </c>
      <c r="Z42" s="415"/>
      <c r="AA42" s="416">
        <f t="shared" si="21"/>
        <v>0</v>
      </c>
    </row>
    <row r="43" spans="1:27" s="407" customFormat="1" ht="18" customHeight="1" x14ac:dyDescent="0.45">
      <c r="A43" s="437" t="str">
        <f>⑦原価詳細!A28</f>
        <v>○○</v>
      </c>
      <c r="B43" s="427">
        <f>⑦原価詳細!F28/1000000</f>
        <v>0</v>
      </c>
      <c r="C43" s="428" t="s">
        <v>343</v>
      </c>
      <c r="D43" s="408"/>
      <c r="E43" s="409">
        <f t="shared" si="10"/>
        <v>0</v>
      </c>
      <c r="F43" s="410"/>
      <c r="G43" s="409">
        <f t="shared" si="12"/>
        <v>0</v>
      </c>
      <c r="H43" s="410"/>
      <c r="I43" s="409">
        <f t="shared" si="13"/>
        <v>0</v>
      </c>
      <c r="J43" s="410"/>
      <c r="K43" s="409">
        <f t="shared" si="11"/>
        <v>0</v>
      </c>
      <c r="L43" s="410"/>
      <c r="M43" s="409">
        <f t="shared" si="14"/>
        <v>0</v>
      </c>
      <c r="N43" s="410"/>
      <c r="O43" s="409">
        <f t="shared" si="15"/>
        <v>0</v>
      </c>
      <c r="P43" s="410"/>
      <c r="Q43" s="409">
        <f t="shared" si="16"/>
        <v>0</v>
      </c>
      <c r="R43" s="410"/>
      <c r="S43" s="409">
        <f t="shared" si="17"/>
        <v>0</v>
      </c>
      <c r="T43" s="411"/>
      <c r="U43" s="409">
        <f t="shared" si="18"/>
        <v>0</v>
      </c>
      <c r="V43" s="410"/>
      <c r="W43" s="409">
        <f t="shared" si="19"/>
        <v>0</v>
      </c>
      <c r="X43" s="410"/>
      <c r="Y43" s="409">
        <f t="shared" si="20"/>
        <v>0</v>
      </c>
      <c r="Z43" s="410"/>
      <c r="AA43" s="412">
        <f t="shared" si="21"/>
        <v>0</v>
      </c>
    </row>
    <row r="44" spans="1:27" s="407" customFormat="1" ht="18" customHeight="1" thickBot="1" x14ac:dyDescent="0.5">
      <c r="A44" s="429" t="s">
        <v>226</v>
      </c>
      <c r="B44" s="430">
        <f>B43-D43-F43-H43-J43-L43-N43-P43-R43-T43-V43-X43-Z43</f>
        <v>0</v>
      </c>
      <c r="C44" s="431" t="s">
        <v>315</v>
      </c>
      <c r="D44" s="413"/>
      <c r="E44" s="414">
        <f t="shared" si="10"/>
        <v>0</v>
      </c>
      <c r="F44" s="415"/>
      <c r="G44" s="414">
        <f t="shared" si="12"/>
        <v>0</v>
      </c>
      <c r="H44" s="415"/>
      <c r="I44" s="414">
        <f t="shared" si="13"/>
        <v>0</v>
      </c>
      <c r="J44" s="415"/>
      <c r="K44" s="417">
        <f t="shared" si="11"/>
        <v>0</v>
      </c>
      <c r="L44" s="415"/>
      <c r="M44" s="414">
        <f t="shared" si="14"/>
        <v>0</v>
      </c>
      <c r="N44" s="415"/>
      <c r="O44" s="414">
        <f t="shared" si="15"/>
        <v>0</v>
      </c>
      <c r="P44" s="415"/>
      <c r="Q44" s="414">
        <f t="shared" si="16"/>
        <v>0</v>
      </c>
      <c r="R44" s="415"/>
      <c r="S44" s="414">
        <f t="shared" si="17"/>
        <v>0</v>
      </c>
      <c r="T44" s="415"/>
      <c r="U44" s="414">
        <f t="shared" si="18"/>
        <v>0</v>
      </c>
      <c r="V44" s="415"/>
      <c r="W44" s="414">
        <f t="shared" si="19"/>
        <v>0</v>
      </c>
      <c r="X44" s="415"/>
      <c r="Y44" s="414">
        <f t="shared" si="20"/>
        <v>0</v>
      </c>
      <c r="Z44" s="415"/>
      <c r="AA44" s="416">
        <f t="shared" si="21"/>
        <v>0</v>
      </c>
    </row>
    <row r="45" spans="1:27" s="407" customFormat="1" ht="18" customHeight="1" x14ac:dyDescent="0.45">
      <c r="A45" s="437" t="str">
        <f>⑦原価詳細!A29</f>
        <v>その他群</v>
      </c>
      <c r="B45" s="427">
        <f>⑦原価詳細!F29/1000000</f>
        <v>0</v>
      </c>
      <c r="C45" s="428" t="s">
        <v>343</v>
      </c>
      <c r="D45" s="408"/>
      <c r="E45" s="409">
        <f t="shared" si="10"/>
        <v>0</v>
      </c>
      <c r="F45" s="410"/>
      <c r="G45" s="409">
        <f t="shared" si="12"/>
        <v>0</v>
      </c>
      <c r="H45" s="410"/>
      <c r="I45" s="409">
        <f t="shared" si="13"/>
        <v>0</v>
      </c>
      <c r="J45" s="410"/>
      <c r="K45" s="409">
        <f t="shared" si="11"/>
        <v>0</v>
      </c>
      <c r="L45" s="410"/>
      <c r="M45" s="409">
        <f t="shared" si="14"/>
        <v>0</v>
      </c>
      <c r="N45" s="410"/>
      <c r="O45" s="409">
        <f t="shared" si="15"/>
        <v>0</v>
      </c>
      <c r="P45" s="410"/>
      <c r="Q45" s="409">
        <f t="shared" si="16"/>
        <v>0</v>
      </c>
      <c r="R45" s="410"/>
      <c r="S45" s="409">
        <f t="shared" si="17"/>
        <v>0</v>
      </c>
      <c r="T45" s="411"/>
      <c r="U45" s="409">
        <f t="shared" si="18"/>
        <v>0</v>
      </c>
      <c r="V45" s="410"/>
      <c r="W45" s="409">
        <f t="shared" si="19"/>
        <v>0</v>
      </c>
      <c r="X45" s="410"/>
      <c r="Y45" s="409">
        <f t="shared" si="20"/>
        <v>0</v>
      </c>
      <c r="Z45" s="410"/>
      <c r="AA45" s="412">
        <f t="shared" si="21"/>
        <v>0</v>
      </c>
    </row>
    <row r="46" spans="1:27" s="407" customFormat="1" ht="18" customHeight="1" thickBot="1" x14ac:dyDescent="0.5">
      <c r="A46" s="429" t="s">
        <v>226</v>
      </c>
      <c r="B46" s="432">
        <f>B45-D45-F45-H45-J45-L45-N45-P45-R45-T45-V45-X45-Z45</f>
        <v>0</v>
      </c>
      <c r="C46" s="433" t="s">
        <v>315</v>
      </c>
      <c r="D46" s="413"/>
      <c r="E46" s="414">
        <f t="shared" si="10"/>
        <v>0</v>
      </c>
      <c r="F46" s="415"/>
      <c r="G46" s="414">
        <f t="shared" si="12"/>
        <v>0</v>
      </c>
      <c r="H46" s="415"/>
      <c r="I46" s="414">
        <f t="shared" si="13"/>
        <v>0</v>
      </c>
      <c r="J46" s="415"/>
      <c r="K46" s="417">
        <f t="shared" si="11"/>
        <v>0</v>
      </c>
      <c r="L46" s="415"/>
      <c r="M46" s="414">
        <f t="shared" si="14"/>
        <v>0</v>
      </c>
      <c r="N46" s="415"/>
      <c r="O46" s="414">
        <f t="shared" si="15"/>
        <v>0</v>
      </c>
      <c r="P46" s="415"/>
      <c r="Q46" s="414">
        <f t="shared" si="16"/>
        <v>0</v>
      </c>
      <c r="R46" s="415"/>
      <c r="S46" s="414">
        <f t="shared" si="17"/>
        <v>0</v>
      </c>
      <c r="T46" s="415"/>
      <c r="U46" s="414">
        <f t="shared" si="18"/>
        <v>0</v>
      </c>
      <c r="V46" s="415"/>
      <c r="W46" s="414">
        <f t="shared" si="19"/>
        <v>0</v>
      </c>
      <c r="X46" s="415"/>
      <c r="Y46" s="414">
        <f t="shared" si="20"/>
        <v>0</v>
      </c>
      <c r="Z46" s="415"/>
      <c r="AA46" s="416">
        <f t="shared" si="21"/>
        <v>0</v>
      </c>
    </row>
    <row r="47" spans="1:27" x14ac:dyDescent="0.2">
      <c r="B47" s="434"/>
      <c r="C47" s="434"/>
      <c r="E47" s="434"/>
      <c r="F47" s="434"/>
      <c r="G47" s="434"/>
      <c r="H47" s="434"/>
      <c r="I47" s="434"/>
      <c r="J47" s="434"/>
      <c r="K47" s="434"/>
      <c r="L47" s="434"/>
      <c r="M47" s="434"/>
      <c r="N47" s="434"/>
      <c r="O47" s="434"/>
      <c r="P47" s="434"/>
      <c r="Q47" s="434"/>
      <c r="R47" s="434"/>
      <c r="S47" s="434"/>
      <c r="T47" s="434"/>
      <c r="U47" s="434"/>
      <c r="V47" s="434"/>
      <c r="W47" s="434"/>
      <c r="X47" s="434"/>
      <c r="Y47" s="434"/>
      <c r="Z47" s="434"/>
      <c r="AA47" s="434"/>
    </row>
    <row r="48" spans="1:27" x14ac:dyDescent="0.2">
      <c r="B48" s="435"/>
      <c r="D48" s="435"/>
      <c r="E48" s="435"/>
      <c r="F48" s="435"/>
      <c r="G48" s="435"/>
      <c r="H48" s="435"/>
      <c r="I48" s="435"/>
      <c r="J48" s="435"/>
      <c r="K48" s="435"/>
      <c r="L48" s="435"/>
      <c r="M48" s="435"/>
      <c r="N48" s="435"/>
      <c r="O48" s="435"/>
      <c r="P48" s="435"/>
      <c r="Q48" s="435"/>
      <c r="R48" s="435"/>
      <c r="S48" s="435"/>
      <c r="T48" s="435"/>
      <c r="U48" s="435"/>
      <c r="V48" s="435"/>
      <c r="W48" s="435"/>
      <c r="X48" s="435"/>
      <c r="Y48" s="435"/>
      <c r="Z48" s="435"/>
      <c r="AA48" s="435"/>
    </row>
    <row r="49" spans="2:27" x14ac:dyDescent="0.2">
      <c r="B49" s="435"/>
      <c r="D49" s="435"/>
      <c r="E49" s="435"/>
      <c r="F49" s="435"/>
      <c r="G49" s="435"/>
      <c r="H49" s="435"/>
      <c r="I49" s="435"/>
      <c r="J49" s="435"/>
      <c r="K49" s="435"/>
      <c r="L49" s="435"/>
      <c r="M49" s="435"/>
      <c r="N49" s="435"/>
      <c r="O49" s="435"/>
      <c r="P49" s="435"/>
      <c r="Q49" s="435"/>
      <c r="R49" s="435"/>
      <c r="S49" s="435"/>
      <c r="T49" s="435"/>
      <c r="U49" s="435"/>
      <c r="V49" s="435"/>
      <c r="W49" s="435"/>
      <c r="X49" s="435"/>
      <c r="Y49" s="435"/>
      <c r="Z49" s="435"/>
      <c r="AA49" s="435"/>
    </row>
    <row r="50" spans="2:27" x14ac:dyDescent="0.2">
      <c r="B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row>
    <row r="51" spans="2:27" x14ac:dyDescent="0.2">
      <c r="B51" s="435"/>
      <c r="D51" s="435"/>
      <c r="E51" s="435"/>
      <c r="F51" s="435"/>
      <c r="G51" s="435"/>
      <c r="H51" s="435"/>
      <c r="I51" s="435"/>
      <c r="J51" s="435"/>
      <c r="K51" s="435"/>
      <c r="L51" s="435"/>
      <c r="M51" s="435"/>
      <c r="N51" s="435"/>
      <c r="O51" s="435"/>
      <c r="P51" s="435"/>
      <c r="Q51" s="435"/>
      <c r="R51" s="435"/>
      <c r="S51" s="435"/>
      <c r="T51" s="435"/>
      <c r="U51" s="435"/>
      <c r="V51" s="435"/>
      <c r="W51" s="435"/>
      <c r="X51" s="435"/>
      <c r="Y51" s="435"/>
      <c r="Z51" s="435"/>
      <c r="AA51" s="435"/>
    </row>
    <row r="52" spans="2:27" x14ac:dyDescent="0.2">
      <c r="B52" s="435"/>
      <c r="D52" s="435"/>
      <c r="E52" s="435"/>
      <c r="F52" s="435"/>
      <c r="G52" s="435"/>
      <c r="H52" s="435"/>
      <c r="I52" s="435"/>
      <c r="J52" s="435"/>
      <c r="K52" s="435"/>
      <c r="L52" s="435"/>
      <c r="M52" s="435"/>
      <c r="N52" s="435"/>
      <c r="O52" s="435"/>
      <c r="P52" s="435"/>
      <c r="Q52" s="435"/>
      <c r="R52" s="435"/>
      <c r="S52" s="435"/>
      <c r="T52" s="435"/>
      <c r="U52" s="435"/>
      <c r="V52" s="435"/>
      <c r="W52" s="435"/>
      <c r="X52" s="435"/>
      <c r="Y52" s="435"/>
      <c r="Z52" s="435"/>
      <c r="AA52" s="435"/>
    </row>
    <row r="53" spans="2:27" x14ac:dyDescent="0.2">
      <c r="B53" s="435"/>
      <c r="D53" s="435"/>
      <c r="E53" s="435"/>
      <c r="F53" s="435"/>
      <c r="G53" s="435"/>
      <c r="H53" s="435"/>
      <c r="I53" s="435"/>
      <c r="J53" s="435"/>
      <c r="K53" s="435"/>
      <c r="L53" s="435"/>
      <c r="M53" s="435"/>
      <c r="N53" s="435"/>
      <c r="O53" s="435"/>
      <c r="P53" s="435"/>
      <c r="Q53" s="435"/>
      <c r="R53" s="435"/>
      <c r="S53" s="435"/>
      <c r="T53" s="435"/>
      <c r="U53" s="435"/>
      <c r="V53" s="435"/>
      <c r="W53" s="435"/>
      <c r="X53" s="435"/>
      <c r="Y53" s="435"/>
      <c r="Z53" s="435"/>
      <c r="AA53" s="435"/>
    </row>
    <row r="54" spans="2:27" x14ac:dyDescent="0.2">
      <c r="B54" s="435"/>
      <c r="D54" s="435"/>
      <c r="E54" s="435"/>
      <c r="F54" s="435"/>
      <c r="G54" s="435"/>
      <c r="H54" s="435"/>
      <c r="I54" s="435"/>
      <c r="J54" s="435"/>
      <c r="K54" s="435"/>
      <c r="L54" s="435"/>
      <c r="M54" s="435"/>
      <c r="N54" s="435"/>
      <c r="O54" s="435"/>
      <c r="P54" s="435"/>
      <c r="Q54" s="435"/>
      <c r="R54" s="435"/>
      <c r="S54" s="435"/>
      <c r="T54" s="435"/>
      <c r="U54" s="435"/>
      <c r="V54" s="435"/>
      <c r="W54" s="435"/>
      <c r="X54" s="435"/>
      <c r="Y54" s="435"/>
      <c r="Z54" s="435"/>
      <c r="AA54" s="435"/>
    </row>
    <row r="55" spans="2:27" x14ac:dyDescent="0.2">
      <c r="B55" s="435"/>
      <c r="D55" s="435"/>
      <c r="E55" s="435"/>
      <c r="F55" s="435"/>
      <c r="G55" s="435"/>
      <c r="H55" s="435"/>
      <c r="I55" s="435"/>
      <c r="J55" s="435"/>
      <c r="K55" s="435"/>
      <c r="L55" s="435"/>
      <c r="M55" s="435"/>
      <c r="N55" s="435"/>
      <c r="O55" s="435"/>
      <c r="P55" s="435"/>
      <c r="Q55" s="435"/>
      <c r="R55" s="435"/>
      <c r="S55" s="435"/>
      <c r="T55" s="435"/>
      <c r="U55" s="435"/>
      <c r="V55" s="435"/>
      <c r="W55" s="435"/>
      <c r="X55" s="435"/>
      <c r="Y55" s="435"/>
      <c r="Z55" s="435"/>
      <c r="AA55" s="435"/>
    </row>
    <row r="56" spans="2:27" x14ac:dyDescent="0.2">
      <c r="B56" s="435"/>
      <c r="D56" s="435"/>
      <c r="E56" s="435"/>
      <c r="F56" s="435"/>
      <c r="G56" s="435"/>
      <c r="H56" s="435"/>
      <c r="I56" s="435"/>
      <c r="J56" s="435"/>
      <c r="K56" s="435"/>
      <c r="L56" s="435"/>
      <c r="M56" s="435"/>
      <c r="N56" s="435"/>
      <c r="O56" s="435"/>
      <c r="P56" s="435"/>
      <c r="Q56" s="435"/>
      <c r="R56" s="435"/>
      <c r="S56" s="435"/>
      <c r="T56" s="435"/>
      <c r="U56" s="435"/>
      <c r="V56" s="435"/>
      <c r="W56" s="435"/>
      <c r="X56" s="435"/>
      <c r="Y56" s="435"/>
      <c r="Z56" s="435"/>
      <c r="AA56" s="435"/>
    </row>
    <row r="57" spans="2:27" x14ac:dyDescent="0.2">
      <c r="B57" s="435"/>
      <c r="D57" s="435"/>
      <c r="E57" s="435"/>
      <c r="F57" s="435"/>
      <c r="G57" s="435"/>
      <c r="H57" s="435"/>
      <c r="I57" s="435"/>
      <c r="J57" s="435"/>
      <c r="K57" s="435"/>
      <c r="L57" s="435"/>
      <c r="M57" s="435"/>
      <c r="N57" s="435"/>
      <c r="O57" s="435"/>
      <c r="P57" s="435"/>
      <c r="Q57" s="435"/>
      <c r="R57" s="435"/>
      <c r="S57" s="435"/>
      <c r="T57" s="435"/>
      <c r="U57" s="435"/>
      <c r="V57" s="435"/>
      <c r="W57" s="435"/>
      <c r="X57" s="435"/>
      <c r="Y57" s="435"/>
      <c r="Z57" s="435"/>
      <c r="AA57" s="435"/>
    </row>
    <row r="58" spans="2:27" x14ac:dyDescent="0.2">
      <c r="B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row>
    <row r="59" spans="2:27" x14ac:dyDescent="0.2">
      <c r="B59" s="435"/>
      <c r="D59" s="435"/>
      <c r="E59" s="435"/>
      <c r="F59" s="435"/>
      <c r="G59" s="435"/>
      <c r="H59" s="435"/>
      <c r="I59" s="435"/>
      <c r="J59" s="435"/>
      <c r="K59" s="435"/>
      <c r="L59" s="435"/>
      <c r="M59" s="435"/>
      <c r="N59" s="435"/>
      <c r="O59" s="435"/>
      <c r="P59" s="435"/>
      <c r="Q59" s="435"/>
      <c r="R59" s="435"/>
      <c r="S59" s="435"/>
      <c r="T59" s="435"/>
      <c r="U59" s="435"/>
      <c r="V59" s="435"/>
      <c r="W59" s="435"/>
      <c r="X59" s="435"/>
      <c r="Y59" s="435"/>
      <c r="Z59" s="435"/>
      <c r="AA59" s="435"/>
    </row>
    <row r="60" spans="2:27" x14ac:dyDescent="0.2">
      <c r="B60" s="435"/>
      <c r="D60" s="435"/>
      <c r="E60" s="435"/>
      <c r="F60" s="435"/>
      <c r="G60" s="435"/>
      <c r="H60" s="435"/>
      <c r="I60" s="435"/>
      <c r="J60" s="435"/>
      <c r="K60" s="435"/>
      <c r="L60" s="435"/>
      <c r="M60" s="435"/>
      <c r="N60" s="435"/>
      <c r="O60" s="435"/>
      <c r="P60" s="435"/>
      <c r="Q60" s="435"/>
      <c r="R60" s="435"/>
      <c r="S60" s="435"/>
      <c r="T60" s="435"/>
      <c r="U60" s="435"/>
      <c r="V60" s="435"/>
      <c r="W60" s="435"/>
      <c r="X60" s="435"/>
      <c r="Y60" s="435"/>
      <c r="Z60" s="435"/>
      <c r="AA60" s="435"/>
    </row>
    <row r="61" spans="2:27" x14ac:dyDescent="0.2">
      <c r="B61" s="435"/>
      <c r="D61" s="435"/>
      <c r="E61" s="435"/>
      <c r="F61" s="435"/>
      <c r="G61" s="435"/>
      <c r="H61" s="435"/>
      <c r="I61" s="435"/>
      <c r="J61" s="435"/>
      <c r="K61" s="435"/>
      <c r="L61" s="435"/>
      <c r="M61" s="435"/>
      <c r="N61" s="435"/>
      <c r="O61" s="435"/>
      <c r="P61" s="435"/>
      <c r="Q61" s="435"/>
      <c r="R61" s="435"/>
      <c r="S61" s="435"/>
      <c r="T61" s="435"/>
      <c r="U61" s="435"/>
      <c r="V61" s="435"/>
      <c r="W61" s="435"/>
      <c r="X61" s="435"/>
      <c r="Y61" s="435"/>
      <c r="Z61" s="435"/>
      <c r="AA61" s="435"/>
    </row>
    <row r="62" spans="2:27" x14ac:dyDescent="0.2">
      <c r="B62" s="435"/>
      <c r="D62" s="435"/>
      <c r="E62" s="435"/>
      <c r="F62" s="435"/>
      <c r="G62" s="435"/>
      <c r="H62" s="435"/>
      <c r="I62" s="435"/>
      <c r="J62" s="435"/>
      <c r="K62" s="435"/>
      <c r="L62" s="435"/>
      <c r="M62" s="435"/>
      <c r="N62" s="435"/>
      <c r="O62" s="435"/>
      <c r="P62" s="435"/>
      <c r="Q62" s="435"/>
      <c r="R62" s="435"/>
      <c r="S62" s="435"/>
      <c r="T62" s="435"/>
      <c r="U62" s="435"/>
      <c r="V62" s="435"/>
      <c r="W62" s="435"/>
      <c r="X62" s="435"/>
      <c r="Y62" s="435"/>
      <c r="Z62" s="435"/>
      <c r="AA62" s="435"/>
    </row>
    <row r="63" spans="2:27" x14ac:dyDescent="0.2">
      <c r="B63" s="435"/>
      <c r="D63" s="435"/>
      <c r="E63" s="435"/>
      <c r="F63" s="435"/>
      <c r="G63" s="435"/>
      <c r="H63" s="435"/>
      <c r="I63" s="435"/>
      <c r="J63" s="435"/>
      <c r="K63" s="435"/>
      <c r="L63" s="435"/>
      <c r="M63" s="435"/>
      <c r="N63" s="435"/>
      <c r="O63" s="435"/>
      <c r="P63" s="435"/>
      <c r="Q63" s="435"/>
      <c r="R63" s="435"/>
      <c r="S63" s="435"/>
      <c r="T63" s="435"/>
      <c r="U63" s="435"/>
      <c r="V63" s="435"/>
      <c r="W63" s="435"/>
      <c r="X63" s="435"/>
      <c r="Y63" s="435"/>
      <c r="Z63" s="435"/>
      <c r="AA63" s="435"/>
    </row>
    <row r="64" spans="2:27" x14ac:dyDescent="0.2">
      <c r="B64" s="435"/>
      <c r="D64" s="435"/>
      <c r="E64" s="435"/>
      <c r="F64" s="435"/>
      <c r="G64" s="435"/>
      <c r="H64" s="435"/>
      <c r="I64" s="435"/>
      <c r="J64" s="435"/>
      <c r="K64" s="435"/>
      <c r="L64" s="435"/>
      <c r="M64" s="435"/>
      <c r="N64" s="435"/>
      <c r="O64" s="435"/>
      <c r="P64" s="435"/>
      <c r="Q64" s="435"/>
      <c r="R64" s="435"/>
      <c r="S64" s="435"/>
      <c r="T64" s="435"/>
      <c r="U64" s="435"/>
      <c r="V64" s="435"/>
      <c r="W64" s="435"/>
      <c r="X64" s="435"/>
      <c r="Y64" s="435"/>
      <c r="Z64" s="435"/>
      <c r="AA64" s="435"/>
    </row>
    <row r="65" spans="2:27" x14ac:dyDescent="0.2">
      <c r="B65" s="435"/>
      <c r="D65" s="435"/>
      <c r="E65" s="435"/>
      <c r="F65" s="435"/>
      <c r="G65" s="435"/>
      <c r="H65" s="435"/>
      <c r="I65" s="435"/>
      <c r="J65" s="435"/>
      <c r="K65" s="435"/>
      <c r="L65" s="435"/>
      <c r="M65" s="435"/>
      <c r="N65" s="435"/>
      <c r="O65" s="435"/>
      <c r="P65" s="435"/>
      <c r="Q65" s="435"/>
      <c r="R65" s="435"/>
      <c r="S65" s="435"/>
      <c r="T65" s="435"/>
      <c r="U65" s="435"/>
      <c r="V65" s="435"/>
      <c r="W65" s="435"/>
      <c r="X65" s="435"/>
      <c r="Y65" s="435"/>
      <c r="Z65" s="435"/>
      <c r="AA65" s="435"/>
    </row>
    <row r="66" spans="2:27" x14ac:dyDescent="0.2">
      <c r="B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row>
    <row r="67" spans="2:27" x14ac:dyDescent="0.2">
      <c r="B67" s="435"/>
      <c r="D67" s="435"/>
      <c r="E67" s="435"/>
      <c r="F67" s="435"/>
      <c r="G67" s="435"/>
      <c r="H67" s="435"/>
      <c r="I67" s="435"/>
      <c r="J67" s="435"/>
      <c r="K67" s="435"/>
      <c r="L67" s="435"/>
      <c r="M67" s="435"/>
      <c r="N67" s="435"/>
      <c r="O67" s="435"/>
      <c r="P67" s="435"/>
      <c r="Q67" s="435"/>
      <c r="R67" s="435"/>
      <c r="S67" s="435"/>
      <c r="T67" s="435"/>
      <c r="U67" s="435"/>
      <c r="V67" s="435"/>
      <c r="W67" s="435"/>
      <c r="X67" s="435"/>
      <c r="Y67" s="435"/>
      <c r="Z67" s="435"/>
      <c r="AA67" s="435"/>
    </row>
    <row r="68" spans="2:27" x14ac:dyDescent="0.2">
      <c r="B68" s="435"/>
      <c r="D68" s="435"/>
      <c r="E68" s="435"/>
      <c r="F68" s="435"/>
      <c r="G68" s="435"/>
      <c r="H68" s="435"/>
      <c r="I68" s="435"/>
      <c r="J68" s="435"/>
      <c r="K68" s="435"/>
      <c r="L68" s="435"/>
      <c r="M68" s="435"/>
      <c r="N68" s="435"/>
      <c r="O68" s="435"/>
      <c r="P68" s="435"/>
      <c r="Q68" s="435"/>
      <c r="R68" s="435"/>
      <c r="S68" s="435"/>
      <c r="T68" s="435"/>
      <c r="U68" s="435"/>
      <c r="V68" s="435"/>
      <c r="W68" s="435"/>
      <c r="X68" s="435"/>
      <c r="Y68" s="435"/>
      <c r="Z68" s="435"/>
      <c r="AA68" s="435"/>
    </row>
    <row r="69" spans="2:27" x14ac:dyDescent="0.2">
      <c r="B69" s="435"/>
      <c r="D69" s="435"/>
      <c r="E69" s="435"/>
      <c r="F69" s="435"/>
      <c r="G69" s="435"/>
      <c r="H69" s="435"/>
      <c r="I69" s="435"/>
      <c r="J69" s="435"/>
      <c r="K69" s="435"/>
      <c r="L69" s="435"/>
      <c r="M69" s="435"/>
      <c r="N69" s="435"/>
      <c r="O69" s="435"/>
      <c r="P69" s="435"/>
      <c r="Q69" s="435"/>
      <c r="R69" s="435"/>
      <c r="S69" s="435"/>
      <c r="T69" s="435"/>
      <c r="U69" s="435"/>
      <c r="V69" s="435"/>
      <c r="W69" s="435"/>
      <c r="X69" s="435"/>
      <c r="Y69" s="435"/>
      <c r="Z69" s="435"/>
      <c r="AA69" s="435"/>
    </row>
    <row r="70" spans="2:27" x14ac:dyDescent="0.2">
      <c r="B70" s="435"/>
      <c r="D70" s="435"/>
      <c r="E70" s="435"/>
      <c r="F70" s="435"/>
      <c r="G70" s="435"/>
      <c r="H70" s="435"/>
      <c r="I70" s="435"/>
      <c r="J70" s="435"/>
      <c r="K70" s="435"/>
      <c r="L70" s="435"/>
      <c r="M70" s="435"/>
      <c r="N70" s="435"/>
      <c r="O70" s="435"/>
      <c r="P70" s="435"/>
      <c r="Q70" s="435"/>
      <c r="R70" s="435"/>
      <c r="S70" s="435"/>
      <c r="T70" s="435"/>
      <c r="U70" s="435"/>
      <c r="V70" s="435"/>
      <c r="W70" s="435"/>
      <c r="X70" s="435"/>
      <c r="Y70" s="435"/>
      <c r="Z70" s="435"/>
      <c r="AA70" s="435"/>
    </row>
    <row r="71" spans="2:27" x14ac:dyDescent="0.2">
      <c r="B71" s="435"/>
      <c r="D71" s="435"/>
      <c r="E71" s="435"/>
      <c r="F71" s="435"/>
      <c r="G71" s="435"/>
      <c r="H71" s="435"/>
      <c r="I71" s="435"/>
      <c r="J71" s="435"/>
      <c r="K71" s="435"/>
      <c r="L71" s="435"/>
      <c r="M71" s="435"/>
      <c r="N71" s="435"/>
      <c r="O71" s="435"/>
      <c r="P71" s="435"/>
      <c r="Q71" s="435"/>
      <c r="R71" s="435"/>
      <c r="S71" s="435"/>
      <c r="T71" s="435"/>
      <c r="U71" s="435"/>
      <c r="V71" s="435"/>
      <c r="W71" s="435"/>
      <c r="X71" s="435"/>
      <c r="Y71" s="435"/>
      <c r="Z71" s="435"/>
      <c r="AA71" s="435"/>
    </row>
    <row r="72" spans="2:27" x14ac:dyDescent="0.2">
      <c r="B72" s="435"/>
      <c r="D72" s="435"/>
      <c r="E72" s="435"/>
      <c r="F72" s="435"/>
      <c r="G72" s="435"/>
      <c r="H72" s="435"/>
      <c r="I72" s="435"/>
      <c r="J72" s="435"/>
      <c r="K72" s="435"/>
      <c r="L72" s="435"/>
      <c r="M72" s="435"/>
      <c r="N72" s="435"/>
      <c r="O72" s="435"/>
      <c r="P72" s="435"/>
      <c r="Q72" s="435"/>
      <c r="R72" s="435"/>
      <c r="S72" s="435"/>
      <c r="T72" s="435"/>
      <c r="U72" s="435"/>
      <c r="V72" s="435"/>
      <c r="W72" s="435"/>
      <c r="X72" s="435"/>
      <c r="Y72" s="435"/>
      <c r="Z72" s="435"/>
      <c r="AA72" s="435"/>
    </row>
    <row r="73" spans="2:27" x14ac:dyDescent="0.2">
      <c r="B73" s="435"/>
      <c r="D73" s="435"/>
      <c r="E73" s="435"/>
      <c r="F73" s="435"/>
      <c r="G73" s="435"/>
      <c r="H73" s="435"/>
      <c r="I73" s="435"/>
      <c r="J73" s="435"/>
      <c r="K73" s="435"/>
      <c r="L73" s="435"/>
      <c r="M73" s="435"/>
      <c r="N73" s="435"/>
      <c r="O73" s="435"/>
      <c r="P73" s="435"/>
      <c r="Q73" s="435"/>
      <c r="R73" s="435"/>
      <c r="S73" s="435"/>
      <c r="T73" s="435"/>
      <c r="U73" s="435"/>
      <c r="V73" s="435"/>
      <c r="W73" s="435"/>
      <c r="X73" s="435"/>
      <c r="Y73" s="435"/>
      <c r="Z73" s="435"/>
      <c r="AA73" s="435"/>
    </row>
    <row r="74" spans="2:27" x14ac:dyDescent="0.2">
      <c r="B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row>
    <row r="75" spans="2:27" x14ac:dyDescent="0.2">
      <c r="B75" s="435"/>
      <c r="D75" s="435"/>
      <c r="E75" s="435"/>
      <c r="F75" s="435"/>
      <c r="G75" s="435"/>
      <c r="H75" s="435"/>
      <c r="I75" s="435"/>
      <c r="J75" s="435"/>
      <c r="K75" s="435"/>
      <c r="L75" s="435"/>
      <c r="M75" s="435"/>
      <c r="N75" s="435"/>
      <c r="O75" s="435"/>
      <c r="P75" s="435"/>
      <c r="Q75" s="435"/>
      <c r="R75" s="435"/>
      <c r="S75" s="435"/>
      <c r="T75" s="435"/>
      <c r="U75" s="435"/>
      <c r="V75" s="435"/>
      <c r="W75" s="435"/>
      <c r="X75" s="435"/>
      <c r="Y75" s="435"/>
      <c r="Z75" s="435"/>
      <c r="AA75" s="435"/>
    </row>
    <row r="76" spans="2:27" x14ac:dyDescent="0.2">
      <c r="B76" s="435"/>
      <c r="D76" s="435"/>
      <c r="E76" s="435"/>
      <c r="F76" s="435"/>
      <c r="G76" s="435"/>
      <c r="H76" s="435"/>
      <c r="I76" s="435"/>
      <c r="J76" s="435"/>
      <c r="K76" s="435"/>
      <c r="L76" s="435"/>
      <c r="M76" s="435"/>
      <c r="N76" s="435"/>
      <c r="O76" s="435"/>
      <c r="P76" s="435"/>
      <c r="Q76" s="435"/>
      <c r="R76" s="435"/>
      <c r="S76" s="435"/>
      <c r="T76" s="435"/>
      <c r="U76" s="435"/>
      <c r="V76" s="435"/>
      <c r="W76" s="435"/>
      <c r="X76" s="435"/>
      <c r="Y76" s="435"/>
      <c r="Z76" s="435"/>
      <c r="AA76" s="435"/>
    </row>
    <row r="77" spans="2:27" x14ac:dyDescent="0.2">
      <c r="B77" s="435"/>
      <c r="D77" s="435"/>
      <c r="E77" s="435"/>
      <c r="F77" s="435"/>
      <c r="G77" s="435"/>
      <c r="H77" s="435"/>
      <c r="I77" s="435"/>
      <c r="J77" s="435"/>
      <c r="K77" s="435"/>
      <c r="L77" s="435"/>
      <c r="M77" s="435"/>
      <c r="N77" s="435"/>
      <c r="O77" s="435"/>
      <c r="P77" s="435"/>
      <c r="Q77" s="435"/>
      <c r="R77" s="435"/>
      <c r="S77" s="435"/>
      <c r="T77" s="435"/>
      <c r="U77" s="435"/>
      <c r="V77" s="435"/>
      <c r="W77" s="435"/>
      <c r="X77" s="435"/>
      <c r="Y77" s="435"/>
      <c r="Z77" s="435"/>
      <c r="AA77" s="435"/>
    </row>
    <row r="78" spans="2:27" x14ac:dyDescent="0.2">
      <c r="B78" s="435"/>
      <c r="D78" s="435"/>
      <c r="E78" s="435"/>
      <c r="F78" s="435"/>
      <c r="G78" s="435"/>
      <c r="H78" s="435"/>
      <c r="I78" s="435"/>
      <c r="J78" s="435"/>
      <c r="K78" s="435"/>
      <c r="L78" s="435"/>
      <c r="M78" s="435"/>
      <c r="N78" s="435"/>
      <c r="O78" s="435"/>
      <c r="P78" s="435"/>
      <c r="Q78" s="435"/>
      <c r="R78" s="435"/>
      <c r="S78" s="435"/>
      <c r="T78" s="435"/>
      <c r="U78" s="435"/>
      <c r="V78" s="435"/>
      <c r="W78" s="435"/>
      <c r="X78" s="435"/>
      <c r="Y78" s="435"/>
      <c r="Z78" s="435"/>
      <c r="AA78" s="435"/>
    </row>
    <row r="79" spans="2:27" x14ac:dyDescent="0.2">
      <c r="B79" s="435"/>
      <c r="D79" s="435"/>
      <c r="E79" s="435"/>
      <c r="F79" s="435"/>
      <c r="G79" s="435"/>
      <c r="H79" s="435"/>
      <c r="I79" s="435"/>
      <c r="J79" s="435"/>
      <c r="K79" s="435"/>
      <c r="L79" s="435"/>
      <c r="M79" s="435"/>
      <c r="N79" s="435"/>
      <c r="O79" s="435"/>
      <c r="P79" s="435"/>
      <c r="Q79" s="435"/>
      <c r="R79" s="435"/>
      <c r="S79" s="435"/>
      <c r="T79" s="435"/>
      <c r="U79" s="435"/>
      <c r="V79" s="435"/>
      <c r="W79" s="435"/>
      <c r="X79" s="435"/>
      <c r="Y79" s="435"/>
      <c r="Z79" s="435"/>
      <c r="AA79" s="435"/>
    </row>
    <row r="80" spans="2:27" x14ac:dyDescent="0.2">
      <c r="B80" s="435"/>
      <c r="D80" s="435"/>
      <c r="E80" s="435"/>
      <c r="F80" s="435"/>
      <c r="G80" s="435"/>
      <c r="H80" s="435"/>
      <c r="I80" s="435"/>
      <c r="J80" s="435"/>
      <c r="K80" s="435"/>
      <c r="L80" s="435"/>
      <c r="M80" s="435"/>
      <c r="N80" s="435"/>
      <c r="O80" s="435"/>
      <c r="P80" s="435"/>
      <c r="Q80" s="435"/>
      <c r="R80" s="435"/>
      <c r="S80" s="435"/>
      <c r="T80" s="435"/>
      <c r="U80" s="435"/>
      <c r="V80" s="435"/>
      <c r="W80" s="435"/>
      <c r="X80" s="435"/>
      <c r="Y80" s="435"/>
      <c r="Z80" s="435"/>
      <c r="AA80" s="435"/>
    </row>
    <row r="81" spans="2:27" x14ac:dyDescent="0.2">
      <c r="B81" s="435"/>
      <c r="D81" s="435"/>
      <c r="E81" s="435"/>
      <c r="F81" s="435"/>
      <c r="G81" s="435"/>
      <c r="H81" s="435"/>
      <c r="I81" s="435"/>
      <c r="J81" s="435"/>
      <c r="K81" s="435"/>
      <c r="L81" s="435"/>
      <c r="M81" s="435"/>
      <c r="N81" s="435"/>
      <c r="O81" s="435"/>
      <c r="P81" s="435"/>
      <c r="Q81" s="435"/>
      <c r="R81" s="435"/>
      <c r="S81" s="435"/>
      <c r="T81" s="435"/>
      <c r="U81" s="435"/>
      <c r="V81" s="435"/>
      <c r="W81" s="435"/>
      <c r="X81" s="435"/>
      <c r="Y81" s="435"/>
      <c r="Z81" s="435"/>
      <c r="AA81" s="435"/>
    </row>
    <row r="82" spans="2:27" x14ac:dyDescent="0.2">
      <c r="B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row>
    <row r="83" spans="2:27" x14ac:dyDescent="0.2">
      <c r="B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c r="AA83" s="435"/>
    </row>
    <row r="84" spans="2:27" x14ac:dyDescent="0.2">
      <c r="B84" s="435"/>
      <c r="D84" s="435"/>
      <c r="E84" s="435"/>
      <c r="F84" s="435"/>
      <c r="G84" s="435"/>
      <c r="H84" s="435"/>
      <c r="I84" s="435"/>
      <c r="J84" s="435"/>
      <c r="K84" s="435"/>
      <c r="L84" s="435"/>
      <c r="M84" s="435"/>
      <c r="N84" s="435"/>
      <c r="O84" s="435"/>
      <c r="P84" s="435"/>
      <c r="Q84" s="435"/>
      <c r="R84" s="435"/>
      <c r="S84" s="435"/>
      <c r="T84" s="435"/>
      <c r="U84" s="435"/>
      <c r="V84" s="435"/>
      <c r="W84" s="435"/>
      <c r="X84" s="435"/>
      <c r="Y84" s="435"/>
      <c r="Z84" s="435"/>
      <c r="AA84" s="435"/>
    </row>
    <row r="85" spans="2:27" x14ac:dyDescent="0.2">
      <c r="B85" s="435"/>
      <c r="D85" s="435"/>
      <c r="E85" s="435"/>
      <c r="F85" s="435"/>
      <c r="G85" s="435"/>
      <c r="H85" s="435"/>
      <c r="I85" s="435"/>
      <c r="J85" s="435"/>
      <c r="K85" s="435"/>
      <c r="L85" s="435"/>
      <c r="M85" s="435"/>
      <c r="N85" s="435"/>
      <c r="O85" s="435"/>
      <c r="P85" s="435"/>
      <c r="Q85" s="435"/>
      <c r="R85" s="435"/>
      <c r="S85" s="435"/>
      <c r="T85" s="435"/>
      <c r="U85" s="435"/>
      <c r="V85" s="435"/>
      <c r="W85" s="435"/>
      <c r="X85" s="435"/>
      <c r="Y85" s="435"/>
      <c r="Z85" s="435"/>
      <c r="AA85" s="435"/>
    </row>
    <row r="86" spans="2:27" x14ac:dyDescent="0.2">
      <c r="B86" s="435"/>
      <c r="D86" s="435"/>
      <c r="E86" s="435"/>
      <c r="F86" s="435"/>
      <c r="G86" s="435"/>
      <c r="H86" s="435"/>
      <c r="I86" s="435"/>
      <c r="J86" s="435"/>
      <c r="K86" s="435"/>
      <c r="L86" s="435"/>
      <c r="M86" s="435"/>
      <c r="N86" s="435"/>
      <c r="O86" s="435"/>
      <c r="P86" s="435"/>
      <c r="Q86" s="435"/>
      <c r="R86" s="435"/>
      <c r="S86" s="435"/>
      <c r="T86" s="435"/>
      <c r="U86" s="435"/>
      <c r="V86" s="435"/>
      <c r="W86" s="435"/>
      <c r="X86" s="435"/>
      <c r="Y86" s="435"/>
      <c r="Z86" s="435"/>
      <c r="AA86" s="435"/>
    </row>
    <row r="87" spans="2:27" x14ac:dyDescent="0.2">
      <c r="B87" s="435"/>
      <c r="D87" s="435"/>
      <c r="E87" s="435"/>
      <c r="F87" s="435"/>
      <c r="G87" s="435"/>
      <c r="H87" s="435"/>
      <c r="I87" s="435"/>
      <c r="J87" s="435"/>
      <c r="K87" s="435"/>
      <c r="L87" s="435"/>
      <c r="M87" s="435"/>
      <c r="N87" s="435"/>
      <c r="O87" s="435"/>
      <c r="P87" s="435"/>
      <c r="Q87" s="435"/>
      <c r="R87" s="435"/>
      <c r="S87" s="435"/>
      <c r="T87" s="435"/>
      <c r="U87" s="435"/>
      <c r="V87" s="435"/>
      <c r="W87" s="435"/>
      <c r="X87" s="435"/>
      <c r="Y87" s="435"/>
      <c r="Z87" s="435"/>
      <c r="AA87" s="435"/>
    </row>
    <row r="88" spans="2:27" x14ac:dyDescent="0.2">
      <c r="B88" s="435"/>
      <c r="D88" s="435"/>
      <c r="E88" s="435"/>
      <c r="F88" s="435"/>
      <c r="G88" s="435"/>
      <c r="H88" s="435"/>
      <c r="I88" s="435"/>
      <c r="J88" s="435"/>
      <c r="K88" s="435"/>
      <c r="L88" s="435"/>
      <c r="M88" s="435"/>
      <c r="N88" s="435"/>
      <c r="O88" s="435"/>
      <c r="P88" s="435"/>
      <c r="Q88" s="435"/>
      <c r="R88" s="435"/>
      <c r="S88" s="435"/>
      <c r="T88" s="435"/>
      <c r="U88" s="435"/>
      <c r="V88" s="435"/>
      <c r="W88" s="435"/>
      <c r="X88" s="435"/>
      <c r="Y88" s="435"/>
      <c r="Z88" s="435"/>
      <c r="AA88" s="435"/>
    </row>
    <row r="89" spans="2:27" x14ac:dyDescent="0.2">
      <c r="B89" s="435"/>
      <c r="D89" s="435"/>
      <c r="E89" s="435"/>
      <c r="F89" s="435"/>
      <c r="G89" s="435"/>
      <c r="H89" s="435"/>
      <c r="I89" s="435"/>
      <c r="J89" s="435"/>
      <c r="K89" s="435"/>
      <c r="L89" s="435"/>
      <c r="M89" s="435"/>
      <c r="N89" s="435"/>
      <c r="O89" s="435"/>
      <c r="P89" s="435"/>
      <c r="Q89" s="435"/>
      <c r="R89" s="435"/>
      <c r="S89" s="435"/>
      <c r="T89" s="435"/>
      <c r="U89" s="435"/>
      <c r="V89" s="435"/>
      <c r="W89" s="435"/>
      <c r="X89" s="435"/>
      <c r="Y89" s="435"/>
      <c r="Z89" s="435"/>
      <c r="AA89" s="435"/>
    </row>
    <row r="90" spans="2:27" x14ac:dyDescent="0.2">
      <c r="B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row>
    <row r="91" spans="2:27" x14ac:dyDescent="0.2">
      <c r="B91" s="435"/>
      <c r="D91" s="435"/>
      <c r="E91" s="435"/>
      <c r="F91" s="435"/>
      <c r="G91" s="435"/>
      <c r="H91" s="435"/>
      <c r="I91" s="435"/>
      <c r="J91" s="435"/>
      <c r="K91" s="435"/>
      <c r="L91" s="435"/>
      <c r="M91" s="435"/>
      <c r="N91" s="435"/>
      <c r="O91" s="435"/>
      <c r="P91" s="435"/>
      <c r="Q91" s="435"/>
      <c r="R91" s="435"/>
      <c r="S91" s="435"/>
      <c r="T91" s="435"/>
      <c r="U91" s="435"/>
      <c r="V91" s="435"/>
      <c r="W91" s="435"/>
      <c r="X91" s="435"/>
      <c r="Y91" s="435"/>
      <c r="Z91" s="435"/>
      <c r="AA91" s="435"/>
    </row>
    <row r="92" spans="2:27" x14ac:dyDescent="0.2">
      <c r="B92" s="435"/>
      <c r="D92" s="435"/>
      <c r="E92" s="435"/>
      <c r="F92" s="435"/>
      <c r="G92" s="435"/>
      <c r="H92" s="435"/>
      <c r="I92" s="435"/>
      <c r="J92" s="435"/>
      <c r="K92" s="435"/>
      <c r="L92" s="435"/>
      <c r="M92" s="435"/>
      <c r="N92" s="435"/>
      <c r="O92" s="435"/>
      <c r="P92" s="435"/>
      <c r="Q92" s="435"/>
      <c r="R92" s="435"/>
      <c r="S92" s="435"/>
      <c r="T92" s="435"/>
      <c r="U92" s="435"/>
      <c r="V92" s="435"/>
      <c r="W92" s="435"/>
      <c r="X92" s="435"/>
      <c r="Y92" s="435"/>
      <c r="Z92" s="435"/>
      <c r="AA92" s="435"/>
    </row>
    <row r="93" spans="2:27" x14ac:dyDescent="0.2">
      <c r="B93" s="435"/>
      <c r="D93" s="435"/>
      <c r="E93" s="435"/>
      <c r="F93" s="435"/>
      <c r="G93" s="435"/>
      <c r="H93" s="435"/>
      <c r="I93" s="435"/>
      <c r="J93" s="435"/>
      <c r="K93" s="435"/>
      <c r="L93" s="435"/>
      <c r="M93" s="435"/>
      <c r="N93" s="435"/>
      <c r="O93" s="435"/>
      <c r="P93" s="435"/>
      <c r="Q93" s="435"/>
      <c r="R93" s="435"/>
      <c r="S93" s="435"/>
      <c r="T93" s="435"/>
      <c r="U93" s="435"/>
      <c r="V93" s="435"/>
      <c r="W93" s="435"/>
      <c r="X93" s="435"/>
      <c r="Y93" s="435"/>
      <c r="Z93" s="435"/>
      <c r="AA93" s="435"/>
    </row>
    <row r="94" spans="2:27" x14ac:dyDescent="0.2">
      <c r="B94" s="435"/>
      <c r="D94" s="435"/>
      <c r="E94" s="435"/>
      <c r="F94" s="435"/>
      <c r="G94" s="435"/>
      <c r="H94" s="435"/>
      <c r="I94" s="435"/>
      <c r="J94" s="435"/>
      <c r="K94" s="435"/>
      <c r="L94" s="435"/>
      <c r="M94" s="435"/>
      <c r="N94" s="435"/>
      <c r="O94" s="435"/>
      <c r="P94" s="435"/>
      <c r="Q94" s="435"/>
      <c r="R94" s="435"/>
      <c r="S94" s="435"/>
      <c r="T94" s="435"/>
      <c r="U94" s="435"/>
      <c r="V94" s="435"/>
      <c r="W94" s="435"/>
      <c r="X94" s="435"/>
      <c r="Y94" s="435"/>
      <c r="Z94" s="435"/>
      <c r="AA94" s="435"/>
    </row>
    <row r="95" spans="2:27" x14ac:dyDescent="0.2">
      <c r="B95" s="435"/>
      <c r="D95" s="435"/>
      <c r="E95" s="435"/>
      <c r="F95" s="435"/>
      <c r="G95" s="435"/>
      <c r="H95" s="435"/>
      <c r="I95" s="435"/>
      <c r="J95" s="435"/>
      <c r="K95" s="435"/>
      <c r="L95" s="435"/>
      <c r="M95" s="435"/>
      <c r="N95" s="435"/>
      <c r="O95" s="435"/>
      <c r="P95" s="435"/>
      <c r="Q95" s="435"/>
      <c r="R95" s="435"/>
      <c r="S95" s="435"/>
      <c r="T95" s="435"/>
      <c r="U95" s="435"/>
      <c r="V95" s="435"/>
      <c r="W95" s="435"/>
      <c r="X95" s="435"/>
      <c r="Y95" s="435"/>
      <c r="Z95" s="435"/>
      <c r="AA95" s="435"/>
    </row>
    <row r="96" spans="2:27" x14ac:dyDescent="0.2">
      <c r="B96" s="435"/>
      <c r="D96" s="435"/>
      <c r="E96" s="435"/>
      <c r="F96" s="435"/>
      <c r="G96" s="435"/>
      <c r="H96" s="435"/>
      <c r="I96" s="435"/>
      <c r="J96" s="435"/>
      <c r="K96" s="435"/>
      <c r="L96" s="435"/>
      <c r="M96" s="435"/>
      <c r="N96" s="435"/>
      <c r="O96" s="435"/>
      <c r="P96" s="435"/>
      <c r="Q96" s="435"/>
      <c r="R96" s="435"/>
      <c r="S96" s="435"/>
      <c r="T96" s="435"/>
      <c r="U96" s="435"/>
      <c r="V96" s="435"/>
      <c r="W96" s="435"/>
      <c r="X96" s="435"/>
      <c r="Y96" s="435"/>
      <c r="Z96" s="435"/>
      <c r="AA96" s="435"/>
    </row>
    <row r="97" spans="2:27" x14ac:dyDescent="0.2">
      <c r="B97" s="435"/>
      <c r="D97" s="435"/>
      <c r="E97" s="435"/>
      <c r="F97" s="435"/>
      <c r="G97" s="435"/>
      <c r="H97" s="435"/>
      <c r="I97" s="435"/>
      <c r="J97" s="435"/>
      <c r="K97" s="435"/>
      <c r="L97" s="435"/>
      <c r="M97" s="435"/>
      <c r="N97" s="435"/>
      <c r="O97" s="435"/>
      <c r="P97" s="435"/>
      <c r="Q97" s="435"/>
      <c r="R97" s="435"/>
      <c r="S97" s="435"/>
      <c r="T97" s="435"/>
      <c r="U97" s="435"/>
      <c r="V97" s="435"/>
      <c r="W97" s="435"/>
      <c r="X97" s="435"/>
      <c r="Y97" s="435"/>
      <c r="Z97" s="435"/>
      <c r="AA97" s="435"/>
    </row>
    <row r="98" spans="2:27" x14ac:dyDescent="0.2">
      <c r="B98" s="435"/>
      <c r="D98" s="435"/>
      <c r="E98" s="435"/>
      <c r="F98" s="435"/>
      <c r="G98" s="435"/>
      <c r="H98" s="435"/>
      <c r="I98" s="435"/>
      <c r="J98" s="435"/>
      <c r="K98" s="435"/>
      <c r="L98" s="435"/>
      <c r="M98" s="435"/>
      <c r="N98" s="435"/>
      <c r="O98" s="435"/>
      <c r="P98" s="435"/>
      <c r="Q98" s="435"/>
      <c r="R98" s="435"/>
      <c r="S98" s="435"/>
      <c r="T98" s="435"/>
      <c r="U98" s="435"/>
      <c r="V98" s="435"/>
      <c r="W98" s="435"/>
      <c r="X98" s="435"/>
      <c r="Y98" s="435"/>
      <c r="Z98" s="435"/>
      <c r="AA98" s="435"/>
    </row>
    <row r="99" spans="2:27" x14ac:dyDescent="0.2">
      <c r="B99" s="435"/>
      <c r="D99" s="435"/>
      <c r="E99" s="435"/>
      <c r="F99" s="435"/>
      <c r="G99" s="435"/>
      <c r="H99" s="435"/>
      <c r="I99" s="435"/>
      <c r="J99" s="435"/>
      <c r="K99" s="435"/>
      <c r="L99" s="435"/>
      <c r="M99" s="435"/>
      <c r="N99" s="435"/>
      <c r="O99" s="435"/>
      <c r="P99" s="435"/>
      <c r="Q99" s="435"/>
      <c r="R99" s="435"/>
      <c r="S99" s="435"/>
      <c r="T99" s="435"/>
      <c r="U99" s="435"/>
      <c r="V99" s="435"/>
      <c r="W99" s="435"/>
      <c r="X99" s="435"/>
      <c r="Y99" s="435"/>
      <c r="Z99" s="435"/>
      <c r="AA99" s="435"/>
    </row>
    <row r="100" spans="2:27" x14ac:dyDescent="0.2">
      <c r="B100" s="435"/>
      <c r="D100" s="435"/>
      <c r="E100" s="435"/>
      <c r="F100" s="435"/>
      <c r="G100" s="435"/>
      <c r="H100" s="435"/>
      <c r="I100" s="435"/>
      <c r="J100" s="435"/>
      <c r="K100" s="435"/>
      <c r="L100" s="435"/>
      <c r="M100" s="435"/>
      <c r="N100" s="435"/>
      <c r="O100" s="435"/>
      <c r="P100" s="435"/>
      <c r="Q100" s="435"/>
      <c r="R100" s="435"/>
      <c r="S100" s="435"/>
      <c r="T100" s="435"/>
      <c r="U100" s="435"/>
      <c r="V100" s="435"/>
      <c r="W100" s="435"/>
      <c r="X100" s="435"/>
      <c r="Y100" s="435"/>
      <c r="Z100" s="435"/>
      <c r="AA100" s="435"/>
    </row>
    <row r="101" spans="2:27" x14ac:dyDescent="0.2">
      <c r="B101" s="435"/>
      <c r="D101" s="435"/>
      <c r="E101" s="435"/>
      <c r="F101" s="435"/>
      <c r="G101" s="435"/>
      <c r="H101" s="435"/>
      <c r="I101" s="435"/>
      <c r="J101" s="435"/>
      <c r="K101" s="435"/>
      <c r="L101" s="435"/>
      <c r="M101" s="435"/>
      <c r="N101" s="435"/>
      <c r="O101" s="435"/>
      <c r="P101" s="435"/>
      <c r="Q101" s="435"/>
      <c r="R101" s="435"/>
      <c r="S101" s="435"/>
      <c r="T101" s="435"/>
      <c r="U101" s="435"/>
      <c r="V101" s="435"/>
      <c r="W101" s="435"/>
      <c r="X101" s="435"/>
      <c r="Y101" s="435"/>
      <c r="Z101" s="435"/>
      <c r="AA101" s="435"/>
    </row>
    <row r="102" spans="2:27" x14ac:dyDescent="0.2">
      <c r="B102" s="435"/>
      <c r="D102" s="435"/>
      <c r="E102" s="435"/>
      <c r="F102" s="435"/>
      <c r="G102" s="435"/>
      <c r="H102" s="435"/>
      <c r="I102" s="435"/>
      <c r="J102" s="435"/>
      <c r="K102" s="435"/>
      <c r="L102" s="435"/>
      <c r="M102" s="435"/>
      <c r="N102" s="435"/>
      <c r="O102" s="435"/>
      <c r="P102" s="435"/>
      <c r="Q102" s="435"/>
      <c r="R102" s="435"/>
      <c r="S102" s="435"/>
      <c r="T102" s="435"/>
      <c r="U102" s="435"/>
      <c r="V102" s="435"/>
      <c r="W102" s="435"/>
      <c r="X102" s="435"/>
      <c r="Y102" s="435"/>
      <c r="Z102" s="435"/>
      <c r="AA102" s="435"/>
    </row>
    <row r="103" spans="2:27" x14ac:dyDescent="0.2">
      <c r="B103" s="435"/>
      <c r="D103" s="435"/>
      <c r="E103" s="435"/>
      <c r="F103" s="435"/>
      <c r="G103" s="435"/>
      <c r="H103" s="435"/>
      <c r="I103" s="435"/>
      <c r="J103" s="435"/>
      <c r="K103" s="435"/>
      <c r="L103" s="435"/>
      <c r="M103" s="435"/>
      <c r="N103" s="435"/>
      <c r="O103" s="435"/>
      <c r="P103" s="435"/>
      <c r="Q103" s="435"/>
      <c r="R103" s="435"/>
      <c r="S103" s="435"/>
      <c r="T103" s="435"/>
      <c r="U103" s="435"/>
      <c r="V103" s="435"/>
      <c r="W103" s="435"/>
      <c r="X103" s="435"/>
      <c r="Y103" s="435"/>
      <c r="Z103" s="435"/>
      <c r="AA103" s="435"/>
    </row>
    <row r="104" spans="2:27" x14ac:dyDescent="0.2">
      <c r="B104" s="435"/>
      <c r="D104" s="435"/>
      <c r="E104" s="435"/>
      <c r="F104" s="435"/>
      <c r="G104" s="435"/>
      <c r="H104" s="435"/>
      <c r="I104" s="435"/>
      <c r="J104" s="435"/>
      <c r="K104" s="435"/>
      <c r="L104" s="435"/>
      <c r="M104" s="435"/>
      <c r="N104" s="435"/>
      <c r="O104" s="435"/>
      <c r="P104" s="435"/>
      <c r="Q104" s="435"/>
      <c r="R104" s="435"/>
      <c r="S104" s="435"/>
      <c r="T104" s="435"/>
      <c r="U104" s="435"/>
      <c r="V104" s="435"/>
      <c r="W104" s="435"/>
      <c r="X104" s="435"/>
      <c r="Y104" s="435"/>
      <c r="Z104" s="435"/>
      <c r="AA104" s="435"/>
    </row>
    <row r="105" spans="2:27" x14ac:dyDescent="0.2">
      <c r="B105" s="435"/>
      <c r="D105" s="435"/>
      <c r="E105" s="435"/>
      <c r="F105" s="435"/>
      <c r="G105" s="435"/>
      <c r="H105" s="435"/>
      <c r="I105" s="435"/>
      <c r="J105" s="435"/>
      <c r="K105" s="435"/>
      <c r="L105" s="435"/>
      <c r="M105" s="435"/>
      <c r="N105" s="435"/>
      <c r="O105" s="435"/>
      <c r="P105" s="435"/>
      <c r="Q105" s="435"/>
      <c r="R105" s="435"/>
      <c r="S105" s="435"/>
      <c r="T105" s="435"/>
      <c r="U105" s="435"/>
      <c r="V105" s="435"/>
      <c r="W105" s="435"/>
      <c r="X105" s="435"/>
      <c r="Y105" s="435"/>
      <c r="Z105" s="435"/>
      <c r="AA105" s="435"/>
    </row>
    <row r="106" spans="2:27" x14ac:dyDescent="0.2">
      <c r="B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row>
    <row r="107" spans="2:27" x14ac:dyDescent="0.2">
      <c r="B107" s="435"/>
      <c r="D107" s="435"/>
      <c r="E107" s="435"/>
      <c r="F107" s="435"/>
      <c r="G107" s="435"/>
      <c r="H107" s="435"/>
      <c r="I107" s="435"/>
      <c r="J107" s="435"/>
      <c r="K107" s="435"/>
      <c r="L107" s="435"/>
      <c r="M107" s="435"/>
      <c r="N107" s="435"/>
      <c r="O107" s="435"/>
      <c r="P107" s="435"/>
      <c r="Q107" s="435"/>
      <c r="R107" s="435"/>
      <c r="S107" s="435"/>
      <c r="T107" s="435"/>
      <c r="U107" s="435"/>
      <c r="V107" s="435"/>
      <c r="W107" s="435"/>
      <c r="X107" s="435"/>
      <c r="Y107" s="435"/>
      <c r="Z107" s="435"/>
      <c r="AA107" s="435"/>
    </row>
    <row r="108" spans="2:27" x14ac:dyDescent="0.2">
      <c r="B108" s="435"/>
      <c r="D108" s="435"/>
      <c r="E108" s="435"/>
      <c r="F108" s="435"/>
      <c r="G108" s="435"/>
      <c r="H108" s="435"/>
      <c r="I108" s="435"/>
      <c r="J108" s="435"/>
      <c r="K108" s="435"/>
      <c r="L108" s="435"/>
      <c r="M108" s="435"/>
      <c r="N108" s="435"/>
      <c r="O108" s="435"/>
      <c r="P108" s="435"/>
      <c r="Q108" s="435"/>
      <c r="R108" s="435"/>
      <c r="S108" s="435"/>
      <c r="T108" s="435"/>
      <c r="U108" s="435"/>
      <c r="V108" s="435"/>
      <c r="W108" s="435"/>
      <c r="X108" s="435"/>
      <c r="Y108" s="435"/>
      <c r="Z108" s="435"/>
      <c r="AA108" s="435"/>
    </row>
    <row r="109" spans="2:27" x14ac:dyDescent="0.2">
      <c r="B109" s="435"/>
      <c r="D109" s="435"/>
      <c r="E109" s="435"/>
      <c r="F109" s="435"/>
      <c r="G109" s="435"/>
      <c r="H109" s="435"/>
      <c r="I109" s="435"/>
      <c r="J109" s="435"/>
      <c r="K109" s="435"/>
      <c r="L109" s="435"/>
      <c r="M109" s="435"/>
      <c r="N109" s="435"/>
      <c r="O109" s="435"/>
      <c r="P109" s="435"/>
      <c r="Q109" s="435"/>
      <c r="R109" s="435"/>
      <c r="S109" s="435"/>
      <c r="T109" s="435"/>
      <c r="U109" s="435"/>
      <c r="V109" s="435"/>
      <c r="W109" s="435"/>
      <c r="X109" s="435"/>
      <c r="Y109" s="435"/>
      <c r="Z109" s="435"/>
      <c r="AA109" s="435"/>
    </row>
    <row r="141" spans="1:1" x14ac:dyDescent="0.2">
      <c r="A141" s="434"/>
    </row>
  </sheetData>
  <mergeCells count="12">
    <mergeCell ref="Z1:AA1"/>
    <mergeCell ref="D1:E1"/>
    <mergeCell ref="F1:G1"/>
    <mergeCell ref="H1:I1"/>
    <mergeCell ref="J1:K1"/>
    <mergeCell ref="L1:M1"/>
    <mergeCell ref="N1:O1"/>
    <mergeCell ref="P1:Q1"/>
    <mergeCell ref="R1:S1"/>
    <mergeCell ref="T1:U1"/>
    <mergeCell ref="V1:W1"/>
    <mergeCell ref="X1:Y1"/>
  </mergeCells>
  <phoneticPr fontId="2"/>
  <pageMargins left="0.7" right="0.7" top="0.75" bottom="0.75" header="0.3" footer="0.3"/>
  <pageSetup paperSize="8" scale="54" fitToHeight="0" orientation="portrait" r:id="rId1"/>
  <rowBreaks count="1" manualBreakCount="1">
    <brk id="46" max="2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377A-9206-4B0A-849D-275F701AC099}">
  <sheetPr codeName="Sheet13">
    <pageSetUpPr fitToPage="1"/>
  </sheetPr>
  <dimension ref="A1:M25"/>
  <sheetViews>
    <sheetView view="pageBreakPreview" zoomScale="90" zoomScaleNormal="90" zoomScaleSheetLayoutView="90" workbookViewId="0">
      <selection activeCell="B3" sqref="B3"/>
    </sheetView>
  </sheetViews>
  <sheetFormatPr defaultRowHeight="18" x14ac:dyDescent="0.45"/>
  <cols>
    <col min="2" max="2" width="14" bestFit="1" customWidth="1"/>
    <col min="3" max="12" width="14.3984375" customWidth="1"/>
  </cols>
  <sheetData>
    <row r="1" spans="1:13" ht="36" customHeight="1" x14ac:dyDescent="0.45">
      <c r="A1" s="557" t="s">
        <v>363</v>
      </c>
      <c r="B1" s="558"/>
      <c r="C1" s="558"/>
      <c r="D1" s="558"/>
      <c r="E1" s="558"/>
      <c r="F1" s="558"/>
      <c r="G1" s="558"/>
      <c r="H1" s="558"/>
      <c r="I1" s="558"/>
      <c r="J1" s="558"/>
      <c r="K1" s="558"/>
      <c r="L1" s="559"/>
    </row>
    <row r="2" spans="1:13" ht="34.950000000000003" customHeight="1" x14ac:dyDescent="0.45">
      <c r="A2" s="402"/>
      <c r="B2" s="406" t="s">
        <v>7</v>
      </c>
      <c r="C2" s="402" t="s">
        <v>364</v>
      </c>
      <c r="D2" s="402" t="s">
        <v>365</v>
      </c>
      <c r="E2" s="402" t="s">
        <v>366</v>
      </c>
      <c r="F2" s="402" t="s">
        <v>367</v>
      </c>
      <c r="G2" s="402" t="s">
        <v>368</v>
      </c>
      <c r="H2" s="402" t="s">
        <v>369</v>
      </c>
      <c r="I2" s="402" t="s">
        <v>370</v>
      </c>
      <c r="J2" s="402" t="s">
        <v>371</v>
      </c>
      <c r="K2" s="402" t="s">
        <v>372</v>
      </c>
      <c r="L2" s="402" t="s">
        <v>373</v>
      </c>
      <c r="M2" t="s">
        <v>3</v>
      </c>
    </row>
    <row r="3" spans="1:13" x14ac:dyDescent="0.45">
      <c r="A3" s="398"/>
      <c r="B3" s="399">
        <f>B6/B4</f>
        <v>0.39200000000000013</v>
      </c>
      <c r="C3" s="399">
        <f>B3+0.01</f>
        <v>0.40200000000000014</v>
      </c>
      <c r="D3" s="399">
        <f t="shared" ref="D3:L3" si="0">C3+0.01</f>
        <v>0.41200000000000014</v>
      </c>
      <c r="E3" s="399">
        <f t="shared" si="0"/>
        <v>0.42200000000000015</v>
      </c>
      <c r="F3" s="399">
        <f t="shared" si="0"/>
        <v>0.43200000000000016</v>
      </c>
      <c r="G3" s="399">
        <f t="shared" si="0"/>
        <v>0.44200000000000017</v>
      </c>
      <c r="H3" s="399">
        <f t="shared" si="0"/>
        <v>0.45200000000000018</v>
      </c>
      <c r="I3" s="399">
        <f t="shared" si="0"/>
        <v>0.46200000000000019</v>
      </c>
      <c r="J3" s="399">
        <f t="shared" si="0"/>
        <v>0.4720000000000002</v>
      </c>
      <c r="K3" s="399">
        <f t="shared" si="0"/>
        <v>0.48200000000000021</v>
      </c>
      <c r="L3" s="399">
        <f t="shared" si="0"/>
        <v>0.49200000000000021</v>
      </c>
    </row>
    <row r="4" spans="1:13" x14ac:dyDescent="0.45">
      <c r="A4" s="398" t="s">
        <v>374</v>
      </c>
      <c r="B4" s="400">
        <f>⑦原価詳細!F31</f>
        <v>450000000</v>
      </c>
      <c r="C4" s="400">
        <f>$B$4</f>
        <v>450000000</v>
      </c>
      <c r="D4" s="400">
        <f>$B$4</f>
        <v>450000000</v>
      </c>
      <c r="E4" s="400">
        <f>$B$4</f>
        <v>450000000</v>
      </c>
      <c r="F4" s="400">
        <f t="shared" ref="D4:L4" si="1">$B$4</f>
        <v>450000000</v>
      </c>
      <c r="G4" s="400">
        <f>$B$4</f>
        <v>450000000</v>
      </c>
      <c r="H4" s="400">
        <f t="shared" si="1"/>
        <v>450000000</v>
      </c>
      <c r="I4" s="400">
        <f t="shared" si="1"/>
        <v>450000000</v>
      </c>
      <c r="J4" s="400">
        <f t="shared" si="1"/>
        <v>450000000</v>
      </c>
      <c r="K4" s="400">
        <f t="shared" si="1"/>
        <v>450000000</v>
      </c>
      <c r="L4" s="400">
        <f t="shared" si="1"/>
        <v>450000000</v>
      </c>
    </row>
    <row r="5" spans="1:13" x14ac:dyDescent="0.45">
      <c r="A5" s="398" t="s">
        <v>334</v>
      </c>
      <c r="B5" s="400">
        <f>'②⑧MQ（未来）'!F3*1000000</f>
        <v>273599999.99999994</v>
      </c>
      <c r="C5" s="400">
        <f>C4-C6</f>
        <v>269099999.99999994</v>
      </c>
      <c r="D5" s="400">
        <f>D4-D6</f>
        <v>264599999.99999994</v>
      </c>
      <c r="E5" s="400">
        <f t="shared" ref="E5:L5" si="2">E4-E6</f>
        <v>260099999.99999994</v>
      </c>
      <c r="F5" s="400">
        <f t="shared" si="2"/>
        <v>255599999.99999994</v>
      </c>
      <c r="G5" s="400">
        <f t="shared" si="2"/>
        <v>251099999.99999991</v>
      </c>
      <c r="H5" s="400">
        <f t="shared" si="2"/>
        <v>246599999.99999991</v>
      </c>
      <c r="I5" s="400">
        <f t="shared" si="2"/>
        <v>242099999.99999991</v>
      </c>
      <c r="J5" s="400">
        <f t="shared" si="2"/>
        <v>237599999.99999991</v>
      </c>
      <c r="K5" s="400">
        <f t="shared" si="2"/>
        <v>233099999.99999991</v>
      </c>
      <c r="L5" s="400">
        <f t="shared" si="2"/>
        <v>228599999.99999991</v>
      </c>
    </row>
    <row r="6" spans="1:13" x14ac:dyDescent="0.45">
      <c r="A6" s="398" t="s">
        <v>375</v>
      </c>
      <c r="B6" s="400">
        <f>B4-B5</f>
        <v>176400000.00000006</v>
      </c>
      <c r="C6" s="400">
        <f>$B$4*C3</f>
        <v>180900000.00000006</v>
      </c>
      <c r="D6" s="400">
        <f>$B$4*D3</f>
        <v>185400000.00000006</v>
      </c>
      <c r="E6" s="400">
        <f>$B$4*E3</f>
        <v>189900000.00000006</v>
      </c>
      <c r="F6" s="400">
        <f t="shared" ref="F6:L6" si="3">$B$4*F3</f>
        <v>194400000.00000006</v>
      </c>
      <c r="G6" s="400">
        <f t="shared" si="3"/>
        <v>198900000.00000009</v>
      </c>
      <c r="H6" s="400">
        <f t="shared" si="3"/>
        <v>203400000.00000009</v>
      </c>
      <c r="I6" s="400">
        <f t="shared" si="3"/>
        <v>207900000.00000009</v>
      </c>
      <c r="J6" s="400">
        <f t="shared" si="3"/>
        <v>212400000.00000009</v>
      </c>
      <c r="K6" s="400">
        <f t="shared" si="3"/>
        <v>216900000.00000009</v>
      </c>
      <c r="L6" s="400">
        <f t="shared" si="3"/>
        <v>221400000.00000009</v>
      </c>
    </row>
    <row r="7" spans="1:13" x14ac:dyDescent="0.45">
      <c r="A7" s="398" t="s">
        <v>335</v>
      </c>
      <c r="B7" s="400">
        <f>'②⑧MQ（未来）'!H13*1000000</f>
        <v>130400000</v>
      </c>
      <c r="C7" s="400">
        <f>B7</f>
        <v>130400000</v>
      </c>
      <c r="D7" s="400">
        <f>C7</f>
        <v>130400000</v>
      </c>
      <c r="E7" s="400">
        <f>D7</f>
        <v>130400000</v>
      </c>
      <c r="F7" s="400">
        <f t="shared" ref="F7:L7" si="4">E7</f>
        <v>130400000</v>
      </c>
      <c r="G7" s="400">
        <f t="shared" si="4"/>
        <v>130400000</v>
      </c>
      <c r="H7" s="400">
        <f t="shared" si="4"/>
        <v>130400000</v>
      </c>
      <c r="I7" s="400">
        <f t="shared" si="4"/>
        <v>130400000</v>
      </c>
      <c r="J7" s="400">
        <f t="shared" si="4"/>
        <v>130400000</v>
      </c>
      <c r="K7" s="400">
        <f t="shared" si="4"/>
        <v>130400000</v>
      </c>
      <c r="L7" s="400">
        <f t="shared" si="4"/>
        <v>130400000</v>
      </c>
    </row>
    <row r="8" spans="1:13" x14ac:dyDescent="0.45">
      <c r="A8" s="398" t="s">
        <v>376</v>
      </c>
      <c r="B8" s="400">
        <f t="shared" ref="B8:L8" si="5">B4-B5-B7</f>
        <v>46000000.00000006</v>
      </c>
      <c r="C8" s="400">
        <f t="shared" si="5"/>
        <v>50500000.00000006</v>
      </c>
      <c r="D8" s="400">
        <f t="shared" si="5"/>
        <v>55000000.00000006</v>
      </c>
      <c r="E8" s="400">
        <f t="shared" si="5"/>
        <v>59500000.00000006</v>
      </c>
      <c r="F8" s="400">
        <f t="shared" si="5"/>
        <v>64000000.00000006</v>
      </c>
      <c r="G8" s="400">
        <f t="shared" si="5"/>
        <v>68500000.000000089</v>
      </c>
      <c r="H8" s="400">
        <f t="shared" si="5"/>
        <v>73000000.000000089</v>
      </c>
      <c r="I8" s="400">
        <f t="shared" si="5"/>
        <v>77500000.000000089</v>
      </c>
      <c r="J8" s="400">
        <f t="shared" si="5"/>
        <v>82000000.000000089</v>
      </c>
      <c r="K8" s="400">
        <f t="shared" si="5"/>
        <v>86500000.000000089</v>
      </c>
      <c r="L8" s="400">
        <f t="shared" si="5"/>
        <v>91000000.000000089</v>
      </c>
    </row>
    <row r="9" spans="1:13" x14ac:dyDescent="0.45">
      <c r="A9" s="398" t="s">
        <v>377</v>
      </c>
      <c r="B9" s="399">
        <f>B8/B4</f>
        <v>0.10222222222222235</v>
      </c>
      <c r="C9" s="399">
        <f t="shared" ref="C9:L9" si="6">C8/C4</f>
        <v>0.11222222222222235</v>
      </c>
      <c r="D9" s="399">
        <f t="shared" si="6"/>
        <v>0.12222222222222236</v>
      </c>
      <c r="E9" s="399">
        <f t="shared" si="6"/>
        <v>0.13222222222222235</v>
      </c>
      <c r="F9" s="399">
        <f t="shared" si="6"/>
        <v>0.14222222222222236</v>
      </c>
      <c r="G9" s="399">
        <f t="shared" si="6"/>
        <v>0.15222222222222243</v>
      </c>
      <c r="H9" s="399">
        <f t="shared" si="6"/>
        <v>0.16222222222222243</v>
      </c>
      <c r="I9" s="399">
        <f t="shared" si="6"/>
        <v>0.17222222222222242</v>
      </c>
      <c r="J9" s="399">
        <f t="shared" si="6"/>
        <v>0.18222222222222242</v>
      </c>
      <c r="K9" s="399">
        <f t="shared" si="6"/>
        <v>0.19222222222222243</v>
      </c>
      <c r="L9" s="399">
        <f t="shared" si="6"/>
        <v>0.20222222222222241</v>
      </c>
    </row>
    <row r="10" spans="1:13" ht="34.950000000000003" customHeight="1" x14ac:dyDescent="0.45">
      <c r="A10" s="402"/>
      <c r="B10" s="406" t="s">
        <v>7</v>
      </c>
      <c r="C10" s="403" t="s">
        <v>378</v>
      </c>
      <c r="D10" s="404" t="s">
        <v>379</v>
      </c>
      <c r="E10" s="404" t="s">
        <v>380</v>
      </c>
      <c r="F10" s="404" t="s">
        <v>381</v>
      </c>
      <c r="G10" s="404" t="s">
        <v>382</v>
      </c>
      <c r="H10" s="404" t="s">
        <v>383</v>
      </c>
      <c r="I10" s="404" t="s">
        <v>384</v>
      </c>
      <c r="J10" s="404" t="s">
        <v>385</v>
      </c>
      <c r="K10" s="404" t="s">
        <v>386</v>
      </c>
      <c r="L10" s="404" t="s">
        <v>387</v>
      </c>
    </row>
    <row r="11" spans="1:13" x14ac:dyDescent="0.45">
      <c r="A11" s="398"/>
      <c r="B11" s="401"/>
      <c r="C11" s="399">
        <f>B3-0.01</f>
        <v>0.38200000000000012</v>
      </c>
      <c r="D11" s="399">
        <f>C11-0.01</f>
        <v>0.37200000000000011</v>
      </c>
      <c r="E11" s="399">
        <f t="shared" ref="E11:L11" si="7">D11-0.01</f>
        <v>0.3620000000000001</v>
      </c>
      <c r="F11" s="399">
        <f t="shared" si="7"/>
        <v>0.35200000000000009</v>
      </c>
      <c r="G11" s="399">
        <f t="shared" si="7"/>
        <v>0.34200000000000008</v>
      </c>
      <c r="H11" s="399">
        <f t="shared" si="7"/>
        <v>0.33200000000000007</v>
      </c>
      <c r="I11" s="399">
        <f t="shared" si="7"/>
        <v>0.32200000000000006</v>
      </c>
      <c r="J11" s="399">
        <f t="shared" si="7"/>
        <v>0.31200000000000006</v>
      </c>
      <c r="K11" s="399">
        <f t="shared" si="7"/>
        <v>0.30200000000000005</v>
      </c>
      <c r="L11" s="399">
        <f t="shared" si="7"/>
        <v>0.29200000000000004</v>
      </c>
    </row>
    <row r="12" spans="1:13" x14ac:dyDescent="0.45">
      <c r="A12" s="398" t="s">
        <v>374</v>
      </c>
      <c r="B12" s="400">
        <f>$B$4</f>
        <v>450000000</v>
      </c>
      <c r="C12" s="400">
        <f t="shared" ref="C12:L12" si="8">$B$4</f>
        <v>450000000</v>
      </c>
      <c r="D12" s="400">
        <f t="shared" si="8"/>
        <v>450000000</v>
      </c>
      <c r="E12" s="400">
        <f t="shared" si="8"/>
        <v>450000000</v>
      </c>
      <c r="F12" s="400">
        <f t="shared" si="8"/>
        <v>450000000</v>
      </c>
      <c r="G12" s="400">
        <f t="shared" si="8"/>
        <v>450000000</v>
      </c>
      <c r="H12" s="400">
        <f t="shared" si="8"/>
        <v>450000000</v>
      </c>
      <c r="I12" s="400">
        <f t="shared" si="8"/>
        <v>450000000</v>
      </c>
      <c r="J12" s="400">
        <f t="shared" si="8"/>
        <v>450000000</v>
      </c>
      <c r="K12" s="400">
        <f t="shared" si="8"/>
        <v>450000000</v>
      </c>
      <c r="L12" s="400">
        <f t="shared" si="8"/>
        <v>450000000</v>
      </c>
    </row>
    <row r="13" spans="1:13" x14ac:dyDescent="0.45">
      <c r="A13" s="398" t="s">
        <v>334</v>
      </c>
      <c r="B13" s="400">
        <v>279200000</v>
      </c>
      <c r="C13" s="400">
        <f>C12-C14</f>
        <v>278099999.99999994</v>
      </c>
      <c r="D13" s="400">
        <f>D12-D14</f>
        <v>282599999.99999994</v>
      </c>
      <c r="E13" s="400">
        <f t="shared" ref="E13" si="9">E12-E14</f>
        <v>287099999.99999994</v>
      </c>
      <c r="F13" s="400">
        <f t="shared" ref="F13" si="10">F12-F14</f>
        <v>291600000</v>
      </c>
      <c r="G13" s="400">
        <f t="shared" ref="G13" si="11">G12-G14</f>
        <v>296100000</v>
      </c>
      <c r="H13" s="400">
        <f t="shared" ref="H13" si="12">H12-H14</f>
        <v>300600000</v>
      </c>
      <c r="I13" s="400">
        <f t="shared" ref="I13" si="13">I12-I14</f>
        <v>305100000</v>
      </c>
      <c r="J13" s="400">
        <f t="shared" ref="J13" si="14">J12-J14</f>
        <v>309600000</v>
      </c>
      <c r="K13" s="400">
        <f t="shared" ref="K13" si="15">K12-K14</f>
        <v>314100000</v>
      </c>
      <c r="L13" s="400">
        <f t="shared" ref="L13" si="16">L12-L14</f>
        <v>318600000</v>
      </c>
    </row>
    <row r="14" spans="1:13" x14ac:dyDescent="0.45">
      <c r="A14" s="398" t="s">
        <v>375</v>
      </c>
      <c r="B14" s="400">
        <v>170800000</v>
      </c>
      <c r="C14" s="400">
        <f>$B$4*C11</f>
        <v>171900000.00000006</v>
      </c>
      <c r="D14" s="400">
        <f>$B$4*D11</f>
        <v>167400000.00000006</v>
      </c>
      <c r="E14" s="400">
        <f t="shared" ref="E14:L14" si="17">$B$4*E11</f>
        <v>162900000.00000006</v>
      </c>
      <c r="F14" s="400">
        <f t="shared" si="17"/>
        <v>158400000.00000003</v>
      </c>
      <c r="G14" s="400">
        <f t="shared" si="17"/>
        <v>153900000.00000003</v>
      </c>
      <c r="H14" s="400">
        <f t="shared" si="17"/>
        <v>149400000.00000003</v>
      </c>
      <c r="I14" s="400">
        <f t="shared" si="17"/>
        <v>144900000.00000003</v>
      </c>
      <c r="J14" s="400">
        <f t="shared" si="17"/>
        <v>140400000.00000003</v>
      </c>
      <c r="K14" s="400">
        <f t="shared" si="17"/>
        <v>135900000.00000003</v>
      </c>
      <c r="L14" s="400">
        <f t="shared" si="17"/>
        <v>131400000.00000001</v>
      </c>
    </row>
    <row r="15" spans="1:13" x14ac:dyDescent="0.45">
      <c r="A15" s="398" t="s">
        <v>335</v>
      </c>
      <c r="B15" s="400">
        <f>'②⑧MQ（未来）'!H13*1000000</f>
        <v>130400000</v>
      </c>
      <c r="C15" s="400">
        <f>B15</f>
        <v>130400000</v>
      </c>
      <c r="D15" s="400">
        <f t="shared" ref="D15:L15" si="18">C15</f>
        <v>130400000</v>
      </c>
      <c r="E15" s="400">
        <f t="shared" si="18"/>
        <v>130400000</v>
      </c>
      <c r="F15" s="400">
        <f t="shared" si="18"/>
        <v>130400000</v>
      </c>
      <c r="G15" s="400">
        <f t="shared" si="18"/>
        <v>130400000</v>
      </c>
      <c r="H15" s="400">
        <f t="shared" si="18"/>
        <v>130400000</v>
      </c>
      <c r="I15" s="400">
        <f t="shared" si="18"/>
        <v>130400000</v>
      </c>
      <c r="J15" s="400">
        <f t="shared" si="18"/>
        <v>130400000</v>
      </c>
      <c r="K15" s="400">
        <f t="shared" si="18"/>
        <v>130400000</v>
      </c>
      <c r="L15" s="400">
        <f t="shared" si="18"/>
        <v>130400000</v>
      </c>
    </row>
    <row r="16" spans="1:13" x14ac:dyDescent="0.45">
      <c r="A16" s="398" t="s">
        <v>376</v>
      </c>
      <c r="B16" s="400">
        <v>45900000</v>
      </c>
      <c r="C16" s="400">
        <f t="shared" ref="C16" si="19">C12-C13-C15</f>
        <v>41500000.00000006</v>
      </c>
      <c r="D16" s="400">
        <f t="shared" ref="D16" si="20">D12-D13-D15</f>
        <v>37000000.00000006</v>
      </c>
      <c r="E16" s="400">
        <f t="shared" ref="E16" si="21">E12-E13-E15</f>
        <v>32500000.00000006</v>
      </c>
      <c r="F16" s="400">
        <f t="shared" ref="F16" si="22">F12-F13-F15</f>
        <v>28000000</v>
      </c>
      <c r="G16" s="400">
        <f t="shared" ref="G16" si="23">G12-G13-G15</f>
        <v>23500000</v>
      </c>
      <c r="H16" s="400">
        <f t="shared" ref="H16" si="24">H12-H13-H15</f>
        <v>19000000</v>
      </c>
      <c r="I16" s="400">
        <f t="shared" ref="I16" si="25">I12-I13-I15</f>
        <v>14500000</v>
      </c>
      <c r="J16" s="400">
        <f t="shared" ref="J16" si="26">J12-J13-J15</f>
        <v>10000000</v>
      </c>
      <c r="K16" s="400">
        <f t="shared" ref="K16" si="27">K12-K13-K15</f>
        <v>5500000</v>
      </c>
      <c r="L16" s="400">
        <f t="shared" ref="L16" si="28">L12-L13-L15</f>
        <v>1000000</v>
      </c>
    </row>
    <row r="17" spans="1:12" x14ac:dyDescent="0.45">
      <c r="A17" s="398" t="s">
        <v>377</v>
      </c>
      <c r="B17" s="672">
        <f>B8/B4</f>
        <v>0.10222222222222235</v>
      </c>
      <c r="C17" s="405">
        <f>C16/C12</f>
        <v>9.2222222222222358E-2</v>
      </c>
      <c r="D17" s="405">
        <f t="shared" ref="D17:L17" si="29">D16/D12</f>
        <v>8.2222222222222349E-2</v>
      </c>
      <c r="E17" s="405">
        <f t="shared" si="29"/>
        <v>7.2222222222222354E-2</v>
      </c>
      <c r="F17" s="405">
        <f t="shared" si="29"/>
        <v>6.222222222222222E-2</v>
      </c>
      <c r="G17" s="405">
        <f t="shared" si="29"/>
        <v>5.2222222222222225E-2</v>
      </c>
      <c r="H17" s="405">
        <f t="shared" si="29"/>
        <v>4.2222222222222223E-2</v>
      </c>
      <c r="I17" s="405">
        <f t="shared" si="29"/>
        <v>3.2222222222222222E-2</v>
      </c>
      <c r="J17" s="405">
        <f t="shared" si="29"/>
        <v>2.2222222222222223E-2</v>
      </c>
      <c r="K17" s="405">
        <f t="shared" si="29"/>
        <v>1.2222222222222223E-2</v>
      </c>
      <c r="L17" s="405">
        <f t="shared" si="29"/>
        <v>2.2222222222222222E-3</v>
      </c>
    </row>
    <row r="18" spans="1:12" x14ac:dyDescent="0.45">
      <c r="A18" t="s">
        <v>388</v>
      </c>
      <c r="D18" s="443" t="s">
        <v>391</v>
      </c>
      <c r="E18" s="443"/>
      <c r="F18" s="443"/>
      <c r="G18" s="443"/>
      <c r="H18" s="443"/>
      <c r="I18" s="443"/>
    </row>
    <row r="19" spans="1:12" x14ac:dyDescent="0.45">
      <c r="A19" t="s">
        <v>389</v>
      </c>
      <c r="D19" s="445"/>
      <c r="E19" s="445"/>
      <c r="F19" s="445"/>
      <c r="G19" s="445"/>
      <c r="H19" s="445"/>
      <c r="I19" s="445"/>
    </row>
    <row r="20" spans="1:12" x14ac:dyDescent="0.45">
      <c r="D20" s="445"/>
      <c r="E20" s="445"/>
      <c r="F20" s="445"/>
      <c r="G20" s="445"/>
      <c r="H20" s="445"/>
      <c r="I20" s="445"/>
    </row>
    <row r="21" spans="1:12" x14ac:dyDescent="0.45">
      <c r="D21" s="445"/>
      <c r="E21" s="445"/>
      <c r="F21" s="445"/>
      <c r="G21" s="445"/>
      <c r="H21" s="445"/>
      <c r="I21" s="445"/>
    </row>
    <row r="22" spans="1:12" x14ac:dyDescent="0.45">
      <c r="D22" s="445"/>
      <c r="E22" s="445"/>
      <c r="F22" s="445"/>
      <c r="G22" s="445"/>
      <c r="H22" s="445"/>
      <c r="I22" s="445"/>
    </row>
    <row r="23" spans="1:12" x14ac:dyDescent="0.45">
      <c r="D23" s="445"/>
      <c r="E23" s="445"/>
      <c r="F23" s="445"/>
      <c r="G23" s="445"/>
      <c r="H23" s="445"/>
      <c r="I23" s="445"/>
    </row>
    <row r="24" spans="1:12" x14ac:dyDescent="0.45">
      <c r="D24" s="445"/>
      <c r="E24" s="445"/>
      <c r="F24" s="445"/>
      <c r="G24" s="445"/>
      <c r="H24" s="445"/>
      <c r="I24" s="445"/>
    </row>
    <row r="25" spans="1:12" x14ac:dyDescent="0.45">
      <c r="D25" s="445"/>
      <c r="E25" s="445"/>
      <c r="F25" s="445"/>
      <c r="G25" s="445"/>
      <c r="H25" s="445"/>
      <c r="I25" s="445"/>
    </row>
  </sheetData>
  <mergeCells count="2">
    <mergeCell ref="A1:L1"/>
    <mergeCell ref="D18:I25"/>
  </mergeCells>
  <phoneticPr fontId="2"/>
  <pageMargins left="0.7" right="0.7" top="0.75" bottom="0.75" header="0.3" footer="0.3"/>
  <pageSetup paperSize="8" scale="7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D50D11-921B-449B-83B7-097658210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13</vt:i4>
      </vt:variant>
    </vt:vector>
  </HeadingPairs>
  <TitlesOfParts>
    <vt:vector size="26" baseType="lpstr">
      <vt:lpstr>スタート</vt:lpstr>
      <vt:lpstr>MQ（現状）</vt:lpstr>
      <vt:lpstr>①利益</vt:lpstr>
      <vt:lpstr>②⑧MQ（未来）</vt:lpstr>
      <vt:lpstr>③給料</vt:lpstr>
      <vt:lpstr>④経費</vt:lpstr>
      <vt:lpstr>⑤製造原価 (人）</vt:lpstr>
      <vt:lpstr>⑥製造（経費)</vt:lpstr>
      <vt:lpstr>⑦原価詳細</vt:lpstr>
      <vt:lpstr>損益分岐点</vt:lpstr>
      <vt:lpstr>進捗実績値入力シート</vt:lpstr>
      <vt:lpstr>部門別販売計画</vt:lpstr>
      <vt:lpstr>利益計画表</vt:lpstr>
      <vt:lpstr>①利益!Print_Area</vt:lpstr>
      <vt:lpstr>'②⑧MQ（未来）'!Print_Area</vt:lpstr>
      <vt:lpstr>③給料!Print_Area</vt:lpstr>
      <vt:lpstr>④経費!Print_Area</vt:lpstr>
      <vt:lpstr>'⑤製造原価 (人）'!Print_Area</vt:lpstr>
      <vt:lpstr>'⑥製造（経費)'!Print_Area</vt:lpstr>
      <vt:lpstr>⑦原価詳細!Print_Area</vt:lpstr>
      <vt:lpstr>'MQ（現状）'!Print_Area</vt:lpstr>
      <vt:lpstr>スタート!Print_Area</vt:lpstr>
      <vt:lpstr>進捗実績値入力シート!Print_Area</vt:lpstr>
      <vt:lpstr>損益分岐点!Print_Area</vt:lpstr>
      <vt:lpstr>部門別販売計画!Print_Area</vt:lpstr>
      <vt:lpstr>利益計画表!Print_Area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伸太郎 結城</dc:creator>
  <cp:keywords/>
  <dc:description/>
  <cp:lastModifiedBy>伸太郎 結城</cp:lastModifiedBy>
  <cp:revision/>
  <cp:lastPrinted>2025-03-22T10:03:40Z</cp:lastPrinted>
  <dcterms:created xsi:type="dcterms:W3CDTF">2024-06-24T08:13:38Z</dcterms:created>
  <dcterms:modified xsi:type="dcterms:W3CDTF">2025-09-28T15:02:06Z</dcterms:modified>
  <cp:category/>
  <cp:contentStatus/>
</cp:coreProperties>
</file>